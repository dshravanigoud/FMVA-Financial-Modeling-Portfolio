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My Drive\Downloads\- CFI Models Done During Stem Cell\(DONE) COMPARABLE VALUATION FUNDAMENTALS\"/>
    </mc:Choice>
  </mc:AlternateContent>
  <xr:revisionPtr revIDLastSave="0" documentId="13_ncr:1_{D3104CF5-A373-4DCD-BCF7-53AE8D224A14}" xr6:coauthVersionLast="47" xr6:coauthVersionMax="47" xr10:uidLastSave="{00000000-0000-0000-0000-000000000000}"/>
  <bookViews>
    <workbookView xWindow="-120" yWindow="-120" windowWidth="38640" windowHeight="21840" tabRatio="869" xr2:uid="{00000000-000D-0000-FFFF-FFFF00000000}"/>
  </bookViews>
  <sheets>
    <sheet name="Cover" sheetId="3" r:id="rId1"/>
    <sheet name="Summary" sheetId="4" r:id="rId2"/>
    <sheet name="Summary-R" sheetId="17" state="veryHidden" r:id="rId3"/>
    <sheet name="Trading" sheetId="5" r:id="rId4"/>
    <sheet name="Trading-R" sheetId="16" state="veryHidden" r:id="rId5"/>
    <sheet name="HVM" sheetId="12" r:id="rId6"/>
    <sheet name="HVM-R" sheetId="15" state="veryHidden" r:id="rId7"/>
    <sheet name="Transactions" sheetId="6" r:id="rId8"/>
    <sheet name="Transactions-R" sheetId="19" state="veryHidden" r:id="rId9"/>
    <sheet name="GPT" sheetId="10" r:id="rId10"/>
    <sheet name="GPT-R" sheetId="18" state="veryHidden" r:id="rId11"/>
  </sheets>
  <definedNames>
    <definedName name="_xlnm.Print_Area" localSheetId="0">Cover!$B$2:$O$41</definedName>
    <definedName name="_xlnm.Print_Area" localSheetId="9">GPT!$B$3:$L$46,GPT!$B$49:$L$99,GPT!$B$102:$L$125</definedName>
    <definedName name="_xlnm.Print_Area" localSheetId="10">'GPT-R'!$B$3:$K$43</definedName>
    <definedName name="_xlnm.Print_Area" localSheetId="5">HVM!$B$3:$L$26,HVM!$B$29:$L$79,HVM!$B$82:$L$105</definedName>
    <definedName name="_xlnm.Print_Area" localSheetId="6">'HVM-R'!$B$3:$L$24,'HVM-R'!$B$27:$L$72,'HVM-R'!$B$75:$L$95</definedName>
    <definedName name="_xlnm.Print_Area" localSheetId="1">Summary!$B$3:$M$33</definedName>
    <definedName name="_xlnm.Print_Area" localSheetId="3">Trading!$B$3:$K$37</definedName>
    <definedName name="_xlnm.Print_Area" localSheetId="4">'Trading-R'!$B$3:$K$47</definedName>
    <definedName name="_xlnm.Print_Area" localSheetId="7">Transactions!$B$3:$N$39</definedName>
    <definedName name="_xlnm.Print_Area" localSheetId="8">'Transactions-R'!$B$3:$N$41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8" l="1"/>
  <c r="F36" i="18" l="1"/>
  <c r="L32" i="18" s="1"/>
  <c r="K70" i="18"/>
  <c r="J82" i="18"/>
  <c r="J84" i="18"/>
  <c r="I84" i="18"/>
  <c r="K59" i="18"/>
  <c r="J57" i="18"/>
  <c r="J60" i="18" s="1"/>
  <c r="J65" i="18" s="1"/>
  <c r="I57" i="18"/>
  <c r="I60" i="18" s="1"/>
  <c r="I65" i="18" s="1"/>
  <c r="I68" i="18" s="1"/>
  <c r="K55" i="18"/>
  <c r="I83" i="18"/>
  <c r="J83" i="18"/>
  <c r="H83" i="18"/>
  <c r="H92" i="10"/>
  <c r="H91" i="10"/>
  <c r="I91" i="10"/>
  <c r="J91" i="10"/>
  <c r="H90" i="10"/>
  <c r="O64" i="15"/>
  <c r="B12" i="6"/>
  <c r="B17" i="19" s="1"/>
  <c r="F7" i="10"/>
  <c r="R36" i="18"/>
  <c r="Q36" i="18"/>
  <c r="N10" i="18"/>
  <c r="N12" i="18"/>
  <c r="N18" i="18"/>
  <c r="N20" i="18"/>
  <c r="N37" i="18"/>
  <c r="I30" i="6"/>
  <c r="L30" i="6"/>
  <c r="K30" i="6"/>
  <c r="D17" i="19"/>
  <c r="C17" i="19"/>
  <c r="D18" i="19"/>
  <c r="C18" i="19"/>
  <c r="B18" i="19"/>
  <c r="L30" i="19"/>
  <c r="L33" i="19" s="1"/>
  <c r="K30" i="19"/>
  <c r="K32" i="19" s="1"/>
  <c r="I30" i="19"/>
  <c r="I33" i="19" s="1"/>
  <c r="N15" i="19"/>
  <c r="J15" i="19"/>
  <c r="N14" i="19"/>
  <c r="J14" i="19"/>
  <c r="N13" i="19"/>
  <c r="J13" i="19"/>
  <c r="N12" i="19"/>
  <c r="J12" i="19"/>
  <c r="D11" i="19"/>
  <c r="C11" i="19"/>
  <c r="B11" i="19"/>
  <c r="F25" i="18" a="1"/>
  <c r="F25" i="18" s="1"/>
  <c r="F26" i="10" a="1"/>
  <c r="F26" i="10" s="1"/>
  <c r="G17" i="19" s="1"/>
  <c r="W37" i="18"/>
  <c r="V37" i="18"/>
  <c r="U37" i="18"/>
  <c r="U35" i="18"/>
  <c r="U32" i="18"/>
  <c r="U30" i="18"/>
  <c r="P36" i="18"/>
  <c r="U20" i="18"/>
  <c r="R21" i="18"/>
  <c r="U18" i="18"/>
  <c r="P24" i="18"/>
  <c r="P23" i="18"/>
  <c r="P21" i="18"/>
  <c r="R20" i="18"/>
  <c r="Q20" i="18"/>
  <c r="S20" i="18" s="1"/>
  <c r="E21" i="10" s="1"/>
  <c r="P20" i="18"/>
  <c r="R18" i="18"/>
  <c r="Q18" i="18"/>
  <c r="P18" i="18"/>
  <c r="U10" i="18"/>
  <c r="V10" i="18"/>
  <c r="W10" i="18"/>
  <c r="J109" i="18"/>
  <c r="J106" i="18"/>
  <c r="J103" i="18"/>
  <c r="H102" i="18"/>
  <c r="I103" i="18" s="1"/>
  <c r="H99" i="18"/>
  <c r="I99" i="18" s="1"/>
  <c r="J99" i="18" s="1"/>
  <c r="I98" i="18"/>
  <c r="J98" i="18" s="1"/>
  <c r="B94" i="18"/>
  <c r="K85" i="18"/>
  <c r="I82" i="18"/>
  <c r="H82" i="18"/>
  <c r="H84" i="18"/>
  <c r="K64" i="18"/>
  <c r="K63" i="18"/>
  <c r="K62" i="18"/>
  <c r="H57" i="18"/>
  <c r="H60" i="18" s="1"/>
  <c r="H65" i="18" s="1"/>
  <c r="K56" i="18"/>
  <c r="K52" i="18"/>
  <c r="J52" i="18"/>
  <c r="B46" i="18"/>
  <c r="F23" i="18"/>
  <c r="B3" i="18"/>
  <c r="V21" i="15" l="1"/>
  <c r="P64" i="15"/>
  <c r="K91" i="10"/>
  <c r="J68" i="18"/>
  <c r="J71" i="18" s="1"/>
  <c r="J76" i="18" s="1"/>
  <c r="K67" i="18"/>
  <c r="K82" i="18"/>
  <c r="K84" i="18"/>
  <c r="K83" i="18"/>
  <c r="S18" i="18"/>
  <c r="E18" i="10" s="1"/>
  <c r="S36" i="18"/>
  <c r="G11" i="19"/>
  <c r="E18" i="19"/>
  <c r="E11" i="19"/>
  <c r="X10" i="18"/>
  <c r="K10" i="10" s="1"/>
  <c r="L7" i="10" s="1"/>
  <c r="G18" i="19"/>
  <c r="G19" i="19" s="1"/>
  <c r="G18" i="6" s="1"/>
  <c r="D19" i="19"/>
  <c r="D18" i="6" s="1"/>
  <c r="C19" i="19"/>
  <c r="I31" i="19"/>
  <c r="K31" i="19"/>
  <c r="L31" i="19"/>
  <c r="I32" i="19"/>
  <c r="K33" i="19"/>
  <c r="L32" i="19"/>
  <c r="X37" i="18"/>
  <c r="K39" i="10" s="1"/>
  <c r="K57" i="18"/>
  <c r="L18" i="18"/>
  <c r="L20" i="18" s="1"/>
  <c r="L30" i="18" s="1"/>
  <c r="L35" i="18" s="1"/>
  <c r="L38" i="18" s="1"/>
  <c r="F24" i="18"/>
  <c r="H68" i="18"/>
  <c r="K65" i="18"/>
  <c r="I71" i="18"/>
  <c r="I76" i="18" s="1"/>
  <c r="I81" i="18"/>
  <c r="I86" i="18" s="1"/>
  <c r="K60" i="18"/>
  <c r="F30" i="5"/>
  <c r="I31" i="6" s="1"/>
  <c r="K12" i="16"/>
  <c r="K13" i="16"/>
  <c r="K14" i="16"/>
  <c r="K15" i="16"/>
  <c r="I30" i="5"/>
  <c r="L31" i="6" s="1"/>
  <c r="H30" i="5"/>
  <c r="K31" i="6" s="1"/>
  <c r="G15" i="16"/>
  <c r="G14" i="16"/>
  <c r="G13" i="16"/>
  <c r="G12" i="16"/>
  <c r="B12" i="5"/>
  <c r="I38" i="16"/>
  <c r="H38" i="16"/>
  <c r="F38" i="16"/>
  <c r="I37" i="16"/>
  <c r="H37" i="16"/>
  <c r="F37" i="16"/>
  <c r="I36" i="16"/>
  <c r="H36" i="16"/>
  <c r="F36" i="16"/>
  <c r="D11" i="16"/>
  <c r="D20" i="16" s="1"/>
  <c r="B11" i="16"/>
  <c r="B20" i="16" s="1"/>
  <c r="I11" i="16"/>
  <c r="I20" i="16" s="1"/>
  <c r="P83" i="15"/>
  <c r="O90" i="15"/>
  <c r="O89" i="15"/>
  <c r="O87" i="15"/>
  <c r="O86" i="15"/>
  <c r="O84" i="15"/>
  <c r="Q83" i="15"/>
  <c r="O83" i="15"/>
  <c r="O67" i="15"/>
  <c r="O65" i="15"/>
  <c r="O63" i="15"/>
  <c r="O66" i="15"/>
  <c r="O62" i="15"/>
  <c r="P36" i="15"/>
  <c r="P37" i="15"/>
  <c r="P40" i="15"/>
  <c r="P44" i="15"/>
  <c r="Q63" i="15"/>
  <c r="P51" i="15"/>
  <c r="O57" i="15"/>
  <c r="O55" i="15"/>
  <c r="O52" i="15"/>
  <c r="O51" i="15"/>
  <c r="O49" i="15"/>
  <c r="O48" i="15"/>
  <c r="O46" i="15"/>
  <c r="O44" i="15"/>
  <c r="O45" i="15"/>
  <c r="O43" i="15"/>
  <c r="O41" i="15"/>
  <c r="O40" i="15"/>
  <c r="O37" i="15"/>
  <c r="O38" i="15"/>
  <c r="O36" i="15"/>
  <c r="U19" i="15"/>
  <c r="V18" i="15"/>
  <c r="V19" i="15"/>
  <c r="U22" i="15"/>
  <c r="V22" i="15"/>
  <c r="Q12" i="15"/>
  <c r="P20" i="15"/>
  <c r="J90" i="15"/>
  <c r="J87" i="15"/>
  <c r="J84" i="15"/>
  <c r="H80" i="15"/>
  <c r="I80" i="15" s="1"/>
  <c r="I79" i="15"/>
  <c r="B75" i="15"/>
  <c r="J63" i="15"/>
  <c r="I63" i="15"/>
  <c r="J64" i="15"/>
  <c r="I64" i="15"/>
  <c r="K40" i="15"/>
  <c r="K33" i="15"/>
  <c r="J33" i="15"/>
  <c r="B27" i="15"/>
  <c r="L12" i="15"/>
  <c r="L18" i="15" s="1"/>
  <c r="B3" i="15"/>
  <c r="Q33" i="15" l="1"/>
  <c r="K44" i="15"/>
  <c r="Q44" i="15" s="1"/>
  <c r="R44" i="15" s="1"/>
  <c r="L47" i="12" s="1"/>
  <c r="J81" i="18"/>
  <c r="J86" i="18" s="1"/>
  <c r="H65" i="15"/>
  <c r="K45" i="15"/>
  <c r="Q45" i="15" s="1"/>
  <c r="H64" i="15"/>
  <c r="K64" i="15" s="1"/>
  <c r="P65" i="15"/>
  <c r="P45" i="15"/>
  <c r="Q64" i="15"/>
  <c r="R64" i="15" s="1"/>
  <c r="L70" i="12" s="1"/>
  <c r="K66" i="15"/>
  <c r="Q66" i="15" s="1"/>
  <c r="J79" i="15"/>
  <c r="Q79" i="15" s="1"/>
  <c r="K48" i="15"/>
  <c r="Q48" i="15" s="1"/>
  <c r="H31" i="5"/>
  <c r="F31" i="5"/>
  <c r="P63" i="15"/>
  <c r="R63" i="15" s="1"/>
  <c r="L69" i="12" s="1"/>
  <c r="P48" i="15"/>
  <c r="J80" i="15"/>
  <c r="Q80" i="15" s="1"/>
  <c r="Q40" i="15"/>
  <c r="R40" i="15" s="1"/>
  <c r="L42" i="12" s="1"/>
  <c r="K43" i="15"/>
  <c r="Q43" i="15" s="1"/>
  <c r="P66" i="15"/>
  <c r="R83" i="15"/>
  <c r="K90" i="12" s="1"/>
  <c r="Q65" i="15"/>
  <c r="W19" i="15"/>
  <c r="K20" i="12" s="1"/>
  <c r="P43" i="15"/>
  <c r="W32" i="18"/>
  <c r="V32" i="18"/>
  <c r="X32" i="18" s="1"/>
  <c r="K33" i="10" s="1"/>
  <c r="E17" i="19"/>
  <c r="E19" i="19" s="1"/>
  <c r="E18" i="6" s="1"/>
  <c r="F17" i="19"/>
  <c r="F18" i="19"/>
  <c r="F11" i="19"/>
  <c r="E37" i="10"/>
  <c r="F29" i="10" s="1"/>
  <c r="C18" i="6"/>
  <c r="H71" i="18"/>
  <c r="H81" i="18"/>
  <c r="H86" i="18" s="1"/>
  <c r="K68" i="18"/>
  <c r="I31" i="5"/>
  <c r="W22" i="15"/>
  <c r="K23" i="12" s="1"/>
  <c r="P12" i="15"/>
  <c r="K37" i="15"/>
  <c r="Q37" i="15" s="1"/>
  <c r="R37" i="15" s="1"/>
  <c r="L38" i="12" s="1"/>
  <c r="I38" i="15"/>
  <c r="I41" i="15" s="1"/>
  <c r="I46" i="15" s="1"/>
  <c r="I49" i="15" s="1"/>
  <c r="I52" i="15" s="1"/>
  <c r="I57" i="15" s="1"/>
  <c r="K51" i="15"/>
  <c r="Q51" i="15" s="1"/>
  <c r="R51" i="15" s="1"/>
  <c r="L56" i="12" s="1"/>
  <c r="J38" i="15"/>
  <c r="J41" i="15" s="1"/>
  <c r="J46" i="15" s="1"/>
  <c r="J49" i="15" s="1"/>
  <c r="J62" i="15" s="1"/>
  <c r="K36" i="15"/>
  <c r="Q36" i="15" s="1"/>
  <c r="R36" i="15" s="1"/>
  <c r="L37" i="12" s="1"/>
  <c r="Q20" i="15"/>
  <c r="I65" i="15"/>
  <c r="J65" i="15"/>
  <c r="H83" i="15"/>
  <c r="I84" i="15" s="1"/>
  <c r="Q84" i="15" s="1"/>
  <c r="H38" i="15"/>
  <c r="H63" i="15"/>
  <c r="R45" i="15" l="1"/>
  <c r="L48" i="12" s="1"/>
  <c r="K63" i="15"/>
  <c r="R66" i="15"/>
  <c r="L72" i="12" s="1"/>
  <c r="J67" i="15"/>
  <c r="R48" i="15"/>
  <c r="L52" i="12" s="1"/>
  <c r="P79" i="15"/>
  <c r="R79" i="15" s="1"/>
  <c r="K86" i="12" s="1"/>
  <c r="I32" i="5"/>
  <c r="L33" i="6" s="1"/>
  <c r="L32" i="6"/>
  <c r="F32" i="5"/>
  <c r="I32" i="6"/>
  <c r="H32" i="5"/>
  <c r="K33" i="6" s="1"/>
  <c r="K32" i="6"/>
  <c r="R65" i="15"/>
  <c r="L71" i="12" s="1"/>
  <c r="I62" i="15"/>
  <c r="I67" i="15" s="1"/>
  <c r="R43" i="15"/>
  <c r="L46" i="12" s="1"/>
  <c r="J52" i="15"/>
  <c r="J57" i="15" s="1"/>
  <c r="R12" i="15"/>
  <c r="K13" i="12" s="1"/>
  <c r="L8" i="12" s="1"/>
  <c r="F19" i="19"/>
  <c r="F18" i="6" s="1"/>
  <c r="H105" i="18"/>
  <c r="I106" i="18" s="1"/>
  <c r="K81" i="18"/>
  <c r="K86" i="18" s="1"/>
  <c r="H76" i="18"/>
  <c r="K71" i="18"/>
  <c r="R20" i="15"/>
  <c r="E21" i="12" s="1"/>
  <c r="K65" i="15"/>
  <c r="H41" i="15"/>
  <c r="K38" i="15"/>
  <c r="I33" i="6" l="1"/>
  <c r="H18" i="19"/>
  <c r="H11" i="19"/>
  <c r="H108" i="18"/>
  <c r="I109" i="18" s="1"/>
  <c r="K76" i="18"/>
  <c r="K74" i="18" s="1"/>
  <c r="H46" i="15"/>
  <c r="K41" i="15"/>
  <c r="H17" i="19" l="1"/>
  <c r="H19" i="19" s="1"/>
  <c r="H18" i="6" s="1"/>
  <c r="K46" i="15"/>
  <c r="H49" i="15"/>
  <c r="H62" i="15" s="1"/>
  <c r="H67" i="15" s="1"/>
  <c r="K49" i="15" l="1"/>
  <c r="H52" i="15"/>
  <c r="H57" i="15" l="1"/>
  <c r="K52" i="15"/>
  <c r="K62" i="15"/>
  <c r="K67" i="15" s="1"/>
  <c r="H86" i="15"/>
  <c r="I87" i="15" s="1"/>
  <c r="Q87" i="15" s="1"/>
  <c r="H89" i="15" l="1"/>
  <c r="I90" i="15" s="1"/>
  <c r="Q90" i="15" s="1"/>
  <c r="K57" i="15"/>
  <c r="K55" i="15" s="1"/>
  <c r="Q55" i="15" s="1"/>
  <c r="B102" i="10" l="1"/>
  <c r="B49" i="10"/>
  <c r="H107" i="10"/>
  <c r="I107" i="10" s="1"/>
  <c r="J107" i="10" s="1"/>
  <c r="J120" i="10"/>
  <c r="J116" i="10"/>
  <c r="J112" i="10"/>
  <c r="I106" i="10"/>
  <c r="J106" i="10" s="1"/>
  <c r="K93" i="10"/>
  <c r="K77" i="10"/>
  <c r="J90" i="10"/>
  <c r="I90" i="10"/>
  <c r="K69" i="10"/>
  <c r="K68" i="10"/>
  <c r="J92" i="10"/>
  <c r="I92" i="10"/>
  <c r="K63" i="10"/>
  <c r="K59" i="10"/>
  <c r="J61" i="10"/>
  <c r="J65" i="10" s="1"/>
  <c r="J71" i="10" s="1"/>
  <c r="J75" i="10" s="1"/>
  <c r="I61" i="10"/>
  <c r="I65" i="10" s="1"/>
  <c r="I71" i="10" s="1"/>
  <c r="I75" i="10" s="1"/>
  <c r="H61" i="10"/>
  <c r="K55" i="10"/>
  <c r="J55" i="10"/>
  <c r="B3" i="10"/>
  <c r="U18" i="15"/>
  <c r="B29" i="12"/>
  <c r="K92" i="10" l="1"/>
  <c r="K90" i="10"/>
  <c r="L11" i="19"/>
  <c r="L17" i="19"/>
  <c r="L18" i="19"/>
  <c r="R23" i="18"/>
  <c r="Q21" i="18"/>
  <c r="S21" i="18" s="1"/>
  <c r="E22" i="10" s="1"/>
  <c r="Q23" i="18"/>
  <c r="W18" i="18"/>
  <c r="R24" i="18"/>
  <c r="W18" i="15"/>
  <c r="K19" i="12" s="1"/>
  <c r="U21" i="15"/>
  <c r="K61" i="10"/>
  <c r="H65" i="10"/>
  <c r="J79" i="10"/>
  <c r="J84" i="10" s="1"/>
  <c r="J89" i="10"/>
  <c r="J95" i="10" s="1"/>
  <c r="I79" i="10"/>
  <c r="I84" i="10" s="1"/>
  <c r="I89" i="10"/>
  <c r="I95" i="10" s="1"/>
  <c r="K73" i="10"/>
  <c r="K58" i="10"/>
  <c r="K67" i="10"/>
  <c r="H110" i="10"/>
  <c r="I112" i="10" s="1"/>
  <c r="D19" i="16"/>
  <c r="D21" i="16" s="1"/>
  <c r="D18" i="5" s="1"/>
  <c r="B19" i="16"/>
  <c r="L19" i="19" l="1"/>
  <c r="L18" i="6" s="1"/>
  <c r="S23" i="18"/>
  <c r="E24" i="10" s="1"/>
  <c r="W20" i="18"/>
  <c r="V18" i="18"/>
  <c r="X18" i="18" s="1"/>
  <c r="K18" i="10" s="1"/>
  <c r="Q24" i="18"/>
  <c r="S24" i="18" s="1"/>
  <c r="E25" i="10" s="1"/>
  <c r="W21" i="15"/>
  <c r="K22" i="12" s="1"/>
  <c r="H71" i="10"/>
  <c r="K65" i="10"/>
  <c r="B3" i="12"/>
  <c r="J34" i="12"/>
  <c r="P33" i="15" s="1"/>
  <c r="B82" i="12"/>
  <c r="H87" i="12"/>
  <c r="P80" i="15" s="1"/>
  <c r="R80" i="15" s="1"/>
  <c r="K87" i="12" s="1"/>
  <c r="I19" i="16"/>
  <c r="I21" i="16" s="1"/>
  <c r="I18" i="5" s="1"/>
  <c r="Q21" i="15" l="1"/>
  <c r="F16" i="10"/>
  <c r="W30" i="18"/>
  <c r="V20" i="18"/>
  <c r="X20" i="18" s="1"/>
  <c r="K21" i="10" s="1"/>
  <c r="L16" i="10" s="1"/>
  <c r="R33" i="15"/>
  <c r="L34" i="12" s="1"/>
  <c r="H75" i="10"/>
  <c r="H89" i="10" s="1"/>
  <c r="K89" i="10" s="1"/>
  <c r="K71" i="10"/>
  <c r="H40" i="12"/>
  <c r="I40" i="12"/>
  <c r="I44" i="12" s="1"/>
  <c r="J40" i="12"/>
  <c r="J44" i="12" s="1"/>
  <c r="P21" i="15" l="1"/>
  <c r="R21" i="15" s="1"/>
  <c r="E22" i="12" s="1"/>
  <c r="V30" i="18"/>
  <c r="X30" i="18" s="1"/>
  <c r="K31" i="10" s="1"/>
  <c r="W35" i="18"/>
  <c r="P38" i="15"/>
  <c r="Q38" i="15"/>
  <c r="H44" i="12"/>
  <c r="H79" i="10"/>
  <c r="K75" i="10"/>
  <c r="J50" i="12"/>
  <c r="J54" i="12" s="1"/>
  <c r="I50" i="12"/>
  <c r="I54" i="12" s="1"/>
  <c r="P84" i="15"/>
  <c r="H50" i="12" l="1"/>
  <c r="H54" i="12" s="1"/>
  <c r="P46" i="15"/>
  <c r="R38" i="15"/>
  <c r="L40" i="12" s="1"/>
  <c r="I58" i="12"/>
  <c r="I63" i="12" s="1"/>
  <c r="J58" i="12"/>
  <c r="J63" i="12" s="1"/>
  <c r="V38" i="18"/>
  <c r="W38" i="18"/>
  <c r="V35" i="18"/>
  <c r="X35" i="18" s="1"/>
  <c r="K37" i="10" s="1"/>
  <c r="R84" i="15"/>
  <c r="K92" i="12" s="1"/>
  <c r="Q41" i="15"/>
  <c r="P41" i="15"/>
  <c r="K95" i="10"/>
  <c r="H95" i="10"/>
  <c r="H114" i="10" s="1"/>
  <c r="I116" i="10" s="1"/>
  <c r="K79" i="10"/>
  <c r="H84" i="10"/>
  <c r="Q46" i="15" l="1"/>
  <c r="R46" i="15"/>
  <c r="L50" i="12" s="1"/>
  <c r="H58" i="12"/>
  <c r="K11" i="19"/>
  <c r="K17" i="19"/>
  <c r="K18" i="19"/>
  <c r="I11" i="19"/>
  <c r="J11" i="19" s="1"/>
  <c r="I18" i="19"/>
  <c r="X38" i="18"/>
  <c r="K41" i="10" s="1"/>
  <c r="L29" i="10" s="1"/>
  <c r="R41" i="15"/>
  <c r="L44" i="12" s="1"/>
  <c r="Q49" i="15"/>
  <c r="P49" i="15"/>
  <c r="H118" i="10"/>
  <c r="I120" i="10" s="1"/>
  <c r="K84" i="10"/>
  <c r="Q52" i="15" l="1"/>
  <c r="H63" i="12"/>
  <c r="Q62" i="15"/>
  <c r="M11" i="19"/>
  <c r="N11" i="19" s="1"/>
  <c r="M18" i="19"/>
  <c r="J30" i="19"/>
  <c r="H30" i="19" s="1"/>
  <c r="J33" i="19"/>
  <c r="H33" i="19" s="1"/>
  <c r="J32" i="19"/>
  <c r="H32" i="19" s="1"/>
  <c r="J31" i="19"/>
  <c r="H31" i="19" s="1"/>
  <c r="I17" i="19"/>
  <c r="I19" i="19" s="1"/>
  <c r="J18" i="19" a="1"/>
  <c r="J18" i="19" s="1"/>
  <c r="K19" i="19"/>
  <c r="K18" i="6" s="1"/>
  <c r="R49" i="15"/>
  <c r="L54" i="12" s="1"/>
  <c r="P52" i="15"/>
  <c r="K82" i="10"/>
  <c r="Q57" i="15" l="1"/>
  <c r="Q89" i="15"/>
  <c r="F11" i="16"/>
  <c r="P89" i="15"/>
  <c r="R89" i="15" s="1"/>
  <c r="K98" i="12" s="1"/>
  <c r="Q86" i="15"/>
  <c r="P67" i="15"/>
  <c r="P62" i="15"/>
  <c r="R62" i="15" s="1"/>
  <c r="L68" i="12" s="1"/>
  <c r="Q67" i="15"/>
  <c r="P57" i="15"/>
  <c r="R57" i="15" s="1"/>
  <c r="L63" i="12" s="1"/>
  <c r="J11" i="16"/>
  <c r="J36" i="19"/>
  <c r="J17" i="19"/>
  <c r="J19" i="19" s="1"/>
  <c r="J18" i="6" s="1"/>
  <c r="I18" i="6"/>
  <c r="M17" i="19"/>
  <c r="M19" i="19" s="1"/>
  <c r="M18" i="6" s="1"/>
  <c r="N18" i="19" a="1"/>
  <c r="N18" i="19" s="1"/>
  <c r="N17" i="19"/>
  <c r="R52" i="15"/>
  <c r="L58" i="12" s="1"/>
  <c r="P55" i="15"/>
  <c r="F19" i="16" l="1"/>
  <c r="R67" i="15"/>
  <c r="L74" i="12" s="1"/>
  <c r="D67" i="12" s="1"/>
  <c r="P86" i="15"/>
  <c r="R86" i="15" s="1"/>
  <c r="K94" i="12" s="1"/>
  <c r="J20" i="16"/>
  <c r="K11" i="16"/>
  <c r="K20" i="16" s="1"/>
  <c r="F20" i="16"/>
  <c r="N19" i="19"/>
  <c r="N18" i="6" s="1"/>
  <c r="B18" i="6" s="1"/>
  <c r="H35" i="19"/>
  <c r="J35" i="19"/>
  <c r="J37" i="19" s="1"/>
  <c r="J35" i="6" s="1"/>
  <c r="H36" i="19"/>
  <c r="K19" i="16"/>
  <c r="J19" i="16"/>
  <c r="R55" i="15"/>
  <c r="L61" i="12" s="1"/>
  <c r="D34" i="12" s="1"/>
  <c r="P90" i="15"/>
  <c r="F21" i="16" l="1"/>
  <c r="F18" i="5" s="1"/>
  <c r="H37" i="19"/>
  <c r="H35" i="6" s="1"/>
  <c r="B35" i="6" s="1"/>
  <c r="P87" i="15"/>
  <c r="R87" i="15" s="1"/>
  <c r="K96" i="12" s="1"/>
  <c r="H11" i="16"/>
  <c r="H20" i="16" s="1"/>
  <c r="H19" i="16"/>
  <c r="K21" i="16"/>
  <c r="K18" i="5" s="1"/>
  <c r="J21" i="16"/>
  <c r="J18" i="5" s="1"/>
  <c r="R90" i="15"/>
  <c r="K100" i="12" s="1"/>
  <c r="H21" i="16" l="1"/>
  <c r="H18" i="5" s="1"/>
  <c r="D87" i="12"/>
  <c r="Q22" i="15" l="1"/>
  <c r="F23" i="15"/>
  <c r="L20" i="15" s="1"/>
  <c r="L23" i="15" s="1"/>
  <c r="P22" i="15"/>
  <c r="R22" i="15" s="1"/>
  <c r="E23" i="12" s="1"/>
  <c r="Q23" i="15"/>
  <c r="V20" i="15" l="1"/>
  <c r="P23" i="15"/>
  <c r="R23" i="15" s="1"/>
  <c r="E25" i="12" s="1"/>
  <c r="F17" i="12" s="1"/>
  <c r="U20" i="15" l="1"/>
  <c r="W20" i="15" s="1"/>
  <c r="K21" i="12" s="1"/>
  <c r="V23" i="15"/>
  <c r="U23" i="15" l="1"/>
  <c r="W23" i="15" s="1"/>
  <c r="K25" i="12" s="1"/>
  <c r="L17" i="12" s="1"/>
  <c r="E11" i="16"/>
  <c r="E20" i="16" l="1"/>
  <c r="G11" i="16"/>
  <c r="E19" i="16"/>
  <c r="E21" i="16" l="1"/>
  <c r="E18" i="5" s="1"/>
  <c r="G19" i="16"/>
  <c r="G43" i="16"/>
  <c r="G20" i="16"/>
  <c r="G35" i="16"/>
  <c r="E35" i="16" s="1"/>
  <c r="G36" i="16"/>
  <c r="E36" i="16" s="1"/>
  <c r="G37" i="16"/>
  <c r="E37" i="16" s="1"/>
  <c r="G38" i="16"/>
  <c r="E38" i="16" s="1"/>
  <c r="C6" i="17" l="1"/>
  <c r="E6" i="17"/>
  <c r="E42" i="16"/>
  <c r="G42" i="16"/>
  <c r="G44" i="16" s="1"/>
  <c r="G34" i="5" s="1"/>
  <c r="E43" i="16"/>
  <c r="G21" i="16"/>
  <c r="G18" i="5" s="1"/>
  <c r="B18" i="5" s="1"/>
  <c r="E44" i="16" l="1"/>
  <c r="E34" i="5" s="1"/>
  <c r="B34" i="5" s="1"/>
  <c r="D5" i="17"/>
  <c r="E5" i="17"/>
  <c r="E7" i="17" s="1"/>
  <c r="E46" i="4" s="1"/>
  <c r="D6" i="17"/>
  <c r="F5" i="17"/>
  <c r="C5" i="17"/>
  <c r="F6" i="17"/>
  <c r="C7" i="17" l="1"/>
  <c r="C46" i="4" s="1"/>
  <c r="F7" i="17"/>
  <c r="F46" i="4" s="1"/>
  <c r="D7" i="17"/>
  <c r="D46" i="4" s="1"/>
  <c r="B46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<sst xmlns="http://schemas.openxmlformats.org/spreadsheetml/2006/main" count="790" uniqueCount="159">
  <si>
    <t xml:space="preserve"> </t>
  </si>
  <si>
    <t>https://corporatefinanceinstitute.com/</t>
  </si>
  <si>
    <t>except in the case of certain noncommercial uses permitted by copyright law.</t>
  </si>
  <si>
    <t xml:space="preserve">form by any means, including photocopying, recording, or other electronic or mechanical methods, without prior written permission of the publisher, </t>
  </si>
  <si>
    <t>under international copyright and trademark laws.  No part of this publication may be modified, manipulated, reproduced, distributed, or transmitted in any</t>
  </si>
  <si>
    <t>All rights reserved.  The contents of this publication, including but not limited to all written material, content layout, images, formulas, and code, are protected</t>
  </si>
  <si>
    <t>This Excel model is for educational purposes only and should not be used for any other reason. All content is Copyright material of CFI Education Inc.</t>
  </si>
  <si>
    <t>© 2015 to 2024 CFI Education Inc.</t>
  </si>
  <si>
    <t>Precedent Transaction Analysis</t>
  </si>
  <si>
    <t>Comparable Trading Analysis</t>
  </si>
  <si>
    <t>Summary</t>
  </si>
  <si>
    <t>Table of Contents</t>
  </si>
  <si>
    <t>Strictly Confidential</t>
  </si>
  <si>
    <t>Comparable Valuation Model</t>
  </si>
  <si>
    <t>DCF Valuation Analysis</t>
  </si>
  <si>
    <t>Mid</t>
  </si>
  <si>
    <t>High</t>
  </si>
  <si>
    <t>Delta</t>
  </si>
  <si>
    <t>Low</t>
  </si>
  <si>
    <t>All figures in USD millions unless stated</t>
  </si>
  <si>
    <t>Valuation Graphing Data</t>
  </si>
  <si>
    <t>Enterprise Value</t>
  </si>
  <si>
    <t>Valuation Summary</t>
  </si>
  <si>
    <t>Minimum</t>
  </si>
  <si>
    <t>Maximum</t>
  </si>
  <si>
    <t>Median</t>
  </si>
  <si>
    <t>Average</t>
  </si>
  <si>
    <t>(FD mm)</t>
  </si>
  <si>
    <t>(USD/sh)</t>
  </si>
  <si>
    <t>Peer Companies</t>
  </si>
  <si>
    <t>EBITDA</t>
  </si>
  <si>
    <t>Enterprise</t>
  </si>
  <si>
    <t>Share Price</t>
  </si>
  <si>
    <t>(YYYY-MM-DD)</t>
  </si>
  <si>
    <t>Premium</t>
  </si>
  <si>
    <t>Target</t>
  </si>
  <si>
    <t>Acquirer</t>
  </si>
  <si>
    <t>Date</t>
  </si>
  <si>
    <t>Income Statement</t>
  </si>
  <si>
    <t>Net Debt</t>
  </si>
  <si>
    <t>Revenue</t>
  </si>
  <si>
    <t>Gross Profit</t>
  </si>
  <si>
    <t>Shares Outstanding</t>
  </si>
  <si>
    <t>Company Information</t>
  </si>
  <si>
    <t>Market Capitalization</t>
  </si>
  <si>
    <t>Company Name</t>
  </si>
  <si>
    <t>Analysis Date</t>
  </si>
  <si>
    <t>(FD)</t>
  </si>
  <si>
    <t>Current Borrowings</t>
  </si>
  <si>
    <t>Plus: Net Debt</t>
  </si>
  <si>
    <t>Non-Current Borrowings</t>
  </si>
  <si>
    <t>Plus: Preferred Stock</t>
  </si>
  <si>
    <t>Plus: Non-Controlling Interest</t>
  </si>
  <si>
    <t>Less: Investments in Affiliates / JVs</t>
  </si>
  <si>
    <t>Less: Cash &amp; Cash Equivalents</t>
  </si>
  <si>
    <t>Latest</t>
  </si>
  <si>
    <t>Current</t>
  </si>
  <si>
    <t>Previous</t>
  </si>
  <si>
    <t>Fiscal Year</t>
  </si>
  <si>
    <r>
      <t xml:space="preserve">YTD </t>
    </r>
    <r>
      <rPr>
        <b/>
        <vertAlign val="superscript"/>
        <sz val="10"/>
        <color rgb="FF000000"/>
        <rFont val="Open Sans"/>
        <family val="2"/>
      </rPr>
      <t>1</t>
    </r>
  </si>
  <si>
    <t>LTM</t>
  </si>
  <si>
    <t>Cost of Sales</t>
  </si>
  <si>
    <t>Selling, General &amp; Administrative</t>
  </si>
  <si>
    <t>Operating Income (EBIT)</t>
  </si>
  <si>
    <r>
      <t xml:space="preserve">Income from Equity Investments </t>
    </r>
    <r>
      <rPr>
        <vertAlign val="superscript"/>
        <sz val="10"/>
        <color theme="1"/>
        <rFont val="Open Sans"/>
        <family val="2"/>
      </rPr>
      <t>2</t>
    </r>
  </si>
  <si>
    <t>Earnings Before Tax (EBT)</t>
  </si>
  <si>
    <t>Taxes</t>
  </si>
  <si>
    <t>Consolidated Net Income</t>
  </si>
  <si>
    <t>Non-Controlling Interest</t>
  </si>
  <si>
    <t>Net Income to Company</t>
  </si>
  <si>
    <t>Diluted EPS</t>
  </si>
  <si>
    <t>Weighted Average Diluted Shares</t>
  </si>
  <si>
    <t>(mm)</t>
  </si>
  <si>
    <t xml:space="preserve">Income from Equity Investments also includes income from unconsolidated affiliates and joint ventures (JVs). </t>
  </si>
  <si>
    <t>Share</t>
  </si>
  <si>
    <t>Price</t>
  </si>
  <si>
    <t>Consideration Details</t>
  </si>
  <si>
    <t>Total Offer Price per Share</t>
  </si>
  <si>
    <t>Announced Synergies</t>
  </si>
  <si>
    <t xml:space="preserve">The exchange ratio is multiplied by the acquirer's share price to obtain the per-share-value of the stock the target will receive. </t>
  </si>
  <si>
    <t>Transaction Value</t>
  </si>
  <si>
    <t>Fully Diluted Shares Outstanding</t>
  </si>
  <si>
    <t>Equity Offer Value</t>
  </si>
  <si>
    <t>Less: Investments in Affiliates/JVs</t>
  </si>
  <si>
    <t>Ticker</t>
  </si>
  <si>
    <t>Value</t>
  </si>
  <si>
    <t>EPS</t>
  </si>
  <si>
    <t>P / E</t>
  </si>
  <si>
    <t>(LTM)</t>
  </si>
  <si>
    <t xml:space="preserve">EV / </t>
  </si>
  <si>
    <t>YoY Growth</t>
  </si>
  <si>
    <t>EBITDA Growth</t>
  </si>
  <si>
    <t>(FY+1)</t>
  </si>
  <si>
    <t>Target Company Valuation</t>
  </si>
  <si>
    <t xml:space="preserve">Target company valuation based on LTM EV/EBITDA multiple. </t>
  </si>
  <si>
    <t xml:space="preserve">Use the most recent year-to-date (YTD) amount like 6-months ending instead of 3-months ending. </t>
  </si>
  <si>
    <r>
      <t xml:space="preserve">Growth Estimates </t>
    </r>
    <r>
      <rPr>
        <b/>
        <vertAlign val="superscript"/>
        <sz val="10"/>
        <color theme="1"/>
        <rFont val="Open Sans"/>
        <family val="2"/>
      </rPr>
      <t>1</t>
    </r>
  </si>
  <si>
    <t xml:space="preserve">Forecasts sourced from consensus equity research estimates. </t>
  </si>
  <si>
    <t>(FY+2)</t>
  </si>
  <si>
    <t>Company</t>
  </si>
  <si>
    <t>Stock Price</t>
  </si>
  <si>
    <t>Cash Offer</t>
  </si>
  <si>
    <r>
      <t xml:space="preserve">Exchange Ratio </t>
    </r>
    <r>
      <rPr>
        <vertAlign val="superscript"/>
        <sz val="10"/>
        <color theme="1"/>
        <rFont val="Open Sans"/>
        <family val="2"/>
      </rPr>
      <t>1</t>
    </r>
  </si>
  <si>
    <t>Implied Equity Offer Price</t>
  </si>
  <si>
    <t>Total Offer Price</t>
  </si>
  <si>
    <t>Premium Paid</t>
  </si>
  <si>
    <t>Paid</t>
  </si>
  <si>
    <t>Transaction</t>
  </si>
  <si>
    <t>Offer</t>
  </si>
  <si>
    <t>Type</t>
  </si>
  <si>
    <t xml:space="preserve">Comparable Trading and Precedent Transaction Analysis both use LTM EV / EBITDA. </t>
  </si>
  <si>
    <t>Harvest Market</t>
  </si>
  <si>
    <t>HVM</t>
  </si>
  <si>
    <t>Grocery Getaway</t>
  </si>
  <si>
    <t>The Food Emporium</t>
  </si>
  <si>
    <t>Green Grocery</t>
  </si>
  <si>
    <t>GGY</t>
  </si>
  <si>
    <t>GCI</t>
  </si>
  <si>
    <t>TFE</t>
  </si>
  <si>
    <t>GEG</t>
  </si>
  <si>
    <t>Gourmet Choice</t>
  </si>
  <si>
    <t>Golden Pantry</t>
  </si>
  <si>
    <t>Nature’s Choice</t>
  </si>
  <si>
    <t>Fresh Eats</t>
  </si>
  <si>
    <t>Pure Pantry</t>
  </si>
  <si>
    <t>Fresh Market</t>
  </si>
  <si>
    <t>World Fare Market</t>
  </si>
  <si>
    <t>Global Cuisine</t>
  </si>
  <si>
    <t>Harvest Basket</t>
  </si>
  <si>
    <t>QuickStop Market</t>
  </si>
  <si>
    <t>Country Harvest</t>
  </si>
  <si>
    <t>Mix</t>
  </si>
  <si>
    <t>Cash</t>
  </si>
  <si>
    <t>Stock</t>
  </si>
  <si>
    <t>Interest Income</t>
  </si>
  <si>
    <t>Interest Expense</t>
  </si>
  <si>
    <t xml:space="preserve">Summary results above exclude The Food Emporium. </t>
  </si>
  <si>
    <r>
      <t xml:space="preserve">Target Company Valuation </t>
    </r>
    <r>
      <rPr>
        <b/>
        <vertAlign val="superscript"/>
        <sz val="10"/>
        <color rgb="FF000000"/>
        <rFont val="Open Sans"/>
        <family val="2"/>
      </rPr>
      <t>1, 2</t>
    </r>
  </si>
  <si>
    <t xml:space="preserve">Summary results above exclude the acquisition of QuickStop Market by Country Harvest. </t>
  </si>
  <si>
    <t>EBITDA Calculation</t>
  </si>
  <si>
    <t>Excel Links</t>
  </si>
  <si>
    <t>Synergies as a Percent of Transaction Value</t>
  </si>
  <si>
    <t>Learner</t>
  </si>
  <si>
    <t>Correct</t>
  </si>
  <si>
    <t>Compare</t>
  </si>
  <si>
    <t>Headings</t>
  </si>
  <si>
    <t>Plus: Net Interest</t>
  </si>
  <si>
    <t>Plus: Taxes</t>
  </si>
  <si>
    <t>Plus: Depreciation</t>
  </si>
  <si>
    <t>Growth Estimates</t>
  </si>
  <si>
    <t>Trading Analysis</t>
  </si>
  <si>
    <t>Transaction Analysis</t>
  </si>
  <si>
    <t>GPT</t>
  </si>
  <si>
    <t>Consideration</t>
  </si>
  <si>
    <t>Equity Offer</t>
  </si>
  <si>
    <t>Synergies as a Percent</t>
  </si>
  <si>
    <t>Type of Offer</t>
  </si>
  <si>
    <t>Announcement Date</t>
  </si>
  <si>
    <t>Less: Income from Equity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</si>
</sst>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(* #,##0.00_);_(* \(#,##0.00\);_(* &quot;-&quot;??_);_(@_)"/>
    <numFmt numFmtId="164" formatCode="_(#,##0_)_%;\(#,##0\)_%;_(&quot;–&quot;_)_%;_(@_)_%"/>
    <numFmt numFmtId="165" formatCode="0.00\⁽\⁶\⁾"/>
    <numFmt numFmtId="166" formatCode="0&quot;A&quot;"/>
    <numFmt numFmtId="167" formatCode="_(#,##0_);\(#,##0\);_(&quot;–&quot;_);_(@_)"/>
    <numFmt numFmtId="168" formatCode="0&quot;E&quot;"/>
    <numFmt numFmtId="169" formatCode="@\⁽\¹\⁾"/>
    <numFmt numFmtId="170" formatCode="_-* #,##0_-;\(#,##0\)_-;_-* &quot;-&quot;_-;_-@_-"/>
    <numFmt numFmtId="171" formatCode="_(0.0\x_);\(0.0\x\);_(&quot;–&quot;_);_(@_)"/>
    <numFmt numFmtId="172" formatCode="#,##0_);\(#,##0\);\-"/>
    <numFmt numFmtId="173" formatCode="@\⁽\²\⁾"/>
    <numFmt numFmtId="174" formatCode="0.0\x"/>
    <numFmt numFmtId="175" formatCode="_(#,##0.0_);\(#,##0.0\);_(&quot;–&quot;_);_(@_)"/>
    <numFmt numFmtId="176" formatCode="_(#,##0.00_);\(#,##0.00\);_(&quot;–&quot;_);_(@_)"/>
    <numFmt numFmtId="177" formatCode="yyyy/mm/dd;@"/>
    <numFmt numFmtId="178" formatCode="_(#,##0%_);\(#,##0%\);_(&quot;–&quot;_);_(@_)"/>
    <numFmt numFmtId="179" formatCode="yyyy\-mm\-dd;@"/>
    <numFmt numFmtId="180" formatCode="_(#,##0.0%_);\(#,##0.0%\);_(&quot;–&quot;_)_%;_(@_)_%"/>
    <numFmt numFmtId="181" formatCode="#,##0.0_);\(#,##0.0\)"/>
    <numFmt numFmtId="182" formatCode="_(#,##0.0000_);\(#,##0.0000\);_(&quot;–&quot;_);_(@_)"/>
    <numFmt numFmtId="183" formatCode="yyyy/mm/dd_);@"/>
    <numFmt numFmtId="184" formatCode="_(#,##0.00%_);\(#,##0.00%\);_(&quot;–&quot;_)_%;_(@_)_%"/>
    <numFmt numFmtId="185" formatCode="&quot;FY &quot;0000_)"/>
    <numFmt numFmtId="186" formatCode="#,##0.0_);\(#,##0.0\);\-"/>
    <numFmt numFmtId="187" formatCode="_(0.00\x_);\(0.00\x\);_(&quot;–&quot;_);_(@_)"/>
    <numFmt numFmtId="188" formatCode="_(#,##0.0%_);\(#,##0.0%\);_(&quot;–&quot;_);_(@_)"/>
    <numFmt numFmtId="189" formatCode="_(&quot;$&quot;#,##0_);\(&quot;$&quot;#,##0\);_(&quot;–&quot;_);_(@_)"/>
    <numFmt numFmtId="190" formatCode="_(&quot;$&quot;#,##0.00_);\(&quot;$&quot;#,##0.00\);_(&quot;–&quot;_);_(@_)"/>
    <numFmt numFmtId="191" formatCode="mmmm\ d\,\ yyyy"/>
    <numFmt numFmtId="192" formatCode="[=1]&quot;☑️&quot;_);[=0]&quot;⬜&quot;_)"/>
  </numFmts>
  <fonts count="75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2"/>
      <color rgb="FF3271D2"/>
      <name val="Open Sans"/>
      <family val="2"/>
    </font>
    <font>
      <sz val="10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b/>
      <sz val="20"/>
      <color rgb="FF4472C4"/>
      <name val="Open Sans"/>
      <family val="2"/>
    </font>
    <font>
      <sz val="14"/>
      <color theme="1"/>
      <name val="Open Sans"/>
      <family val="2"/>
    </font>
    <font>
      <sz val="11"/>
      <color rgb="FF000000"/>
      <name val="Calibri"/>
      <family val="2"/>
      <scheme val="minor"/>
    </font>
    <font>
      <sz val="10"/>
      <color rgb="FF000000"/>
      <name val="Open Sans"/>
      <family val="2"/>
    </font>
    <font>
      <sz val="10"/>
      <color rgb="FF3271D2"/>
      <name val="Open Sans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Open Sans"/>
      <family val="2"/>
    </font>
    <font>
      <b/>
      <sz val="14"/>
      <color rgb="FF0000FF"/>
      <name val="Open Sans"/>
      <family val="2"/>
    </font>
    <font>
      <i/>
      <sz val="9"/>
      <name val="Open Sans"/>
      <family val="2"/>
    </font>
    <font>
      <i/>
      <sz val="9"/>
      <color rgb="FF000000"/>
      <name val="Open Sans"/>
      <family val="2"/>
    </font>
    <font>
      <b/>
      <sz val="10"/>
      <name val="Open Sans"/>
      <family val="2"/>
    </font>
    <font>
      <b/>
      <sz val="14"/>
      <color rgb="FF3271D2"/>
      <name val="Open Sans"/>
      <family val="2"/>
    </font>
    <font>
      <sz val="14"/>
      <color rgb="FF3271D2"/>
      <name val="Open Sans"/>
      <family val="2"/>
    </font>
    <font>
      <sz val="10"/>
      <name val="Bookman"/>
      <family val="1"/>
    </font>
    <font>
      <i/>
      <sz val="11"/>
      <color theme="1"/>
      <name val="Open Sans"/>
      <family val="2"/>
    </font>
    <font>
      <sz val="11"/>
      <name val="Open Sans"/>
      <family val="2"/>
    </font>
    <font>
      <b/>
      <vertAlign val="superscript"/>
      <sz val="10"/>
      <color rgb="FF000000"/>
      <name val="Open Sans"/>
      <family val="2"/>
    </font>
    <font>
      <i/>
      <sz val="10"/>
      <color rgb="FF000000"/>
      <name val="Open Sans"/>
      <family val="2"/>
    </font>
    <font>
      <i/>
      <sz val="10"/>
      <name val="Open Sans"/>
      <family val="2"/>
    </font>
    <font>
      <sz val="10"/>
      <name val="Arial"/>
      <family val="2"/>
    </font>
    <font>
      <b/>
      <vertAlign val="superscript"/>
      <sz val="10"/>
      <color theme="1"/>
      <name val="Open Sans"/>
      <family val="2"/>
    </font>
    <font>
      <sz val="8"/>
      <color theme="1"/>
      <name val="Open Sans"/>
      <family val="2"/>
    </font>
    <font>
      <i/>
      <sz val="10"/>
      <color theme="0"/>
      <name val="Open Sans"/>
      <family val="2"/>
    </font>
    <font>
      <sz val="11"/>
      <color rgb="FF000000"/>
      <name val="Open Sans"/>
      <family val="2"/>
    </font>
    <font>
      <sz val="11"/>
      <color rgb="FFFA621C"/>
      <name val="Open Sans"/>
      <family val="2"/>
    </font>
    <font>
      <sz val="10"/>
      <color rgb="FFFA621C"/>
      <name val="Open Sans"/>
      <family val="2"/>
    </font>
    <font>
      <sz val="8"/>
      <name val="Open Sans"/>
      <family val="2"/>
    </font>
    <font>
      <sz val="12"/>
      <color theme="0"/>
      <name val="Open Sans"/>
      <family val="2"/>
    </font>
    <font>
      <i/>
      <sz val="10"/>
      <color theme="1"/>
      <name val="Open Sans"/>
      <family val="2"/>
    </font>
    <font>
      <i/>
      <sz val="8"/>
      <color theme="1"/>
      <name val="Open Sans"/>
      <family val="2"/>
    </font>
    <font>
      <sz val="11"/>
      <color theme="1"/>
      <name val="Arial Narrow"/>
      <family val="2"/>
    </font>
    <font>
      <vertAlign val="superscript"/>
      <sz val="10"/>
      <color theme="1"/>
      <name val="Open Sans"/>
      <family val="2"/>
    </font>
    <font>
      <sz val="11"/>
      <color rgb="FF3271D2"/>
      <name val="Calibri"/>
      <family val="2"/>
      <scheme val="minor"/>
    </font>
    <font>
      <b/>
      <sz val="10"/>
      <color rgb="FF3271D2"/>
      <name val="Open Sans"/>
      <family val="2"/>
    </font>
    <font>
      <sz val="9"/>
      <name val="Open Sans"/>
      <family val="2"/>
    </font>
    <font>
      <b/>
      <sz val="11"/>
      <color rgb="FFBF7914"/>
      <name val="Calibri"/>
      <family val="2"/>
      <scheme val="minor"/>
    </font>
    <font>
      <b/>
      <sz val="10"/>
      <color rgb="FFBF7914"/>
      <name val="Open Sans"/>
      <family val="2"/>
    </font>
    <font>
      <sz val="11"/>
      <color rgb="FFBF7914"/>
      <name val="Calibri"/>
      <family val="2"/>
      <scheme val="minor"/>
    </font>
    <font>
      <sz val="10"/>
      <color rgb="FFBF7914"/>
      <name val="Open Sans"/>
      <family val="2"/>
    </font>
    <font>
      <i/>
      <sz val="11"/>
      <color theme="1"/>
      <name val="Calibri"/>
      <family val="2"/>
      <scheme val="minor"/>
    </font>
    <font>
      <sz val="8"/>
      <color rgb="FFBF7914"/>
      <name val="Open Sans"/>
      <family val="2"/>
    </font>
    <font>
      <b/>
      <i/>
      <sz val="11"/>
      <color theme="1"/>
      <name val="Calibri"/>
      <family val="2"/>
      <scheme val="minor"/>
    </font>
    <font>
      <u val="singleAccounting"/>
      <sz val="11"/>
      <color rgb="FF000000"/>
      <name val="Open Sans"/>
      <family val="2"/>
    </font>
    <font>
      <u val="singleAccounting"/>
      <sz val="11"/>
      <color rgb="FF3271D2"/>
      <name val="Open Sans"/>
      <family val="2"/>
    </font>
    <font>
      <b/>
      <u val="singleAccounting"/>
      <sz val="11"/>
      <color rgb="FF3271D2"/>
      <name val="Open Sans"/>
      <family val="2"/>
    </font>
    <font>
      <sz val="11"/>
      <color rgb="FF3271D2"/>
      <name val="Open Sans"/>
      <family val="2"/>
    </font>
    <font>
      <sz val="12"/>
      <color rgb="FF3271D2"/>
      <name val="Open Sans"/>
      <family val="2"/>
    </font>
    <font>
      <u val="singleAccounting"/>
      <sz val="11"/>
      <color rgb="FF000000"/>
      <name val="Calibri"/>
      <family val="2"/>
      <scheme val="minor"/>
    </font>
    <font>
      <sz val="10"/>
      <color rgb="FF947131"/>
      <name val="Open Sans"/>
      <family val="2"/>
    </font>
    <font>
      <b/>
      <sz val="10"/>
      <color rgb="FF947131"/>
      <name val="Open Sans"/>
      <family val="2"/>
    </font>
    <font>
      <sz val="8"/>
      <color rgb="FF947131"/>
      <name val="Open Sans"/>
      <family val="2"/>
    </font>
    <font>
      <sz val="11"/>
      <color rgb="FF94713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rgb="FFF6F6F6"/>
        <bgColor rgb="FF000000"/>
      </patternFill>
    </fill>
  </fills>
  <borders count="53">
    <border>
      <left/>
      <right/>
      <top/>
      <bottom/>
      <diagonal/>
    </border>
    <border>
      <left/>
      <right/>
      <top/>
      <bottom style="medium">
        <color rgb="FF3271D2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/>
      <right/>
      <top style="hair">
        <color rgb="FF3271D2"/>
      </top>
      <bottom/>
      <diagonal/>
    </border>
    <border>
      <left style="thin">
        <color rgb="FF3271D2"/>
      </left>
      <right/>
      <top style="thin">
        <color rgb="FF3271D2"/>
      </top>
      <bottom/>
      <diagonal/>
    </border>
    <border>
      <left/>
      <right/>
      <top style="medium">
        <color rgb="FF3271D2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3271D2"/>
      </left>
      <right/>
      <top/>
      <bottom/>
      <diagonal/>
    </border>
    <border>
      <left style="hair">
        <color rgb="FF3271D2"/>
      </left>
      <right/>
      <top style="medium">
        <color rgb="FF3271D2"/>
      </top>
      <bottom/>
      <diagonal/>
    </border>
    <border>
      <left style="hair">
        <color rgb="FF3271D2"/>
      </left>
      <right/>
      <top/>
      <bottom style="medium">
        <color rgb="FF3271D2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3271D2"/>
      </bottom>
      <diagonal/>
    </border>
    <border>
      <left style="medium">
        <color rgb="FF3271D2"/>
      </left>
      <right/>
      <top/>
      <bottom/>
      <diagonal/>
    </border>
    <border>
      <left style="medium">
        <color rgb="FF3271D2"/>
      </left>
      <right/>
      <top style="thin">
        <color rgb="FF3271D2"/>
      </top>
      <bottom/>
      <diagonal/>
    </border>
    <border>
      <left style="hair">
        <color rgb="FF3271D2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3271D2"/>
      </right>
      <top style="thin">
        <color rgb="FF3271D2"/>
      </top>
      <bottom/>
      <diagonal/>
    </border>
    <border>
      <left style="hair">
        <color rgb="FF3271D2"/>
      </left>
      <right style="medium">
        <color rgb="FF3271D2"/>
      </right>
      <top style="thin">
        <color rgb="FF3271D2"/>
      </top>
      <bottom/>
      <diagonal/>
    </border>
    <border>
      <left style="hair">
        <color rgb="FF3271D2"/>
      </left>
      <right style="medium">
        <color rgb="FF3271D2"/>
      </right>
      <top/>
      <bottom/>
      <diagonal/>
    </border>
    <border>
      <left style="hair">
        <color rgb="FF3271D2"/>
      </left>
      <right style="medium">
        <color rgb="FF3271D2"/>
      </right>
      <top/>
      <bottom style="medium">
        <color rgb="FF3271D2"/>
      </bottom>
      <diagonal/>
    </border>
    <border>
      <left style="hair">
        <color rgb="FF000000"/>
      </left>
      <right/>
      <top style="medium">
        <color rgb="FF3271D2"/>
      </top>
      <bottom/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 style="medium">
        <color rgb="FF000C3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3271D2"/>
      </right>
      <top/>
      <bottom style="medium">
        <color rgb="FF3271D2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9" fillId="0" borderId="0"/>
    <xf numFmtId="0" fontId="1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42" fillId="0" borderId="0"/>
    <xf numFmtId="0" fontId="42" fillId="0" borderId="0"/>
    <xf numFmtId="43" fontId="53" fillId="0" borderId="0" applyFont="0" applyFill="0" applyBorder="0" applyAlignment="0" applyProtection="0"/>
  </cellStyleXfs>
  <cellXfs count="557">
    <xf numFmtId="0" fontId="0" fillId="0" borderId="0" xfId="0"/>
    <xf numFmtId="0" fontId="13" fillId="0" borderId="0" xfId="1" applyFont="1"/>
    <xf numFmtId="0" fontId="12" fillId="2" borderId="0" xfId="1" applyFont="1" applyFill="1"/>
    <xf numFmtId="164" fontId="14" fillId="2" borderId="0" xfId="1" applyNumberFormat="1" applyFont="1" applyFill="1"/>
    <xf numFmtId="0" fontId="8" fillId="2" borderId="0" xfId="1" applyFont="1" applyFill="1"/>
    <xf numFmtId="0" fontId="15" fillId="2" borderId="0" xfId="1" applyFont="1" applyFill="1"/>
    <xf numFmtId="0" fontId="8" fillId="0" borderId="0" xfId="1" applyFont="1"/>
    <xf numFmtId="0" fontId="8" fillId="0" borderId="0" xfId="2" applyFont="1" applyFill="1" applyBorder="1"/>
    <xf numFmtId="164" fontId="16" fillId="0" borderId="0" xfId="2" applyNumberFormat="1" applyFill="1" applyBorder="1"/>
    <xf numFmtId="164" fontId="17" fillId="0" borderId="0" xfId="1" applyNumberFormat="1" applyFont="1"/>
    <xf numFmtId="164" fontId="19" fillId="0" borderId="0" xfId="3" applyNumberFormat="1" applyFont="1" applyFill="1" applyBorder="1" applyProtection="1">
      <protection locked="0"/>
    </xf>
    <xf numFmtId="0" fontId="11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20" fillId="0" borderId="0" xfId="1" applyFont="1" applyAlignment="1">
      <alignment horizontal="left"/>
    </xf>
    <xf numFmtId="0" fontId="22" fillId="0" borderId="0" xfId="1" applyFont="1"/>
    <xf numFmtId="0" fontId="9" fillId="0" borderId="0" xfId="1" applyProtection="1">
      <protection locked="0"/>
    </xf>
    <xf numFmtId="0" fontId="21" fillId="0" borderId="0" xfId="1" applyFont="1" applyAlignment="1">
      <alignment horizontal="right"/>
    </xf>
    <xf numFmtId="0" fontId="23" fillId="0" borderId="0" xfId="1" applyFont="1" applyProtection="1">
      <protection locked="0"/>
    </xf>
    <xf numFmtId="165" fontId="13" fillId="0" borderId="0" xfId="1" applyNumberFormat="1" applyFont="1"/>
    <xf numFmtId="0" fontId="0" fillId="0" borderId="2" xfId="0" applyBorder="1"/>
    <xf numFmtId="0" fontId="0" fillId="0" borderId="3" xfId="0" applyBorder="1"/>
    <xf numFmtId="37" fontId="24" fillId="0" borderId="0" xfId="0" applyNumberFormat="1" applyFont="1" applyAlignment="1">
      <alignment vertical="center"/>
    </xf>
    <xf numFmtId="166" fontId="10" fillId="0" borderId="0" xfId="0" applyNumberFormat="1" applyFont="1" applyAlignment="1">
      <alignment horizontal="right"/>
    </xf>
    <xf numFmtId="167" fontId="25" fillId="0" borderId="0" xfId="0" applyNumberFormat="1" applyFont="1" applyAlignment="1">
      <alignment horizontal="center"/>
    </xf>
    <xf numFmtId="37" fontId="24" fillId="0" borderId="4" xfId="0" applyNumberFormat="1" applyFont="1" applyBorder="1" applyAlignment="1">
      <alignment vertical="center"/>
    </xf>
    <xf numFmtId="167" fontId="27" fillId="0" borderId="0" xfId="0" applyNumberFormat="1" applyFont="1" applyAlignment="1">
      <alignment horizontal="center"/>
    </xf>
    <xf numFmtId="0" fontId="26" fillId="0" borderId="4" xfId="0" applyFont="1" applyBorder="1"/>
    <xf numFmtId="0" fontId="28" fillId="0" borderId="0" xfId="0" applyFont="1" applyAlignment="1">
      <alignment horizontal="center"/>
    </xf>
    <xf numFmtId="0" fontId="29" fillId="0" borderId="3" xfId="0" applyFont="1" applyBorder="1" applyAlignment="1">
      <alignment horizontal="center"/>
    </xf>
    <xf numFmtId="0" fontId="26" fillId="0" borderId="6" xfId="0" applyFont="1" applyBorder="1"/>
    <xf numFmtId="37" fontId="12" fillId="0" borderId="0" xfId="0" applyNumberFormat="1" applyFont="1" applyAlignment="1">
      <alignment vertical="center"/>
    </xf>
    <xf numFmtId="37" fontId="10" fillId="0" borderId="0" xfId="0" applyNumberFormat="1" applyFont="1" applyAlignment="1">
      <alignment vertical="center"/>
    </xf>
    <xf numFmtId="37" fontId="30" fillId="0" borderId="0" xfId="0" applyNumberFormat="1" applyFont="1" applyAlignment="1">
      <alignment vertical="center"/>
    </xf>
    <xf numFmtId="164" fontId="31" fillId="0" borderId="0" xfId="0" applyNumberFormat="1" applyFont="1" applyAlignment="1">
      <alignment vertical="center"/>
    </xf>
    <xf numFmtId="0" fontId="26" fillId="0" borderId="0" xfId="0" applyFont="1" applyAlignment="1">
      <alignment horizontal="center"/>
    </xf>
    <xf numFmtId="164" fontId="32" fillId="0" borderId="0" xfId="0" applyNumberFormat="1" applyFont="1" applyAlignment="1">
      <alignment vertical="center"/>
    </xf>
    <xf numFmtId="168" fontId="33" fillId="0" borderId="0" xfId="0" applyNumberFormat="1" applyFont="1" applyAlignment="1">
      <alignment horizontal="centerContinuous"/>
    </xf>
    <xf numFmtId="0" fontId="8" fillId="0" borderId="0" xfId="0" applyFont="1"/>
    <xf numFmtId="168" fontId="33" fillId="0" borderId="2" xfId="0" applyNumberFormat="1" applyFont="1" applyBorder="1" applyAlignment="1">
      <alignment horizontal="centerContinuous"/>
    </xf>
    <xf numFmtId="168" fontId="31" fillId="0" borderId="2" xfId="0" applyNumberFormat="1" applyFont="1" applyBorder="1" applyAlignment="1">
      <alignment horizontal="centerContinuous"/>
    </xf>
    <xf numFmtId="166" fontId="10" fillId="0" borderId="2" xfId="0" applyNumberFormat="1" applyFont="1" applyBorder="1" applyAlignment="1">
      <alignment horizontal="right"/>
    </xf>
    <xf numFmtId="37" fontId="8" fillId="0" borderId="2" xfId="0" applyNumberFormat="1" applyFont="1" applyBorder="1" applyAlignment="1">
      <alignment vertical="center"/>
    </xf>
    <xf numFmtId="37" fontId="10" fillId="0" borderId="2" xfId="0" applyNumberFormat="1" applyFont="1" applyBorder="1" applyAlignment="1">
      <alignment vertical="center"/>
    </xf>
    <xf numFmtId="37" fontId="34" fillId="0" borderId="2" xfId="0" applyNumberFormat="1" applyFont="1" applyBorder="1" applyAlignment="1">
      <alignment vertical="center"/>
    </xf>
    <xf numFmtId="169" fontId="26" fillId="0" borderId="0" xfId="0" applyNumberFormat="1" applyFont="1" applyAlignment="1">
      <alignment horizontal="right"/>
    </xf>
    <xf numFmtId="166" fontId="10" fillId="0" borderId="7" xfId="0" applyNumberFormat="1" applyFont="1" applyBorder="1" applyAlignment="1">
      <alignment horizontal="right"/>
    </xf>
    <xf numFmtId="37" fontId="12" fillId="0" borderId="7" xfId="0" applyNumberFormat="1" applyFont="1" applyBorder="1" applyAlignment="1">
      <alignment vertical="center"/>
    </xf>
    <xf numFmtId="37" fontId="10" fillId="0" borderId="7" xfId="0" applyNumberFormat="1" applyFont="1" applyBorder="1" applyAlignment="1">
      <alignment vertical="center"/>
    </xf>
    <xf numFmtId="37" fontId="30" fillId="0" borderId="7" xfId="0" applyNumberFormat="1" applyFont="1" applyBorder="1" applyAlignment="1">
      <alignment vertical="center"/>
    </xf>
    <xf numFmtId="164" fontId="31" fillId="0" borderId="7" xfId="0" applyNumberFormat="1" applyFont="1" applyBorder="1" applyAlignment="1">
      <alignment vertical="center"/>
    </xf>
    <xf numFmtId="0" fontId="33" fillId="0" borderId="0" xfId="1" applyFont="1"/>
    <xf numFmtId="0" fontId="13" fillId="0" borderId="0" xfId="0" applyFont="1"/>
    <xf numFmtId="170" fontId="37" fillId="0" borderId="0" xfId="4" applyNumberFormat="1" applyFont="1" applyFill="1" applyBorder="1" applyAlignment="1">
      <alignment horizontal="right"/>
    </xf>
    <xf numFmtId="170" fontId="37" fillId="0" borderId="0" xfId="4" applyNumberFormat="1" applyFont="1" applyAlignment="1">
      <alignment horizontal="right"/>
    </xf>
    <xf numFmtId="170" fontId="37" fillId="0" borderId="0" xfId="4" applyNumberFormat="1" applyFont="1" applyAlignment="1" applyProtection="1">
      <alignment horizontal="center"/>
      <protection locked="0"/>
    </xf>
    <xf numFmtId="170" fontId="37" fillId="0" borderId="0" xfId="4" applyNumberFormat="1" applyFont="1" applyProtection="1">
      <protection locked="0"/>
    </xf>
    <xf numFmtId="170" fontId="13" fillId="0" borderId="0" xfId="4" applyNumberFormat="1" applyFont="1" applyProtection="1">
      <protection locked="0"/>
    </xf>
    <xf numFmtId="0" fontId="38" fillId="0" borderId="0" xfId="0" applyFont="1"/>
    <xf numFmtId="172" fontId="27" fillId="0" borderId="0" xfId="0" applyNumberFormat="1" applyFont="1" applyAlignment="1">
      <alignment horizontal="right"/>
    </xf>
    <xf numFmtId="0" fontId="20" fillId="0" borderId="0" xfId="1" applyFont="1"/>
    <xf numFmtId="0" fontId="20" fillId="0" borderId="0" xfId="1" applyFont="1" applyAlignment="1">
      <alignment horizontal="center"/>
    </xf>
    <xf numFmtId="171" fontId="26" fillId="0" borderId="0" xfId="1" applyNumberFormat="1" applyFont="1" applyAlignment="1">
      <alignment horizontal="right" vertical="center"/>
    </xf>
    <xf numFmtId="167" fontId="26" fillId="0" borderId="0" xfId="1" applyNumberFormat="1" applyFont="1" applyAlignment="1">
      <alignment horizontal="right" vertical="center"/>
    </xf>
    <xf numFmtId="0" fontId="26" fillId="0" borderId="0" xfId="1" applyFont="1" applyAlignment="1">
      <alignment horizontal="left" vertical="center" indent="1"/>
    </xf>
    <xf numFmtId="171" fontId="20" fillId="0" borderId="0" xfId="1" applyNumberFormat="1" applyFont="1" applyAlignment="1">
      <alignment horizontal="right" vertical="center"/>
    </xf>
    <xf numFmtId="37" fontId="26" fillId="0" borderId="0" xfId="1" applyNumberFormat="1" applyFont="1" applyAlignment="1">
      <alignment vertical="center"/>
    </xf>
    <xf numFmtId="171" fontId="20" fillId="0" borderId="5" xfId="1" applyNumberFormat="1" applyFont="1" applyBorder="1" applyAlignment="1">
      <alignment horizontal="right" vertical="center"/>
    </xf>
    <xf numFmtId="172" fontId="27" fillId="0" borderId="5" xfId="0" applyNumberFormat="1" applyFont="1" applyBorder="1" applyAlignment="1">
      <alignment horizontal="right"/>
    </xf>
    <xf numFmtId="37" fontId="26" fillId="0" borderId="5" xfId="1" applyNumberFormat="1" applyFont="1" applyBorder="1" applyAlignment="1">
      <alignment vertical="center"/>
    </xf>
    <xf numFmtId="167" fontId="26" fillId="0" borderId="0" xfId="0" applyNumberFormat="1" applyFont="1" applyAlignment="1">
      <alignment horizontal="right"/>
    </xf>
    <xf numFmtId="176" fontId="27" fillId="0" borderId="0" xfId="0" applyNumberFormat="1" applyFont="1" applyAlignment="1">
      <alignment horizontal="right"/>
    </xf>
    <xf numFmtId="0" fontId="29" fillId="0" borderId="9" xfId="5" applyFont="1" applyBorder="1" applyAlignment="1">
      <alignment horizontal="centerContinuous"/>
    </xf>
    <xf numFmtId="167" fontId="29" fillId="0" borderId="0" xfId="1" applyNumberFormat="1" applyFont="1" applyAlignment="1">
      <alignment horizontal="right" vertical="center"/>
    </xf>
    <xf numFmtId="0" fontId="26" fillId="0" borderId="0" xfId="1" applyFont="1" applyAlignment="1">
      <alignment horizontal="center" vertical="center"/>
    </xf>
    <xf numFmtId="0" fontId="26" fillId="0" borderId="0" xfId="1" applyFont="1" applyAlignment="1">
      <alignment horizontal="center"/>
    </xf>
    <xf numFmtId="0" fontId="11" fillId="0" borderId="0" xfId="1" applyFont="1"/>
    <xf numFmtId="167" fontId="33" fillId="0" borderId="0" xfId="5" applyNumberFormat="1" applyFont="1" applyAlignment="1">
      <alignment horizontal="centerContinuous"/>
    </xf>
    <xf numFmtId="2" fontId="33" fillId="0" borderId="0" xfId="5" applyNumberFormat="1" applyFont="1" applyAlignment="1">
      <alignment horizontal="centerContinuous"/>
    </xf>
    <xf numFmtId="165" fontId="33" fillId="0" borderId="0" xfId="5" applyNumberFormat="1" applyFont="1" applyAlignment="1">
      <alignment horizontal="centerContinuous"/>
    </xf>
    <xf numFmtId="0" fontId="11" fillId="0" borderId="0" xfId="0" applyFont="1"/>
    <xf numFmtId="37" fontId="45" fillId="0" borderId="0" xfId="0" applyNumberFormat="1" applyFont="1" applyAlignment="1">
      <alignment vertical="top"/>
    </xf>
    <xf numFmtId="0" fontId="13" fillId="0" borderId="2" xfId="1" applyFont="1" applyBorder="1"/>
    <xf numFmtId="0" fontId="46" fillId="0" borderId="0" xfId="1" applyFont="1"/>
    <xf numFmtId="0" fontId="47" fillId="0" borderId="0" xfId="1" applyFont="1"/>
    <xf numFmtId="37" fontId="26" fillId="0" borderId="0" xfId="1" applyNumberFormat="1" applyFont="1" applyAlignment="1">
      <alignment horizontal="left" vertical="center" indent="1"/>
    </xf>
    <xf numFmtId="0" fontId="38" fillId="0" borderId="0" xfId="1" applyFont="1"/>
    <xf numFmtId="171" fontId="48" fillId="0" borderId="0" xfId="1" applyNumberFormat="1" applyFont="1" applyAlignment="1">
      <alignment horizontal="right" vertical="center"/>
    </xf>
    <xf numFmtId="37" fontId="29" fillId="0" borderId="0" xfId="1" applyNumberFormat="1" applyFont="1" applyAlignment="1">
      <alignment vertical="center"/>
    </xf>
    <xf numFmtId="0" fontId="47" fillId="0" borderId="1" xfId="1" applyFont="1" applyBorder="1"/>
    <xf numFmtId="0" fontId="38" fillId="0" borderId="1" xfId="1" applyFont="1" applyBorder="1"/>
    <xf numFmtId="37" fontId="29" fillId="0" borderId="1" xfId="1" applyNumberFormat="1" applyFont="1" applyBorder="1" applyAlignment="1">
      <alignment vertical="center"/>
    </xf>
    <xf numFmtId="176" fontId="27" fillId="0" borderId="0" xfId="1" applyNumberFormat="1" applyFont="1" applyAlignment="1">
      <alignment horizontal="right" vertical="center"/>
    </xf>
    <xf numFmtId="0" fontId="49" fillId="0" borderId="0" xfId="1" applyFont="1" applyAlignment="1">
      <alignment horizontal="center"/>
    </xf>
    <xf numFmtId="0" fontId="40" fillId="0" borderId="0" xfId="1" applyFont="1" applyAlignment="1">
      <alignment horizontal="center" vertical="center"/>
    </xf>
    <xf numFmtId="0" fontId="40" fillId="0" borderId="0" xfId="1" applyFont="1" applyAlignment="1">
      <alignment horizontal="right" vertical="center"/>
    </xf>
    <xf numFmtId="0" fontId="44" fillId="0" borderId="0" xfId="0" applyFont="1" applyAlignment="1">
      <alignment horizontal="left"/>
    </xf>
    <xf numFmtId="0" fontId="38" fillId="0" borderId="0" xfId="1" applyFont="1" applyAlignment="1">
      <alignment horizontal="center"/>
    </xf>
    <xf numFmtId="167" fontId="11" fillId="0" borderId="1" xfId="0" applyNumberFormat="1" applyFont="1" applyBorder="1" applyAlignment="1">
      <alignment horizontal="right" vertical="center"/>
    </xf>
    <xf numFmtId="167" fontId="29" fillId="0" borderId="1" xfId="5" applyNumberFormat="1" applyFont="1" applyBorder="1" applyAlignment="1">
      <alignment horizontal="right" vertical="center"/>
    </xf>
    <xf numFmtId="0" fontId="29" fillId="0" borderId="1" xfId="5" applyFont="1" applyBorder="1" applyAlignment="1">
      <alignment horizontal="left" vertical="center"/>
    </xf>
    <xf numFmtId="167" fontId="29" fillId="0" borderId="0" xfId="5" applyNumberFormat="1" applyFont="1" applyAlignment="1">
      <alignment horizontal="right"/>
    </xf>
    <xf numFmtId="0" fontId="29" fillId="0" borderId="0" xfId="1" applyFont="1" applyAlignment="1">
      <alignment horizontal="center" vertical="center"/>
    </xf>
    <xf numFmtId="0" fontId="46" fillId="0" borderId="0" xfId="0" applyFont="1"/>
    <xf numFmtId="164" fontId="13" fillId="0" borderId="0" xfId="1" applyNumberFormat="1" applyFont="1"/>
    <xf numFmtId="0" fontId="17" fillId="0" borderId="0" xfId="0" applyFont="1"/>
    <xf numFmtId="167" fontId="27" fillId="0" borderId="0" xfId="0" applyNumberFormat="1" applyFont="1"/>
    <xf numFmtId="0" fontId="26" fillId="0" borderId="0" xfId="0" applyFont="1" applyAlignment="1">
      <alignment horizontal="left" indent="1"/>
    </xf>
    <xf numFmtId="167" fontId="27" fillId="0" borderId="0" xfId="0" applyNumberFormat="1" applyFont="1" applyAlignment="1">
      <alignment horizontal="right"/>
    </xf>
    <xf numFmtId="0" fontId="29" fillId="0" borderId="0" xfId="0" applyFont="1" applyAlignment="1">
      <alignment horizontal="left" indent="1"/>
    </xf>
    <xf numFmtId="0" fontId="7" fillId="0" borderId="0" xfId="0" applyFont="1"/>
    <xf numFmtId="0" fontId="7" fillId="0" borderId="0" xfId="0" applyFont="1" applyAlignment="1">
      <alignment horizontal="left" indent="1"/>
    </xf>
    <xf numFmtId="0" fontId="7" fillId="0" borderId="2" xfId="0" applyFont="1" applyBorder="1"/>
    <xf numFmtId="0" fontId="11" fillId="0" borderId="0" xfId="0" applyFont="1" applyAlignment="1">
      <alignment horizontal="left" indent="1"/>
    </xf>
    <xf numFmtId="169" fontId="7" fillId="0" borderId="0" xfId="0" applyNumberFormat="1" applyFont="1" applyAlignment="1">
      <alignment horizontal="right"/>
    </xf>
    <xf numFmtId="173" fontId="7" fillId="0" borderId="2" xfId="0" applyNumberFormat="1" applyFont="1" applyBorder="1" applyAlignment="1">
      <alignment horizontal="right"/>
    </xf>
    <xf numFmtId="37" fontId="12" fillId="0" borderId="0" xfId="0" applyNumberFormat="1" applyFont="1" applyAlignment="1">
      <alignment vertical="top"/>
    </xf>
    <xf numFmtId="0" fontId="27" fillId="0" borderId="0" xfId="0" applyFont="1" applyAlignment="1">
      <alignment horizontal="right"/>
    </xf>
    <xf numFmtId="167" fontId="52" fillId="0" borderId="0" xfId="0" applyNumberFormat="1" applyFont="1" applyAlignment="1">
      <alignment horizontal="right"/>
    </xf>
    <xf numFmtId="177" fontId="26" fillId="0" borderId="0" xfId="0" applyNumberFormat="1" applyFont="1" applyAlignment="1">
      <alignment horizontal="right"/>
    </xf>
    <xf numFmtId="175" fontId="26" fillId="0" borderId="0" xfId="7" applyNumberFormat="1" applyFont="1" applyFill="1" applyBorder="1" applyAlignment="1" applyProtection="1">
      <alignment horizontal="right"/>
      <protection locked="0"/>
    </xf>
    <xf numFmtId="167" fontId="27" fillId="0" borderId="0" xfId="7" applyNumberFormat="1" applyFont="1" applyFill="1" applyBorder="1" applyAlignment="1" applyProtection="1">
      <protection locked="0"/>
    </xf>
    <xf numFmtId="177" fontId="27" fillId="0" borderId="0" xfId="0" applyNumberFormat="1" applyFont="1" applyAlignment="1">
      <alignment horizontal="right"/>
    </xf>
    <xf numFmtId="0" fontId="33" fillId="0" borderId="0" xfId="5" applyFont="1" applyAlignment="1">
      <alignment horizontal="left"/>
    </xf>
    <xf numFmtId="175" fontId="27" fillId="0" borderId="0" xfId="7" applyNumberFormat="1" applyFont="1" applyFill="1" applyBorder="1" applyAlignment="1" applyProtection="1">
      <protection locked="0"/>
    </xf>
    <xf numFmtId="175" fontId="26" fillId="0" borderId="0" xfId="7" applyNumberFormat="1" applyFont="1" applyFill="1" applyBorder="1" applyAlignment="1" applyProtection="1">
      <protection locked="0"/>
    </xf>
    <xf numFmtId="175" fontId="29" fillId="0" borderId="0" xfId="7" applyNumberFormat="1" applyFont="1" applyFill="1" applyBorder="1" applyAlignment="1" applyProtection="1">
      <protection locked="0"/>
    </xf>
    <xf numFmtId="181" fontId="0" fillId="0" borderId="0" xfId="0" applyNumberFormat="1"/>
    <xf numFmtId="175" fontId="29" fillId="0" borderId="13" xfId="7" applyNumberFormat="1" applyFont="1" applyFill="1" applyBorder="1" applyAlignment="1" applyProtection="1">
      <alignment vertical="center"/>
      <protection locked="0"/>
    </xf>
    <xf numFmtId="184" fontId="27" fillId="0" borderId="0" xfId="7" applyNumberFormat="1" applyFont="1" applyFill="1" applyBorder="1" applyAlignment="1" applyProtection="1">
      <protection locked="0"/>
    </xf>
    <xf numFmtId="172" fontId="27" fillId="0" borderId="0" xfId="7" applyNumberFormat="1" applyFont="1" applyFill="1" applyBorder="1" applyAlignment="1" applyProtection="1">
      <protection locked="0"/>
    </xf>
    <xf numFmtId="172" fontId="27" fillId="0" borderId="2" xfId="7" applyNumberFormat="1" applyFont="1" applyFill="1" applyBorder="1" applyAlignment="1" applyProtection="1">
      <protection locked="0"/>
    </xf>
    <xf numFmtId="167" fontId="11" fillId="0" borderId="3" xfId="0" applyNumberFormat="1" applyFont="1" applyBorder="1" applyAlignment="1">
      <alignment horizontal="right"/>
    </xf>
    <xf numFmtId="0" fontId="33" fillId="0" borderId="0" xfId="5" applyFont="1" applyAlignment="1">
      <alignment horizontal="right"/>
    </xf>
    <xf numFmtId="186" fontId="27" fillId="0" borderId="0" xfId="7" applyNumberFormat="1" applyFont="1" applyFill="1" applyBorder="1" applyAlignment="1" applyProtection="1">
      <protection locked="0"/>
    </xf>
    <xf numFmtId="176" fontId="27" fillId="0" borderId="0" xfId="7" applyNumberFormat="1" applyFont="1" applyFill="1" applyBorder="1" applyAlignment="1" applyProtection="1">
      <alignment horizontal="right"/>
      <protection locked="0"/>
    </xf>
    <xf numFmtId="37" fontId="34" fillId="0" borderId="0" xfId="6" quotePrefix="1" applyNumberFormat="1" applyFont="1" applyAlignment="1">
      <alignment vertical="center"/>
    </xf>
    <xf numFmtId="176" fontId="26" fillId="0" borderId="0" xfId="0" applyNumberFormat="1" applyFont="1" applyAlignment="1">
      <alignment horizontal="right"/>
    </xf>
    <xf numFmtId="167" fontId="29" fillId="0" borderId="0" xfId="1" applyNumberFormat="1" applyFont="1" applyAlignment="1">
      <alignment horizontal="center" vertical="center"/>
    </xf>
    <xf numFmtId="0" fontId="55" fillId="0" borderId="0" xfId="0" applyFont="1" applyAlignment="1">
      <alignment horizontal="center"/>
    </xf>
    <xf numFmtId="37" fontId="29" fillId="0" borderId="7" xfId="1" applyNumberFormat="1" applyFont="1" applyBorder="1" applyAlignment="1">
      <alignment horizontal="left" vertical="center"/>
    </xf>
    <xf numFmtId="0" fontId="29" fillId="0" borderId="0" xfId="5" applyFont="1" applyAlignment="1">
      <alignment horizontal="right" vertical="center"/>
    </xf>
    <xf numFmtId="183" fontId="26" fillId="0" borderId="0" xfId="0" applyNumberFormat="1" applyFont="1" applyAlignment="1">
      <alignment horizontal="right"/>
    </xf>
    <xf numFmtId="167" fontId="29" fillId="0" borderId="15" xfId="5" applyNumberFormat="1" applyFont="1" applyBorder="1" applyAlignment="1">
      <alignment horizontal="right" vertical="center"/>
    </xf>
    <xf numFmtId="177" fontId="27" fillId="0" borderId="7" xfId="0" applyNumberFormat="1" applyFont="1" applyBorder="1" applyAlignment="1">
      <alignment horizontal="right"/>
    </xf>
    <xf numFmtId="183" fontId="26" fillId="0" borderId="15" xfId="0" applyNumberFormat="1" applyFont="1" applyBorder="1" applyAlignment="1">
      <alignment horizontal="right"/>
    </xf>
    <xf numFmtId="167" fontId="29" fillId="0" borderId="16" xfId="5" applyNumberFormat="1" applyFont="1" applyBorder="1" applyAlignment="1">
      <alignment horizontal="right" vertical="center"/>
    </xf>
    <xf numFmtId="167" fontId="29" fillId="0" borderId="3" xfId="5" applyNumberFormat="1" applyFont="1" applyBorder="1" applyAlignment="1">
      <alignment horizontal="right" vertical="center"/>
    </xf>
    <xf numFmtId="176" fontId="26" fillId="0" borderId="0" xfId="7" applyNumberFormat="1" applyFont="1" applyFill="1" applyBorder="1" applyAlignment="1" applyProtection="1">
      <alignment horizontal="right"/>
      <protection locked="0"/>
    </xf>
    <xf numFmtId="0" fontId="11" fillId="0" borderId="14" xfId="0" applyFont="1" applyBorder="1"/>
    <xf numFmtId="0" fontId="7" fillId="0" borderId="14" xfId="0" applyFont="1" applyBorder="1"/>
    <xf numFmtId="167" fontId="29" fillId="0" borderId="7" xfId="5" applyNumberFormat="1" applyFont="1" applyBorder="1" applyAlignment="1">
      <alignment horizontal="right" vertical="center"/>
    </xf>
    <xf numFmtId="0" fontId="33" fillId="0" borderId="7" xfId="5" applyFont="1" applyBorder="1" applyAlignment="1">
      <alignment horizontal="right"/>
    </xf>
    <xf numFmtId="0" fontId="29" fillId="0" borderId="0" xfId="5" applyFont="1" applyAlignment="1">
      <alignment horizontal="centerContinuous"/>
    </xf>
    <xf numFmtId="167" fontId="11" fillId="0" borderId="0" xfId="0" applyNumberFormat="1" applyFont="1" applyAlignment="1">
      <alignment horizontal="right" vertical="center"/>
    </xf>
    <xf numFmtId="172" fontId="26" fillId="0" borderId="0" xfId="0" applyNumberFormat="1" applyFont="1" applyAlignment="1">
      <alignment horizontal="right"/>
    </xf>
    <xf numFmtId="167" fontId="29" fillId="0" borderId="9" xfId="5" applyNumberFormat="1" applyFont="1" applyBorder="1" applyAlignment="1">
      <alignment horizontal="right"/>
    </xf>
    <xf numFmtId="0" fontId="41" fillId="0" borderId="0" xfId="1" applyFont="1" applyAlignment="1">
      <alignment horizontal="center" vertical="center"/>
    </xf>
    <xf numFmtId="0" fontId="41" fillId="0" borderId="9" xfId="1" applyFont="1" applyBorder="1" applyAlignment="1">
      <alignment horizontal="center" vertical="center"/>
    </xf>
    <xf numFmtId="0" fontId="29" fillId="0" borderId="0" xfId="5" applyFont="1" applyAlignment="1">
      <alignment horizontal="right"/>
    </xf>
    <xf numFmtId="0" fontId="33" fillId="0" borderId="0" xfId="5" applyFont="1" applyAlignment="1">
      <alignment horizontal="left" vertical="center"/>
    </xf>
    <xf numFmtId="0" fontId="33" fillId="0" borderId="0" xfId="5" applyFont="1" applyAlignment="1">
      <alignment horizontal="center" vertical="center"/>
    </xf>
    <xf numFmtId="0" fontId="57" fillId="0" borderId="0" xfId="1" applyFont="1" applyAlignment="1">
      <alignment horizontal="center"/>
    </xf>
    <xf numFmtId="0" fontId="57" fillId="0" borderId="7" xfId="1" applyFont="1" applyBorder="1" applyAlignment="1">
      <alignment horizontal="center"/>
    </xf>
    <xf numFmtId="167" fontId="57" fillId="0" borderId="7" xfId="5" applyNumberFormat="1" applyFont="1" applyBorder="1" applyAlignment="1">
      <alignment horizontal="right" vertical="center"/>
    </xf>
    <xf numFmtId="0" fontId="31" fillId="0" borderId="7" xfId="1" applyFont="1" applyBorder="1" applyAlignment="1">
      <alignment horizontal="center" vertical="center"/>
    </xf>
    <xf numFmtId="178" fontId="27" fillId="0" borderId="0" xfId="7" applyNumberFormat="1" applyFont="1" applyFill="1" applyBorder="1" applyAlignment="1" applyProtection="1">
      <alignment horizontal="right"/>
      <protection locked="0"/>
    </xf>
    <xf numFmtId="178" fontId="26" fillId="0" borderId="0" xfId="7" applyNumberFormat="1" applyFont="1" applyFill="1" applyBorder="1" applyAlignment="1" applyProtection="1">
      <alignment horizontal="right"/>
      <protection locked="0"/>
    </xf>
    <xf numFmtId="0" fontId="51" fillId="0" borderId="0" xfId="0" applyFont="1"/>
    <xf numFmtId="175" fontId="40" fillId="0" borderId="0" xfId="7" applyNumberFormat="1" applyFont="1" applyFill="1" applyBorder="1" applyAlignment="1" applyProtection="1">
      <protection locked="0"/>
    </xf>
    <xf numFmtId="0" fontId="51" fillId="0" borderId="0" xfId="0" applyFont="1" applyAlignment="1">
      <alignment horizontal="left" indent="2"/>
    </xf>
    <xf numFmtId="167" fontId="57" fillId="0" borderId="0" xfId="5" applyNumberFormat="1" applyFont="1" applyAlignment="1">
      <alignment horizontal="right" vertical="center"/>
    </xf>
    <xf numFmtId="0" fontId="8" fillId="0" borderId="5" xfId="1" applyFont="1" applyBorder="1"/>
    <xf numFmtId="37" fontId="29" fillId="0" borderId="0" xfId="1" applyNumberFormat="1" applyFont="1" applyAlignment="1">
      <alignment horizontal="left" vertical="center"/>
    </xf>
    <xf numFmtId="174" fontId="8" fillId="0" borderId="0" xfId="1" applyNumberFormat="1" applyFont="1" applyAlignment="1">
      <alignment vertical="center"/>
    </xf>
    <xf numFmtId="0" fontId="26" fillId="0" borderId="2" xfId="1" applyFont="1" applyBorder="1" applyAlignment="1">
      <alignment horizontal="left" vertical="center" indent="1"/>
    </xf>
    <xf numFmtId="169" fontId="26" fillId="0" borderId="0" xfId="1" applyNumberFormat="1" applyFont="1" applyAlignment="1">
      <alignment horizontal="right" vertical="center" indent="1"/>
    </xf>
    <xf numFmtId="167" fontId="26" fillId="0" borderId="0" xfId="0" applyNumberFormat="1" applyFont="1"/>
    <xf numFmtId="167" fontId="29" fillId="0" borderId="0" xfId="5" applyNumberFormat="1" applyFont="1" applyAlignment="1">
      <alignment horizontal="right" vertical="center"/>
    </xf>
    <xf numFmtId="0" fontId="29" fillId="0" borderId="20" xfId="0" applyFont="1" applyBorder="1" applyAlignment="1">
      <alignment horizontal="right"/>
    </xf>
    <xf numFmtId="167" fontId="29" fillId="0" borderId="21" xfId="0" applyNumberFormat="1" applyFont="1" applyBorder="1" applyAlignment="1">
      <alignment horizontal="right"/>
    </xf>
    <xf numFmtId="0" fontId="20" fillId="0" borderId="9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37" fontId="34" fillId="0" borderId="0" xfId="6" applyNumberFormat="1" applyFont="1" applyAlignment="1">
      <alignment vertical="center"/>
    </xf>
    <xf numFmtId="0" fontId="6" fillId="0" borderId="0" xfId="0" applyFont="1" applyAlignment="1">
      <alignment horizontal="left" indent="1"/>
    </xf>
    <xf numFmtId="182" fontId="27" fillId="0" borderId="0" xfId="0" applyNumberFormat="1" applyFont="1" applyAlignment="1">
      <alignment horizontal="right"/>
    </xf>
    <xf numFmtId="0" fontId="7" fillId="0" borderId="3" xfId="0" applyFont="1" applyBorder="1"/>
    <xf numFmtId="169" fontId="6" fillId="0" borderId="0" xfId="0" applyNumberFormat="1" applyFont="1" applyAlignment="1">
      <alignment horizontal="right"/>
    </xf>
    <xf numFmtId="167" fontId="29" fillId="0" borderId="8" xfId="5" applyNumberFormat="1" applyFont="1" applyBorder="1" applyAlignment="1">
      <alignment horizontal="right"/>
    </xf>
    <xf numFmtId="0" fontId="29" fillId="0" borderId="8" xfId="5" applyFont="1" applyBorder="1" applyAlignment="1">
      <alignment horizontal="centerContinuous"/>
    </xf>
    <xf numFmtId="0" fontId="31" fillId="0" borderId="0" xfId="1" applyFont="1" applyAlignment="1">
      <alignment horizontal="center" vertical="center"/>
    </xf>
    <xf numFmtId="0" fontId="47" fillId="0" borderId="2" xfId="1" applyFont="1" applyBorder="1"/>
    <xf numFmtId="0" fontId="29" fillId="0" borderId="11" xfId="5" applyFont="1" applyBorder="1" applyAlignment="1">
      <alignment horizontal="centerContinuous"/>
    </xf>
    <xf numFmtId="0" fontId="29" fillId="0" borderId="1" xfId="5" applyFont="1" applyBorder="1" applyAlignment="1">
      <alignment horizontal="centerContinuous"/>
    </xf>
    <xf numFmtId="37" fontId="26" fillId="0" borderId="2" xfId="1" applyNumberFormat="1" applyFont="1" applyBorder="1" applyAlignment="1">
      <alignment horizontal="left" vertical="center" indent="1"/>
    </xf>
    <xf numFmtId="37" fontId="50" fillId="0" borderId="0" xfId="0" applyNumberFormat="1" applyFont="1" applyAlignment="1">
      <alignment vertical="top"/>
    </xf>
    <xf numFmtId="37" fontId="34" fillId="0" borderId="0" xfId="0" applyNumberFormat="1" applyFont="1" applyAlignment="1">
      <alignment vertical="center"/>
    </xf>
    <xf numFmtId="167" fontId="46" fillId="0" borderId="0" xfId="1" applyNumberFormat="1" applyFont="1" applyAlignment="1">
      <alignment horizontal="centerContinuous"/>
    </xf>
    <xf numFmtId="167" fontId="11" fillId="0" borderId="0" xfId="0" applyNumberFormat="1" applyFont="1" applyAlignment="1">
      <alignment horizontal="centerContinuous"/>
    </xf>
    <xf numFmtId="0" fontId="11" fillId="0" borderId="0" xfId="0" applyFont="1" applyAlignment="1">
      <alignment horizontal="right" vertical="center"/>
    </xf>
    <xf numFmtId="172" fontId="27" fillId="0" borderId="0" xfId="1" applyNumberFormat="1" applyFont="1" applyAlignment="1">
      <alignment vertical="center"/>
    </xf>
    <xf numFmtId="171" fontId="8" fillId="0" borderId="0" xfId="1" applyNumberFormat="1" applyFont="1"/>
    <xf numFmtId="167" fontId="29" fillId="0" borderId="9" xfId="5" applyNumberFormat="1" applyFont="1" applyBorder="1" applyAlignment="1">
      <alignment horizontal="center"/>
    </xf>
    <xf numFmtId="167" fontId="29" fillId="0" borderId="0" xfId="5" applyNumberFormat="1" applyFont="1" applyAlignment="1">
      <alignment horizontal="center"/>
    </xf>
    <xf numFmtId="167" fontId="57" fillId="0" borderId="10" xfId="5" applyNumberFormat="1" applyFont="1" applyBorder="1" applyAlignment="1">
      <alignment horizontal="center" vertical="center"/>
    </xf>
    <xf numFmtId="167" fontId="57" fillId="0" borderId="7" xfId="5" applyNumberFormat="1" applyFont="1" applyBorder="1" applyAlignment="1">
      <alignment horizontal="center" vertical="center"/>
    </xf>
    <xf numFmtId="171" fontId="20" fillId="0" borderId="0" xfId="1" applyNumberFormat="1" applyFont="1" applyAlignment="1">
      <alignment horizontal="center" vertical="center"/>
    </xf>
    <xf numFmtId="172" fontId="27" fillId="0" borderId="9" xfId="0" applyNumberFormat="1" applyFont="1" applyBorder="1" applyAlignment="1">
      <alignment horizontal="center"/>
    </xf>
    <xf numFmtId="167" fontId="27" fillId="0" borderId="9" xfId="1" applyNumberFormat="1" applyFont="1" applyBorder="1" applyAlignment="1">
      <alignment horizontal="center" vertical="center"/>
    </xf>
    <xf numFmtId="178" fontId="27" fillId="0" borderId="9" xfId="0" applyNumberFormat="1" applyFont="1" applyBorder="1" applyAlignment="1">
      <alignment horizontal="center"/>
    </xf>
    <xf numFmtId="178" fontId="27" fillId="0" borderId="0" xfId="1" applyNumberFormat="1" applyFont="1" applyAlignment="1">
      <alignment horizontal="center" vertical="center"/>
    </xf>
    <xf numFmtId="0" fontId="29" fillId="0" borderId="0" xfId="5" applyFont="1" applyAlignment="1">
      <alignment horizontal="center"/>
    </xf>
    <xf numFmtId="167" fontId="29" fillId="0" borderId="8" xfId="5" applyNumberFormat="1" applyFont="1" applyBorder="1" applyAlignment="1">
      <alignment horizontal="center"/>
    </xf>
    <xf numFmtId="167" fontId="57" fillId="0" borderId="23" xfId="5" applyNumberFormat="1" applyFont="1" applyBorder="1" applyAlignment="1">
      <alignment horizontal="center" vertical="center"/>
    </xf>
    <xf numFmtId="167" fontId="57" fillId="0" borderId="8" xfId="5" applyNumberFormat="1" applyFont="1" applyBorder="1" applyAlignment="1">
      <alignment horizontal="center" vertical="center"/>
    </xf>
    <xf numFmtId="167" fontId="57" fillId="0" borderId="0" xfId="5" applyNumberFormat="1" applyFont="1" applyAlignment="1">
      <alignment horizontal="center" vertical="center"/>
    </xf>
    <xf numFmtId="167" fontId="29" fillId="0" borderId="11" xfId="5" applyNumberFormat="1" applyFont="1" applyBorder="1" applyAlignment="1">
      <alignment horizontal="center"/>
    </xf>
    <xf numFmtId="167" fontId="29" fillId="0" borderId="1" xfId="5" applyNumberFormat="1" applyFont="1" applyBorder="1" applyAlignment="1">
      <alignment horizontal="center"/>
    </xf>
    <xf numFmtId="175" fontId="27" fillId="0" borderId="0" xfId="0" applyNumberFormat="1" applyFont="1" applyAlignment="1">
      <alignment horizontal="right"/>
    </xf>
    <xf numFmtId="176" fontId="27" fillId="0" borderId="9" xfId="0" applyNumberFormat="1" applyFont="1" applyBorder="1" applyAlignment="1">
      <alignment horizontal="center"/>
    </xf>
    <xf numFmtId="0" fontId="27" fillId="0" borderId="0" xfId="1" applyFont="1" applyAlignment="1">
      <alignment vertical="center"/>
    </xf>
    <xf numFmtId="179" fontId="27" fillId="0" borderId="0" xfId="1" applyNumberFormat="1" applyFont="1" applyAlignment="1">
      <alignment horizontal="left" vertical="center"/>
    </xf>
    <xf numFmtId="188" fontId="27" fillId="0" borderId="0" xfId="1" applyNumberFormat="1" applyFont="1" applyAlignment="1">
      <alignment horizontal="right" vertical="center"/>
    </xf>
    <xf numFmtId="167" fontId="27" fillId="0" borderId="0" xfId="1" applyNumberFormat="1" applyFont="1" applyAlignment="1">
      <alignment horizontal="right" vertical="center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left" indent="1"/>
    </xf>
    <xf numFmtId="0" fontId="5" fillId="0" borderId="15" xfId="0" applyFont="1" applyBorder="1"/>
    <xf numFmtId="167" fontId="5" fillId="0" borderId="0" xfId="0" applyNumberFormat="1" applyFont="1"/>
    <xf numFmtId="167" fontId="5" fillId="0" borderId="2" xfId="0" applyNumberFormat="1" applyFont="1" applyBorder="1"/>
    <xf numFmtId="173" fontId="5" fillId="0" borderId="0" xfId="1" applyNumberFormat="1" applyFont="1" applyAlignment="1">
      <alignment horizontal="right"/>
    </xf>
    <xf numFmtId="169" fontId="5" fillId="0" borderId="0" xfId="1" applyNumberFormat="1" applyFont="1" applyAlignment="1">
      <alignment horizontal="right"/>
    </xf>
    <xf numFmtId="169" fontId="5" fillId="0" borderId="2" xfId="1" applyNumberFormat="1" applyFont="1" applyBorder="1" applyAlignment="1">
      <alignment horizontal="right"/>
    </xf>
    <xf numFmtId="175" fontId="26" fillId="0" borderId="12" xfId="7" applyNumberFormat="1" applyFont="1" applyFill="1" applyBorder="1" applyAlignment="1" applyProtection="1">
      <protection locked="0"/>
    </xf>
    <xf numFmtId="0" fontId="5" fillId="0" borderId="14" xfId="0" applyFont="1" applyBorder="1"/>
    <xf numFmtId="0" fontId="5" fillId="0" borderId="3" xfId="0" applyFont="1" applyBorder="1"/>
    <xf numFmtId="167" fontId="5" fillId="0" borderId="0" xfId="0" applyNumberFormat="1" applyFont="1" applyAlignment="1">
      <alignment horizontal="right"/>
    </xf>
    <xf numFmtId="167" fontId="5" fillId="0" borderId="14" xfId="0" applyNumberFormat="1" applyFont="1" applyBorder="1" applyAlignment="1">
      <alignment horizontal="right"/>
    </xf>
    <xf numFmtId="167" fontId="11" fillId="0" borderId="0" xfId="0" applyNumberFormat="1" applyFont="1" applyAlignment="1">
      <alignment horizontal="right"/>
    </xf>
    <xf numFmtId="0" fontId="38" fillId="3" borderId="0" xfId="0" applyFont="1" applyFill="1"/>
    <xf numFmtId="37" fontId="34" fillId="4" borderId="0" xfId="0" applyNumberFormat="1" applyFont="1" applyFill="1" applyAlignment="1">
      <alignment vertical="center"/>
    </xf>
    <xf numFmtId="37" fontId="10" fillId="4" borderId="0" xfId="0" applyNumberFormat="1" applyFont="1" applyFill="1" applyAlignment="1">
      <alignment vertical="center"/>
    </xf>
    <xf numFmtId="37" fontId="12" fillId="4" borderId="0" xfId="0" applyNumberFormat="1" applyFont="1" applyFill="1" applyAlignment="1">
      <alignment vertical="center"/>
    </xf>
    <xf numFmtId="37" fontId="35" fillId="4" borderId="0" xfId="0" applyNumberFormat="1" applyFont="1" applyFill="1" applyAlignment="1">
      <alignment horizontal="left" vertical="center" indent="1"/>
    </xf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38" fillId="3" borderId="24" xfId="0" applyFont="1" applyFill="1" applyBorder="1"/>
    <xf numFmtId="0" fontId="38" fillId="3" borderId="25" xfId="0" applyFont="1" applyFill="1" applyBorder="1"/>
    <xf numFmtId="0" fontId="13" fillId="0" borderId="26" xfId="1" applyFont="1" applyBorder="1"/>
    <xf numFmtId="0" fontId="38" fillId="3" borderId="26" xfId="0" applyFont="1" applyFill="1" applyBorder="1"/>
    <xf numFmtId="0" fontId="13" fillId="0" borderId="25" xfId="1" applyFont="1" applyBorder="1"/>
    <xf numFmtId="175" fontId="27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 indent="1"/>
    </xf>
    <xf numFmtId="175" fontId="27" fillId="0" borderId="0" xfId="0" applyNumberFormat="1" applyFont="1"/>
    <xf numFmtId="175" fontId="11" fillId="0" borderId="0" xfId="0" applyNumberFormat="1" applyFont="1"/>
    <xf numFmtId="175" fontId="27" fillId="0" borderId="0" xfId="7" applyNumberFormat="1" applyFont="1" applyFill="1" applyBorder="1" applyAlignment="1" applyProtection="1">
      <alignment horizontal="right"/>
      <protection locked="0"/>
    </xf>
    <xf numFmtId="0" fontId="3" fillId="0" borderId="0" xfId="0" applyFont="1" applyAlignment="1">
      <alignment horizontal="left" indent="1"/>
    </xf>
    <xf numFmtId="179" fontId="27" fillId="0" borderId="0" xfId="0" applyNumberFormat="1" applyFont="1"/>
    <xf numFmtId="185" fontId="56" fillId="0" borderId="16" xfId="0" applyNumberFormat="1" applyFont="1" applyBorder="1" applyAlignment="1">
      <alignment horizontal="right"/>
    </xf>
    <xf numFmtId="185" fontId="29" fillId="0" borderId="3" xfId="0" applyNumberFormat="1" applyFont="1" applyBorder="1" applyAlignment="1">
      <alignment horizontal="right"/>
    </xf>
    <xf numFmtId="185" fontId="29" fillId="0" borderId="19" xfId="0" applyNumberFormat="1" applyFont="1" applyBorder="1" applyAlignment="1">
      <alignment horizontal="right"/>
    </xf>
    <xf numFmtId="178" fontId="40" fillId="0" borderId="0" xfId="7" applyNumberFormat="1" applyFont="1" applyFill="1" applyBorder="1" applyAlignment="1" applyProtection="1">
      <alignment horizontal="right"/>
      <protection locked="0"/>
    </xf>
    <xf numFmtId="183" fontId="27" fillId="0" borderId="15" xfId="0" applyNumberFormat="1" applyFont="1" applyBorder="1" applyAlignment="1">
      <alignment horizontal="right"/>
    </xf>
    <xf numFmtId="183" fontId="27" fillId="0" borderId="0" xfId="0" applyNumberFormat="1" applyFont="1" applyAlignment="1">
      <alignment horizontal="right"/>
    </xf>
    <xf numFmtId="183" fontId="26" fillId="0" borderId="22" xfId="0" applyNumberFormat="1" applyFont="1" applyBorder="1" applyAlignment="1">
      <alignment horizontal="right"/>
    </xf>
    <xf numFmtId="175" fontId="26" fillId="0" borderId="0" xfId="0" applyNumberFormat="1" applyFont="1"/>
    <xf numFmtId="175" fontId="27" fillId="0" borderId="2" xfId="7" applyNumberFormat="1" applyFont="1" applyFill="1" applyBorder="1" applyAlignment="1" applyProtection="1">
      <protection locked="0"/>
    </xf>
    <xf numFmtId="175" fontId="26" fillId="0" borderId="2" xfId="0" applyNumberFormat="1" applyFont="1" applyBorder="1"/>
    <xf numFmtId="175" fontId="29" fillId="0" borderId="13" xfId="0" applyNumberFormat="1" applyFont="1" applyBorder="1" applyAlignment="1">
      <alignment vertical="center"/>
    </xf>
    <xf numFmtId="178" fontId="26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192" fontId="63" fillId="0" borderId="0" xfId="6" applyNumberFormat="1" applyFont="1" applyAlignment="1" applyProtection="1">
      <alignment horizontal="center" vertical="center"/>
      <protection hidden="1"/>
    </xf>
    <xf numFmtId="192" fontId="63" fillId="0" borderId="0" xfId="6" applyNumberFormat="1" applyFont="1" applyAlignment="1" applyProtection="1">
      <alignment horizontal="right" vertical="center"/>
      <protection hidden="1"/>
    </xf>
    <xf numFmtId="167" fontId="59" fillId="0" borderId="14" xfId="0" applyNumberFormat="1" applyFont="1" applyBorder="1" applyAlignment="1">
      <alignment horizontal="right"/>
    </xf>
    <xf numFmtId="192" fontId="63" fillId="0" borderId="0" xfId="6" applyNumberFormat="1" applyFont="1" applyAlignment="1" applyProtection="1">
      <alignment horizontal="left" vertical="center"/>
      <protection hidden="1"/>
    </xf>
    <xf numFmtId="0" fontId="5" fillId="0" borderId="0" xfId="0" applyFont="1" applyAlignment="1">
      <alignment horizontal="center"/>
    </xf>
    <xf numFmtId="0" fontId="31" fillId="0" borderId="7" xfId="1" applyFont="1" applyBorder="1" applyAlignment="1">
      <alignment horizontal="right" vertical="center"/>
    </xf>
    <xf numFmtId="0" fontId="41" fillId="0" borderId="0" xfId="1" applyFont="1" applyAlignment="1">
      <alignment horizontal="right" vertical="center"/>
    </xf>
    <xf numFmtId="173" fontId="26" fillId="0" borderId="0" xfId="1" applyNumberFormat="1" applyFont="1" applyAlignment="1">
      <alignment horizontal="right" vertical="center" indent="1"/>
    </xf>
    <xf numFmtId="167" fontId="26" fillId="0" borderId="9" xfId="0" applyNumberFormat="1" applyFont="1" applyBorder="1" applyAlignment="1">
      <alignment horizontal="center"/>
    </xf>
    <xf numFmtId="178" fontId="26" fillId="0" borderId="9" xfId="0" applyNumberFormat="1" applyFont="1" applyBorder="1" applyAlignment="1">
      <alignment horizontal="center"/>
    </xf>
    <xf numFmtId="171" fontId="26" fillId="0" borderId="0" xfId="1" applyNumberFormat="1" applyFont="1" applyAlignment="1">
      <alignment horizontal="center" vertical="center"/>
    </xf>
    <xf numFmtId="167" fontId="26" fillId="0" borderId="2" xfId="1" applyNumberFormat="1" applyFont="1" applyBorder="1" applyAlignment="1">
      <alignment horizontal="right" vertical="center"/>
    </xf>
    <xf numFmtId="167" fontId="26" fillId="0" borderId="17" xfId="0" applyNumberFormat="1" applyFont="1" applyBorder="1" applyAlignment="1">
      <alignment horizontal="center"/>
    </xf>
    <xf numFmtId="171" fontId="26" fillId="0" borderId="2" xfId="1" applyNumberFormat="1" applyFont="1" applyBorder="1" applyAlignment="1">
      <alignment horizontal="center" vertical="center"/>
    </xf>
    <xf numFmtId="178" fontId="26" fillId="0" borderId="17" xfId="0" applyNumberFormat="1" applyFont="1" applyBorder="1" applyAlignment="1">
      <alignment horizontal="center"/>
    </xf>
    <xf numFmtId="178" fontId="26" fillId="0" borderId="2" xfId="1" applyNumberFormat="1" applyFont="1" applyBorder="1" applyAlignment="1">
      <alignment horizontal="center" vertical="center"/>
    </xf>
    <xf numFmtId="172" fontId="26" fillId="0" borderId="9" xfId="0" applyNumberFormat="1" applyFont="1" applyBorder="1" applyAlignment="1">
      <alignment horizontal="center"/>
    </xf>
    <xf numFmtId="178" fontId="20" fillId="0" borderId="0" xfId="1" applyNumberFormat="1" applyFont="1" applyAlignment="1">
      <alignment horizontal="center" vertical="center"/>
    </xf>
    <xf numFmtId="176" fontId="26" fillId="0" borderId="9" xfId="0" applyNumberFormat="1" applyFont="1" applyBorder="1" applyAlignment="1">
      <alignment horizontal="center"/>
    </xf>
    <xf numFmtId="175" fontId="20" fillId="0" borderId="0" xfId="7" applyNumberFormat="1" applyFont="1" applyFill="1" applyBorder="1" applyAlignment="1" applyProtection="1">
      <alignment horizontal="right"/>
      <protection locked="0"/>
    </xf>
    <xf numFmtId="175" fontId="29" fillId="0" borderId="12" xfId="7" applyNumberFormat="1" applyFont="1" applyFill="1" applyBorder="1" applyAlignment="1" applyProtection="1">
      <alignment horizontal="right"/>
      <protection locked="0"/>
    </xf>
    <xf numFmtId="167" fontId="7" fillId="0" borderId="14" xfId="0" applyNumberFormat="1" applyFont="1" applyBorder="1" applyAlignment="1">
      <alignment horizontal="right"/>
    </xf>
    <xf numFmtId="176" fontId="27" fillId="0" borderId="0" xfId="0" applyNumberFormat="1" applyFont="1"/>
    <xf numFmtId="187" fontId="27" fillId="0" borderId="0" xfId="0" applyNumberFormat="1" applyFont="1" applyAlignment="1">
      <alignment horizontal="right"/>
    </xf>
    <xf numFmtId="176" fontId="7" fillId="0" borderId="3" xfId="0" applyNumberFormat="1" applyFont="1" applyBorder="1"/>
    <xf numFmtId="188" fontId="26" fillId="0" borderId="12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right"/>
    </xf>
    <xf numFmtId="0" fontId="7" fillId="0" borderId="7" xfId="0" applyFont="1" applyBorder="1"/>
    <xf numFmtId="180" fontId="6" fillId="0" borderId="0" xfId="0" applyNumberFormat="1" applyFont="1"/>
    <xf numFmtId="0" fontId="11" fillId="0" borderId="3" xfId="0" applyFont="1" applyBorder="1"/>
    <xf numFmtId="167" fontId="59" fillId="0" borderId="0" xfId="0" applyNumberFormat="1" applyFont="1" applyAlignment="1">
      <alignment horizontal="right"/>
    </xf>
    <xf numFmtId="175" fontId="65" fillId="0" borderId="0" xfId="7" applyNumberFormat="1" applyFont="1" applyFill="1" applyBorder="1" applyAlignment="1" applyProtection="1">
      <alignment horizontal="right"/>
      <protection locked="0"/>
    </xf>
    <xf numFmtId="175" fontId="66" fillId="0" borderId="0" xfId="0" applyNumberFormat="1" applyFont="1" applyAlignment="1">
      <alignment horizontal="right"/>
    </xf>
    <xf numFmtId="175" fontId="66" fillId="0" borderId="0" xfId="7" applyNumberFormat="1" applyFont="1" applyFill="1" applyBorder="1" applyAlignment="1" applyProtection="1">
      <protection locked="0"/>
    </xf>
    <xf numFmtId="37" fontId="67" fillId="0" borderId="0" xfId="1" applyNumberFormat="1" applyFont="1" applyAlignment="1">
      <alignment horizontal="left"/>
    </xf>
    <xf numFmtId="37" fontId="56" fillId="0" borderId="0" xfId="1" applyNumberFormat="1" applyFont="1" applyAlignment="1">
      <alignment horizontal="left" vertical="center"/>
    </xf>
    <xf numFmtId="167" fontId="67" fillId="0" borderId="0" xfId="0" applyNumberFormat="1" applyFont="1" applyAlignment="1">
      <alignment horizontal="right"/>
    </xf>
    <xf numFmtId="167" fontId="67" fillId="0" borderId="0" xfId="5" applyNumberFormat="1" applyFont="1" applyAlignment="1">
      <alignment horizontal="center"/>
    </xf>
    <xf numFmtId="0" fontId="56" fillId="0" borderId="0" xfId="5" applyFont="1" applyAlignment="1">
      <alignment horizontal="centerContinuous"/>
    </xf>
    <xf numFmtId="0" fontId="67" fillId="0" borderId="0" xfId="5" applyFont="1" applyAlignment="1">
      <alignment horizontal="centerContinuous"/>
    </xf>
    <xf numFmtId="0" fontId="67" fillId="0" borderId="0" xfId="5" applyFont="1" applyAlignment="1">
      <alignment horizontal="left"/>
    </xf>
    <xf numFmtId="0" fontId="67" fillId="0" borderId="0" xfId="5" applyFont="1" applyAlignment="1">
      <alignment horizontal="center"/>
    </xf>
    <xf numFmtId="167" fontId="67" fillId="0" borderId="0" xfId="1" applyNumberFormat="1" applyFont="1" applyAlignment="1">
      <alignment horizontal="right"/>
    </xf>
    <xf numFmtId="0" fontId="67" fillId="0" borderId="0" xfId="0" applyFont="1" applyAlignment="1">
      <alignment horizontal="center"/>
    </xf>
    <xf numFmtId="184" fontId="27" fillId="0" borderId="7" xfId="7" applyNumberFormat="1" applyFont="1" applyFill="1" applyBorder="1" applyAlignment="1" applyProtection="1">
      <protection locked="0"/>
    </xf>
    <xf numFmtId="172" fontId="27" fillId="0" borderId="7" xfId="7" applyNumberFormat="1" applyFont="1" applyFill="1" applyBorder="1" applyAlignment="1" applyProtection="1">
      <protection locked="0"/>
    </xf>
    <xf numFmtId="186" fontId="66" fillId="0" borderId="0" xfId="7" applyNumberFormat="1" applyFont="1" applyFill="1" applyBorder="1" applyAlignment="1" applyProtection="1">
      <protection locked="0"/>
    </xf>
    <xf numFmtId="176" fontId="66" fillId="0" borderId="0" xfId="7" applyNumberFormat="1" applyFont="1" applyFill="1" applyBorder="1" applyAlignment="1" applyProtection="1">
      <alignment horizontal="right"/>
      <protection locked="0"/>
    </xf>
    <xf numFmtId="167" fontId="67" fillId="0" borderId="9" xfId="5" applyNumberFormat="1" applyFont="1" applyBorder="1" applyAlignment="1">
      <alignment horizontal="center"/>
    </xf>
    <xf numFmtId="0" fontId="67" fillId="0" borderId="9" xfId="5" applyFont="1" applyBorder="1" applyAlignment="1">
      <alignment horizontal="centerContinuous"/>
    </xf>
    <xf numFmtId="167" fontId="57" fillId="0" borderId="9" xfId="5" applyNumberFormat="1" applyFont="1" applyBorder="1" applyAlignment="1">
      <alignment horizontal="center" vertical="center"/>
    </xf>
    <xf numFmtId="0" fontId="26" fillId="0" borderId="5" xfId="1" applyFont="1" applyBorder="1" applyAlignment="1">
      <alignment horizontal="left" vertical="center" indent="1"/>
    </xf>
    <xf numFmtId="167" fontId="26" fillId="0" borderId="5" xfId="1" applyNumberFormat="1" applyFont="1" applyBorder="1" applyAlignment="1">
      <alignment horizontal="right" vertical="center"/>
    </xf>
    <xf numFmtId="172" fontId="26" fillId="0" borderId="5" xfId="0" applyNumberFormat="1" applyFont="1" applyBorder="1" applyAlignment="1">
      <alignment horizontal="right"/>
    </xf>
    <xf numFmtId="174" fontId="8" fillId="0" borderId="5" xfId="1" applyNumberFormat="1" applyFont="1" applyBorder="1" applyAlignment="1">
      <alignment vertical="center"/>
    </xf>
    <xf numFmtId="0" fontId="29" fillId="0" borderId="0" xfId="5" applyFont="1" applyAlignment="1">
      <alignment horizontal="left" vertical="center"/>
    </xf>
    <xf numFmtId="167" fontId="67" fillId="0" borderId="0" xfId="5" applyNumberFormat="1" applyFont="1" applyAlignment="1">
      <alignment horizontal="right"/>
    </xf>
    <xf numFmtId="172" fontId="27" fillId="0" borderId="0" xfId="1" applyNumberFormat="1" applyFont="1" applyAlignment="1">
      <alignment horizontal="right" vertical="center"/>
    </xf>
    <xf numFmtId="37" fontId="67" fillId="0" borderId="0" xfId="1" applyNumberFormat="1" applyFont="1"/>
    <xf numFmtId="0" fontId="68" fillId="0" borderId="0" xfId="1" applyFont="1"/>
    <xf numFmtId="0" fontId="46" fillId="0" borderId="5" xfId="1" applyFont="1" applyBorder="1"/>
    <xf numFmtId="0" fontId="27" fillId="0" borderId="0" xfId="0" applyFont="1"/>
    <xf numFmtId="0" fontId="27" fillId="0" borderId="0" xfId="0" applyFont="1" applyAlignment="1">
      <alignment horizontal="left" indent="1"/>
    </xf>
    <xf numFmtId="164" fontId="69" fillId="0" borderId="0" xfId="3" applyNumberFormat="1" applyFont="1" applyFill="1" applyBorder="1" applyAlignment="1" applyProtection="1">
      <protection locked="0"/>
    </xf>
    <xf numFmtId="0" fontId="9" fillId="0" borderId="0" xfId="1"/>
    <xf numFmtId="0" fontId="21" fillId="0" borderId="27" xfId="1" applyFont="1" applyBorder="1" applyProtection="1">
      <protection locked="0"/>
    </xf>
    <xf numFmtId="0" fontId="8" fillId="0" borderId="27" xfId="1" applyFont="1" applyBorder="1"/>
    <xf numFmtId="164" fontId="69" fillId="0" borderId="0" xfId="3" applyNumberFormat="1" applyFont="1" applyFill="1" applyBorder="1" applyAlignment="1" applyProtection="1">
      <alignment horizontal="left"/>
      <protection locked="0"/>
    </xf>
    <xf numFmtId="170" fontId="13" fillId="0" borderId="0" xfId="4" applyNumberFormat="1" applyFont="1" applyFill="1" applyProtection="1">
      <protection locked="0"/>
    </xf>
    <xf numFmtId="179" fontId="26" fillId="0" borderId="0" xfId="1" applyNumberFormat="1" applyFont="1" applyAlignment="1">
      <alignment horizontal="left" vertical="center"/>
    </xf>
    <xf numFmtId="0" fontId="26" fillId="0" borderId="0" xfId="1" applyFont="1" applyAlignment="1">
      <alignment vertical="center"/>
    </xf>
    <xf numFmtId="176" fontId="26" fillId="0" borderId="0" xfId="1" applyNumberFormat="1" applyFont="1" applyAlignment="1">
      <alignment horizontal="right" vertical="center"/>
    </xf>
    <xf numFmtId="188" fontId="26" fillId="0" borderId="0" xfId="1" applyNumberFormat="1" applyFont="1" applyAlignment="1">
      <alignment horizontal="right" vertical="center"/>
    </xf>
    <xf numFmtId="172" fontId="26" fillId="0" borderId="0" xfId="1" applyNumberFormat="1" applyFont="1" applyAlignment="1">
      <alignment horizontal="right" vertical="center"/>
    </xf>
    <xf numFmtId="172" fontId="26" fillId="0" borderId="8" xfId="0" applyNumberFormat="1" applyFont="1" applyBorder="1" applyAlignment="1">
      <alignment horizontal="center"/>
    </xf>
    <xf numFmtId="178" fontId="26" fillId="0" borderId="8" xfId="0" applyNumberFormat="1" applyFont="1" applyBorder="1" applyAlignment="1">
      <alignment horizontal="center"/>
    </xf>
    <xf numFmtId="176" fontId="26" fillId="0" borderId="8" xfId="0" applyNumberFormat="1" applyFont="1" applyBorder="1" applyAlignment="1">
      <alignment horizontal="center"/>
    </xf>
    <xf numFmtId="172" fontId="27" fillId="0" borderId="8" xfId="0" applyNumberFormat="1" applyFont="1" applyBorder="1" applyAlignment="1">
      <alignment horizontal="center"/>
    </xf>
    <xf numFmtId="178" fontId="27" fillId="0" borderId="8" xfId="0" applyNumberFormat="1" applyFont="1" applyBorder="1" applyAlignment="1">
      <alignment horizontal="center"/>
    </xf>
    <xf numFmtId="176" fontId="27" fillId="0" borderId="8" xfId="0" applyNumberFormat="1" applyFont="1" applyBorder="1" applyAlignment="1">
      <alignment horizontal="center"/>
    </xf>
    <xf numFmtId="179" fontId="27" fillId="0" borderId="2" xfId="1" applyNumberFormat="1" applyFont="1" applyBorder="1" applyAlignment="1">
      <alignment horizontal="left" vertical="center"/>
    </xf>
    <xf numFmtId="0" fontId="27" fillId="0" borderId="2" xfId="1" applyFont="1" applyBorder="1" applyAlignment="1">
      <alignment vertical="center"/>
    </xf>
    <xf numFmtId="176" fontId="27" fillId="0" borderId="2" xfId="1" applyNumberFormat="1" applyFont="1" applyBorder="1" applyAlignment="1">
      <alignment horizontal="right" vertical="center"/>
    </xf>
    <xf numFmtId="188" fontId="27" fillId="0" borderId="2" xfId="1" applyNumberFormat="1" applyFont="1" applyBorder="1" applyAlignment="1">
      <alignment horizontal="right" vertical="center"/>
    </xf>
    <xf numFmtId="167" fontId="27" fillId="0" borderId="2" xfId="1" applyNumberFormat="1" applyFont="1" applyBorder="1" applyAlignment="1">
      <alignment horizontal="right" vertical="center"/>
    </xf>
    <xf numFmtId="172" fontId="27" fillId="0" borderId="2" xfId="1" applyNumberFormat="1" applyFont="1" applyBorder="1" applyAlignment="1">
      <alignment horizontal="right" vertical="center"/>
    </xf>
    <xf numFmtId="172" fontId="27" fillId="0" borderId="18" xfId="0" applyNumberFormat="1" applyFont="1" applyBorder="1" applyAlignment="1">
      <alignment horizontal="center"/>
    </xf>
    <xf numFmtId="171" fontId="20" fillId="0" borderId="2" xfId="1" applyNumberFormat="1" applyFont="1" applyBorder="1" applyAlignment="1">
      <alignment horizontal="center" vertical="center"/>
    </xf>
    <xf numFmtId="178" fontId="27" fillId="0" borderId="18" xfId="0" applyNumberFormat="1" applyFont="1" applyBorder="1" applyAlignment="1">
      <alignment horizontal="center"/>
    </xf>
    <xf numFmtId="178" fontId="27" fillId="0" borderId="2" xfId="1" applyNumberFormat="1" applyFont="1" applyBorder="1" applyAlignment="1">
      <alignment horizontal="center" vertical="center"/>
    </xf>
    <xf numFmtId="176" fontId="27" fillId="0" borderId="18" xfId="0" applyNumberFormat="1" applyFont="1" applyBorder="1" applyAlignment="1">
      <alignment horizontal="center"/>
    </xf>
    <xf numFmtId="167" fontId="26" fillId="0" borderId="8" xfId="1" applyNumberFormat="1" applyFont="1" applyBorder="1" applyAlignment="1">
      <alignment horizontal="center" vertical="center"/>
    </xf>
    <xf numFmtId="178" fontId="26" fillId="0" borderId="8" xfId="1" applyNumberFormat="1" applyFont="1" applyBorder="1" applyAlignment="1">
      <alignment horizontal="center" vertical="center"/>
    </xf>
    <xf numFmtId="167" fontId="26" fillId="0" borderId="18" xfId="1" applyNumberFormat="1" applyFont="1" applyBorder="1" applyAlignment="1">
      <alignment horizontal="center" vertical="center"/>
    </xf>
    <xf numFmtId="178" fontId="26" fillId="0" borderId="18" xfId="1" applyNumberFormat="1" applyFont="1" applyBorder="1" applyAlignment="1">
      <alignment horizontal="center" vertical="center"/>
    </xf>
    <xf numFmtId="178" fontId="26" fillId="0" borderId="9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 indent="1"/>
    </xf>
    <xf numFmtId="0" fontId="31" fillId="0" borderId="0" xfId="1" applyFont="1" applyAlignment="1">
      <alignment horizontal="right" vertical="center"/>
    </xf>
    <xf numFmtId="37" fontId="65" fillId="0" borderId="5" xfId="1" applyNumberFormat="1" applyFont="1" applyBorder="1"/>
    <xf numFmtId="0" fontId="70" fillId="0" borderId="5" xfId="0" applyFont="1" applyBorder="1" applyAlignment="1">
      <alignment horizontal="center"/>
    </xf>
    <xf numFmtId="176" fontId="65" fillId="0" borderId="5" xfId="0" applyNumberFormat="1" applyFont="1" applyBorder="1" applyAlignment="1">
      <alignment horizontal="right"/>
    </xf>
    <xf numFmtId="167" fontId="65" fillId="0" borderId="5" xfId="0" applyNumberFormat="1" applyFont="1" applyBorder="1" applyAlignment="1">
      <alignment horizontal="right"/>
    </xf>
    <xf numFmtId="172" fontId="65" fillId="0" borderId="5" xfId="0" applyNumberFormat="1" applyFont="1" applyBorder="1" applyAlignment="1">
      <alignment horizontal="center"/>
    </xf>
    <xf numFmtId="171" fontId="65" fillId="0" borderId="5" xfId="1" applyNumberFormat="1" applyFont="1" applyBorder="1" applyAlignment="1">
      <alignment horizontal="center"/>
    </xf>
    <xf numFmtId="178" fontId="65" fillId="0" borderId="5" xfId="0" applyNumberFormat="1" applyFont="1" applyBorder="1" applyAlignment="1">
      <alignment horizontal="center"/>
    </xf>
    <xf numFmtId="178" fontId="65" fillId="0" borderId="5" xfId="1" applyNumberFormat="1" applyFont="1" applyBorder="1" applyAlignment="1">
      <alignment horizontal="center"/>
    </xf>
    <xf numFmtId="176" fontId="65" fillId="0" borderId="5" xfId="0" applyNumberFormat="1" applyFont="1" applyBorder="1" applyAlignment="1">
      <alignment horizontal="center"/>
    </xf>
    <xf numFmtId="176" fontId="26" fillId="5" borderId="0" xfId="0" applyNumberFormat="1" applyFont="1" applyFill="1" applyAlignment="1">
      <alignment horizontal="right"/>
    </xf>
    <xf numFmtId="167" fontId="26" fillId="5" borderId="0" xfId="0" applyNumberFormat="1" applyFont="1" applyFill="1" applyAlignment="1">
      <alignment horizontal="right"/>
    </xf>
    <xf numFmtId="172" fontId="26" fillId="5" borderId="9" xfId="0" applyNumberFormat="1" applyFont="1" applyFill="1" applyBorder="1" applyAlignment="1">
      <alignment horizontal="center"/>
    </xf>
    <xf numFmtId="171" fontId="20" fillId="5" borderId="0" xfId="1" applyNumberFormat="1" applyFont="1" applyFill="1" applyAlignment="1">
      <alignment horizontal="center" vertical="center"/>
    </xf>
    <xf numFmtId="178" fontId="26" fillId="5" borderId="9" xfId="0" applyNumberFormat="1" applyFont="1" applyFill="1" applyBorder="1" applyAlignment="1">
      <alignment horizontal="center"/>
    </xf>
    <xf numFmtId="178" fontId="20" fillId="5" borderId="0" xfId="1" applyNumberFormat="1" applyFont="1" applyFill="1" applyAlignment="1">
      <alignment horizontal="center" vertical="center"/>
    </xf>
    <xf numFmtId="176" fontId="26" fillId="5" borderId="9" xfId="0" applyNumberFormat="1" applyFont="1" applyFill="1" applyBorder="1" applyAlignment="1">
      <alignment horizontal="center"/>
    </xf>
    <xf numFmtId="167" fontId="26" fillId="5" borderId="0" xfId="0" applyNumberFormat="1" applyFont="1" applyFill="1" applyAlignment="1">
      <alignment horizontal="center"/>
    </xf>
    <xf numFmtId="167" fontId="64" fillId="5" borderId="34" xfId="0" applyNumberFormat="1" applyFont="1" applyFill="1" applyBorder="1" applyAlignment="1">
      <alignment horizontal="center"/>
    </xf>
    <xf numFmtId="167" fontId="20" fillId="5" borderId="28" xfId="1" applyNumberFormat="1" applyFont="1" applyFill="1" applyBorder="1" applyAlignment="1">
      <alignment horizontal="right" vertical="center"/>
    </xf>
    <xf numFmtId="167" fontId="20" fillId="5" borderId="36" xfId="1" applyNumberFormat="1" applyFont="1" applyFill="1" applyBorder="1" applyAlignment="1">
      <alignment horizontal="right" vertical="center"/>
    </xf>
    <xf numFmtId="167" fontId="64" fillId="5" borderId="30" xfId="0" applyNumberFormat="1" applyFont="1" applyFill="1" applyBorder="1" applyAlignment="1">
      <alignment horizontal="center"/>
    </xf>
    <xf numFmtId="167" fontId="20" fillId="5" borderId="0" xfId="1" applyNumberFormat="1" applyFont="1" applyFill="1" applyAlignment="1">
      <alignment horizontal="right" vertical="center"/>
    </xf>
    <xf numFmtId="167" fontId="20" fillId="5" borderId="29" xfId="1" applyNumberFormat="1" applyFont="1" applyFill="1" applyBorder="1" applyAlignment="1">
      <alignment horizontal="right" vertical="center"/>
    </xf>
    <xf numFmtId="167" fontId="64" fillId="5" borderId="35" xfId="0" applyNumberFormat="1" applyFont="1" applyFill="1" applyBorder="1" applyAlignment="1">
      <alignment horizontal="center"/>
    </xf>
    <xf numFmtId="167" fontId="26" fillId="5" borderId="0" xfId="1" applyNumberFormat="1" applyFont="1" applyFill="1" applyAlignment="1">
      <alignment horizontal="right" vertical="center"/>
    </xf>
    <xf numFmtId="171" fontId="26" fillId="5" borderId="0" xfId="1" applyNumberFormat="1" applyFont="1" applyFill="1" applyAlignment="1">
      <alignment horizontal="center" vertical="center"/>
    </xf>
    <xf numFmtId="37" fontId="26" fillId="5" borderId="34" xfId="1" applyNumberFormat="1" applyFont="1" applyFill="1" applyBorder="1" applyAlignment="1">
      <alignment vertical="center"/>
    </xf>
    <xf numFmtId="37" fontId="26" fillId="5" borderId="28" xfId="1" applyNumberFormat="1" applyFont="1" applyFill="1" applyBorder="1" applyAlignment="1">
      <alignment vertical="center"/>
    </xf>
    <xf numFmtId="176" fontId="26" fillId="5" borderId="28" xfId="0" applyNumberFormat="1" applyFont="1" applyFill="1" applyBorder="1" applyAlignment="1">
      <alignment horizontal="right"/>
    </xf>
    <xf numFmtId="167" fontId="26" fillId="5" borderId="28" xfId="0" applyNumberFormat="1" applyFont="1" applyFill="1" applyBorder="1" applyAlignment="1">
      <alignment horizontal="right"/>
    </xf>
    <xf numFmtId="172" fontId="26" fillId="5" borderId="28" xfId="0" applyNumberFormat="1" applyFont="1" applyFill="1" applyBorder="1" applyAlignment="1">
      <alignment horizontal="center"/>
    </xf>
    <xf numFmtId="171" fontId="20" fillId="5" borderId="28" xfId="1" applyNumberFormat="1" applyFont="1" applyFill="1" applyBorder="1" applyAlignment="1">
      <alignment horizontal="center" vertical="center"/>
    </xf>
    <xf numFmtId="178" fontId="26" fillId="5" borderId="28" xfId="0" applyNumberFormat="1" applyFont="1" applyFill="1" applyBorder="1" applyAlignment="1">
      <alignment horizontal="center"/>
    </xf>
    <xf numFmtId="178" fontId="20" fillId="5" borderId="28" xfId="1" applyNumberFormat="1" applyFont="1" applyFill="1" applyBorder="1" applyAlignment="1">
      <alignment horizontal="center" vertical="center"/>
    </xf>
    <xf numFmtId="176" fontId="26" fillId="5" borderId="28" xfId="0" applyNumberFormat="1" applyFont="1" applyFill="1" applyBorder="1" applyAlignment="1">
      <alignment horizontal="center"/>
    </xf>
    <xf numFmtId="167" fontId="64" fillId="5" borderId="36" xfId="0" applyNumberFormat="1" applyFont="1" applyFill="1" applyBorder="1" applyAlignment="1">
      <alignment horizontal="center"/>
    </xf>
    <xf numFmtId="37" fontId="26" fillId="5" borderId="30" xfId="1" applyNumberFormat="1" applyFont="1" applyFill="1" applyBorder="1" applyAlignment="1">
      <alignment vertical="center"/>
    </xf>
    <xf numFmtId="37" fontId="26" fillId="5" borderId="0" xfId="1" applyNumberFormat="1" applyFont="1" applyFill="1" applyAlignment="1">
      <alignment vertical="center"/>
    </xf>
    <xf numFmtId="172" fontId="26" fillId="5" borderId="0" xfId="0" applyNumberFormat="1" applyFont="1" applyFill="1" applyAlignment="1">
      <alignment horizontal="center"/>
    </xf>
    <xf numFmtId="178" fontId="26" fillId="5" borderId="0" xfId="0" applyNumberFormat="1" applyFont="1" applyFill="1" applyAlignment="1">
      <alignment horizontal="center"/>
    </xf>
    <xf numFmtId="176" fontId="26" fillId="5" borderId="0" xfId="0" applyNumberFormat="1" applyFont="1" applyFill="1" applyAlignment="1">
      <alignment horizontal="center"/>
    </xf>
    <xf numFmtId="167" fontId="64" fillId="5" borderId="29" xfId="0" applyNumberFormat="1" applyFont="1" applyFill="1" applyBorder="1" applyAlignment="1">
      <alignment horizontal="center"/>
    </xf>
    <xf numFmtId="192" fontId="63" fillId="5" borderId="35" xfId="6" applyNumberFormat="1" applyFont="1" applyFill="1" applyBorder="1" applyAlignment="1" applyProtection="1">
      <alignment horizontal="left" vertical="center"/>
      <protection hidden="1"/>
    </xf>
    <xf numFmtId="37" fontId="26" fillId="5" borderId="27" xfId="1" applyNumberFormat="1" applyFont="1" applyFill="1" applyBorder="1" applyAlignment="1">
      <alignment vertical="center"/>
    </xf>
    <xf numFmtId="167" fontId="64" fillId="5" borderId="37" xfId="0" applyNumberFormat="1" applyFont="1" applyFill="1" applyBorder="1" applyAlignment="1">
      <alignment horizontal="center"/>
    </xf>
    <xf numFmtId="172" fontId="26" fillId="5" borderId="34" xfId="0" applyNumberFormat="1" applyFont="1" applyFill="1" applyBorder="1" applyAlignment="1">
      <alignment horizontal="right"/>
    </xf>
    <xf numFmtId="172" fontId="26" fillId="5" borderId="30" xfId="0" applyNumberFormat="1" applyFont="1" applyFill="1" applyBorder="1" applyAlignment="1">
      <alignment horizontal="right"/>
    </xf>
    <xf numFmtId="175" fontId="27" fillId="5" borderId="0" xfId="7" applyNumberFormat="1" applyFont="1" applyFill="1" applyBorder="1" applyAlignment="1" applyProtection="1">
      <protection locked="0"/>
    </xf>
    <xf numFmtId="175" fontId="26" fillId="5" borderId="0" xfId="7" applyNumberFormat="1" applyFont="1" applyFill="1" applyBorder="1" applyAlignment="1" applyProtection="1">
      <protection locked="0"/>
    </xf>
    <xf numFmtId="176" fontId="26" fillId="5" borderId="0" xfId="7" applyNumberFormat="1" applyFont="1" applyFill="1" applyBorder="1" applyAlignment="1" applyProtection="1">
      <alignment horizontal="right"/>
      <protection locked="0"/>
    </xf>
    <xf numFmtId="183" fontId="26" fillId="5" borderId="22" xfId="0" applyNumberFormat="1" applyFont="1" applyFill="1" applyBorder="1" applyAlignment="1">
      <alignment horizontal="right"/>
    </xf>
    <xf numFmtId="183" fontId="27" fillId="5" borderId="15" xfId="0" applyNumberFormat="1" applyFont="1" applyFill="1" applyBorder="1" applyAlignment="1">
      <alignment horizontal="right"/>
    </xf>
    <xf numFmtId="185" fontId="29" fillId="5" borderId="3" xfId="0" applyNumberFormat="1" applyFont="1" applyFill="1" applyBorder="1" applyAlignment="1">
      <alignment horizontal="right"/>
    </xf>
    <xf numFmtId="185" fontId="29" fillId="5" borderId="19" xfId="0" applyNumberFormat="1" applyFont="1" applyFill="1" applyBorder="1" applyAlignment="1">
      <alignment horizontal="right"/>
    </xf>
    <xf numFmtId="183" fontId="26" fillId="5" borderId="0" xfId="0" applyNumberFormat="1" applyFont="1" applyFill="1" applyAlignment="1">
      <alignment horizontal="right"/>
    </xf>
    <xf numFmtId="183" fontId="26" fillId="5" borderId="31" xfId="0" applyNumberFormat="1" applyFont="1" applyFill="1" applyBorder="1" applyAlignment="1">
      <alignment horizontal="right"/>
    </xf>
    <xf numFmtId="178" fontId="40" fillId="5" borderId="0" xfId="7" applyNumberFormat="1" applyFont="1" applyFill="1" applyBorder="1" applyAlignment="1" applyProtection="1">
      <alignment horizontal="right"/>
      <protection locked="0"/>
    </xf>
    <xf numFmtId="167" fontId="11" fillId="5" borderId="38" xfId="0" applyNumberFormat="1" applyFont="1" applyFill="1" applyBorder="1" applyAlignment="1">
      <alignment horizontal="left"/>
    </xf>
    <xf numFmtId="167" fontId="64" fillId="5" borderId="13" xfId="0" applyNumberFormat="1" applyFont="1" applyFill="1" applyBorder="1" applyAlignment="1">
      <alignment horizontal="center"/>
    </xf>
    <xf numFmtId="167" fontId="64" fillId="5" borderId="39" xfId="0" applyNumberFormat="1" applyFont="1" applyFill="1" applyBorder="1" applyAlignment="1">
      <alignment horizontal="center"/>
    </xf>
    <xf numFmtId="0" fontId="5" fillId="5" borderId="30" xfId="0" applyFont="1" applyFill="1" applyBorder="1"/>
    <xf numFmtId="0" fontId="5" fillId="5" borderId="0" xfId="0" applyFont="1" applyFill="1"/>
    <xf numFmtId="0" fontId="5" fillId="5" borderId="29" xfId="0" applyFont="1" applyFill="1" applyBorder="1"/>
    <xf numFmtId="0" fontId="0" fillId="5" borderId="30" xfId="0" applyFill="1" applyBorder="1"/>
    <xf numFmtId="0" fontId="0" fillId="5" borderId="0" xfId="0" applyFill="1"/>
    <xf numFmtId="0" fontId="0" fillId="5" borderId="29" xfId="0" applyFill="1" applyBorder="1"/>
    <xf numFmtId="0" fontId="5" fillId="5" borderId="35" xfId="0" applyFont="1" applyFill="1" applyBorder="1" applyAlignment="1">
      <alignment horizontal="left" indent="1"/>
    </xf>
    <xf numFmtId="167" fontId="0" fillId="5" borderId="27" xfId="0" applyNumberFormat="1" applyFill="1" applyBorder="1" applyAlignment="1">
      <alignment horizontal="center"/>
    </xf>
    <xf numFmtId="0" fontId="5" fillId="5" borderId="30" xfId="0" applyFont="1" applyFill="1" applyBorder="1" applyAlignment="1">
      <alignment horizontal="left" indent="1"/>
    </xf>
    <xf numFmtId="167" fontId="0" fillId="5" borderId="0" xfId="0" applyNumberFormat="1" applyFill="1" applyAlignment="1">
      <alignment horizontal="center"/>
    </xf>
    <xf numFmtId="192" fontId="63" fillId="5" borderId="29" xfId="6" applyNumberFormat="1" applyFont="1" applyFill="1" applyBorder="1" applyAlignment="1" applyProtection="1">
      <alignment horizontal="center" vertical="center"/>
      <protection hidden="1"/>
    </xf>
    <xf numFmtId="0" fontId="11" fillId="5" borderId="35" xfId="0" applyFont="1" applyFill="1" applyBorder="1" applyAlignment="1">
      <alignment horizontal="left" indent="1"/>
    </xf>
    <xf numFmtId="0" fontId="3" fillId="5" borderId="30" xfId="0" applyFont="1" applyFill="1" applyBorder="1" applyAlignment="1">
      <alignment horizontal="left" indent="1"/>
    </xf>
    <xf numFmtId="167" fontId="0" fillId="5" borderId="12" xfId="0" applyNumberFormat="1" applyFill="1" applyBorder="1" applyAlignment="1">
      <alignment horizontal="center"/>
    </xf>
    <xf numFmtId="176" fontId="0" fillId="5" borderId="40" xfId="0" applyNumberFormat="1" applyFill="1" applyBorder="1" applyAlignment="1">
      <alignment horizontal="center"/>
    </xf>
    <xf numFmtId="0" fontId="11" fillId="5" borderId="38" xfId="0" applyFont="1" applyFill="1" applyBorder="1"/>
    <xf numFmtId="0" fontId="3" fillId="5" borderId="35" xfId="0" applyFont="1" applyFill="1" applyBorder="1" applyAlignment="1">
      <alignment horizontal="left" indent="1"/>
    </xf>
    <xf numFmtId="167" fontId="0" fillId="5" borderId="40" xfId="0" applyNumberFormat="1" applyFill="1" applyBorder="1" applyAlignment="1">
      <alignment horizontal="center"/>
    </xf>
    <xf numFmtId="0" fontId="51" fillId="5" borderId="30" xfId="0" applyFont="1" applyFill="1" applyBorder="1" applyAlignment="1">
      <alignment horizontal="left" indent="2"/>
    </xf>
    <xf numFmtId="178" fontId="0" fillId="5" borderId="0" xfId="0" applyNumberFormat="1" applyFill="1" applyAlignment="1">
      <alignment horizontal="center"/>
    </xf>
    <xf numFmtId="176" fontId="0" fillId="5" borderId="0" xfId="0" applyNumberFormat="1" applyFill="1" applyAlignment="1">
      <alignment horizontal="center"/>
    </xf>
    <xf numFmtId="0" fontId="51" fillId="5" borderId="35" xfId="0" applyFont="1" applyFill="1" applyBorder="1" applyAlignment="1">
      <alignment horizontal="left" indent="2"/>
    </xf>
    <xf numFmtId="178" fontId="0" fillId="5" borderId="27" xfId="0" applyNumberFormat="1" applyFill="1" applyBorder="1" applyAlignment="1">
      <alignment horizontal="center"/>
    </xf>
    <xf numFmtId="0" fontId="26" fillId="5" borderId="0" xfId="1" applyFont="1" applyFill="1" applyAlignment="1">
      <alignment vertical="center"/>
    </xf>
    <xf numFmtId="176" fontId="26" fillId="5" borderId="0" xfId="1" applyNumberFormat="1" applyFont="1" applyFill="1" applyAlignment="1">
      <alignment horizontal="right" vertical="center"/>
    </xf>
    <xf numFmtId="188" fontId="26" fillId="5" borderId="0" xfId="1" applyNumberFormat="1" applyFont="1" applyFill="1" applyAlignment="1">
      <alignment horizontal="right" vertical="center"/>
    </xf>
    <xf numFmtId="172" fontId="26" fillId="5" borderId="0" xfId="1" applyNumberFormat="1" applyFont="1" applyFill="1" applyAlignment="1">
      <alignment horizontal="right" vertical="center"/>
    </xf>
    <xf numFmtId="178" fontId="26" fillId="5" borderId="0" xfId="1" applyNumberFormat="1" applyFont="1" applyFill="1" applyAlignment="1">
      <alignment horizontal="center" vertical="center"/>
    </xf>
    <xf numFmtId="179" fontId="26" fillId="5" borderId="34" xfId="1" applyNumberFormat="1" applyFont="1" applyFill="1" applyBorder="1" applyAlignment="1">
      <alignment horizontal="left" vertical="center"/>
    </xf>
    <xf numFmtId="0" fontId="26" fillId="5" borderId="28" xfId="1" applyFont="1" applyFill="1" applyBorder="1" applyAlignment="1">
      <alignment vertical="center"/>
    </xf>
    <xf numFmtId="176" fontId="26" fillId="5" borderId="28" xfId="1" applyNumberFormat="1" applyFont="1" applyFill="1" applyBorder="1" applyAlignment="1">
      <alignment horizontal="right" vertical="center"/>
    </xf>
    <xf numFmtId="188" fontId="26" fillId="5" borderId="28" xfId="1" applyNumberFormat="1" applyFont="1" applyFill="1" applyBorder="1" applyAlignment="1">
      <alignment horizontal="right" vertical="center"/>
    </xf>
    <xf numFmtId="167" fontId="26" fillId="5" borderId="28" xfId="1" applyNumberFormat="1" applyFont="1" applyFill="1" applyBorder="1" applyAlignment="1">
      <alignment horizontal="right" vertical="center"/>
    </xf>
    <xf numFmtId="172" fontId="26" fillId="5" borderId="28" xfId="1" applyNumberFormat="1" applyFont="1" applyFill="1" applyBorder="1" applyAlignment="1">
      <alignment horizontal="right" vertical="center"/>
    </xf>
    <xf numFmtId="172" fontId="26" fillId="5" borderId="33" xfId="0" applyNumberFormat="1" applyFont="1" applyFill="1" applyBorder="1" applyAlignment="1">
      <alignment horizontal="center"/>
    </xf>
    <xf numFmtId="178" fontId="26" fillId="5" borderId="33" xfId="0" applyNumberFormat="1" applyFont="1" applyFill="1" applyBorder="1" applyAlignment="1">
      <alignment horizontal="center"/>
    </xf>
    <xf numFmtId="178" fontId="26" fillId="5" borderId="28" xfId="1" applyNumberFormat="1" applyFont="1" applyFill="1" applyBorder="1" applyAlignment="1">
      <alignment horizontal="center" vertical="center"/>
    </xf>
    <xf numFmtId="176" fontId="26" fillId="5" borderId="33" xfId="0" applyNumberFormat="1" applyFont="1" applyFill="1" applyBorder="1" applyAlignment="1">
      <alignment horizontal="center"/>
    </xf>
    <xf numFmtId="167" fontId="64" fillId="5" borderId="43" xfId="0" applyNumberFormat="1" applyFont="1" applyFill="1" applyBorder="1" applyAlignment="1">
      <alignment horizontal="center"/>
    </xf>
    <xf numFmtId="179" fontId="26" fillId="5" borderId="30" xfId="1" applyNumberFormat="1" applyFont="1" applyFill="1" applyBorder="1" applyAlignment="1">
      <alignment horizontal="left" vertical="center"/>
    </xf>
    <xf numFmtId="172" fontId="26" fillId="5" borderId="8" xfId="0" applyNumberFormat="1" applyFont="1" applyFill="1" applyBorder="1" applyAlignment="1">
      <alignment horizontal="center"/>
    </xf>
    <xf numFmtId="178" fontId="26" fillId="5" borderId="8" xfId="0" applyNumberFormat="1" applyFont="1" applyFill="1" applyBorder="1" applyAlignment="1">
      <alignment horizontal="center"/>
    </xf>
    <xf numFmtId="176" fontId="26" fillId="5" borderId="8" xfId="0" applyNumberFormat="1" applyFont="1" applyFill="1" applyBorder="1" applyAlignment="1">
      <alignment horizontal="center"/>
    </xf>
    <xf numFmtId="167" fontId="64" fillId="5" borderId="44" xfId="0" applyNumberFormat="1" applyFont="1" applyFill="1" applyBorder="1" applyAlignment="1">
      <alignment horizontal="center"/>
    </xf>
    <xf numFmtId="0" fontId="64" fillId="5" borderId="45" xfId="0" applyFont="1" applyFill="1" applyBorder="1" applyAlignment="1">
      <alignment horizontal="center"/>
    </xf>
    <xf numFmtId="167" fontId="64" fillId="5" borderId="46" xfId="0" applyNumberFormat="1" applyFont="1" applyFill="1" applyBorder="1" applyAlignment="1">
      <alignment horizontal="center"/>
    </xf>
    <xf numFmtId="171" fontId="20" fillId="5" borderId="36" xfId="1" applyNumberFormat="1" applyFont="1" applyFill="1" applyBorder="1" applyAlignment="1">
      <alignment horizontal="center" vertical="center"/>
    </xf>
    <xf numFmtId="167" fontId="64" fillId="5" borderId="47" xfId="0" applyNumberFormat="1" applyFont="1" applyFill="1" applyBorder="1" applyAlignment="1">
      <alignment horizontal="center"/>
    </xf>
    <xf numFmtId="171" fontId="20" fillId="5" borderId="29" xfId="1" applyNumberFormat="1" applyFont="1" applyFill="1" applyBorder="1" applyAlignment="1">
      <alignment horizontal="center" vertical="center"/>
    </xf>
    <xf numFmtId="0" fontId="64" fillId="5" borderId="48" xfId="0" applyFont="1" applyFill="1" applyBorder="1" applyAlignment="1">
      <alignment horizontal="center"/>
    </xf>
    <xf numFmtId="176" fontId="27" fillId="5" borderId="0" xfId="0" applyNumberFormat="1" applyFont="1" applyFill="1" applyAlignment="1">
      <alignment horizontal="right"/>
    </xf>
    <xf numFmtId="176" fontId="27" fillId="5" borderId="0" xfId="0" applyNumberFormat="1" applyFont="1" applyFill="1"/>
    <xf numFmtId="187" fontId="27" fillId="5" borderId="0" xfId="0" applyNumberFormat="1" applyFont="1" applyFill="1" applyAlignment="1">
      <alignment horizontal="right"/>
    </xf>
    <xf numFmtId="176" fontId="7" fillId="5" borderId="3" xfId="0" applyNumberFormat="1" applyFont="1" applyFill="1" applyBorder="1"/>
    <xf numFmtId="180" fontId="6" fillId="5" borderId="0" xfId="0" applyNumberFormat="1" applyFont="1" applyFill="1"/>
    <xf numFmtId="188" fontId="26" fillId="5" borderId="0" xfId="0" applyNumberFormat="1" applyFont="1" applyFill="1" applyAlignment="1">
      <alignment horizontal="right"/>
    </xf>
    <xf numFmtId="0" fontId="29" fillId="5" borderId="52" xfId="0" applyFont="1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7" fillId="5" borderId="50" xfId="0" applyFont="1" applyFill="1" applyBorder="1" applyAlignment="1">
      <alignment horizontal="center"/>
    </xf>
    <xf numFmtId="190" fontId="25" fillId="5" borderId="50" xfId="0" applyNumberFormat="1" applyFont="1" applyFill="1" applyBorder="1" applyAlignment="1">
      <alignment horizontal="center"/>
    </xf>
    <xf numFmtId="191" fontId="26" fillId="5" borderId="50" xfId="0" applyNumberFormat="1" applyFont="1" applyFill="1" applyBorder="1" applyAlignment="1">
      <alignment horizontal="center"/>
    </xf>
    <xf numFmtId="176" fontId="25" fillId="5" borderId="50" xfId="0" applyNumberFormat="1" applyFont="1" applyFill="1" applyBorder="1" applyAlignment="1">
      <alignment horizontal="center"/>
    </xf>
    <xf numFmtId="0" fontId="60" fillId="5" borderId="50" xfId="0" applyFont="1" applyFill="1" applyBorder="1" applyAlignment="1">
      <alignment horizontal="center"/>
    </xf>
    <xf numFmtId="0" fontId="59" fillId="5" borderId="50" xfId="0" applyFont="1" applyFill="1" applyBorder="1" applyAlignment="1">
      <alignment horizontal="center"/>
    </xf>
    <xf numFmtId="0" fontId="61" fillId="5" borderId="50" xfId="0" applyFont="1" applyFill="1" applyBorder="1" applyAlignment="1">
      <alignment horizontal="center"/>
    </xf>
    <xf numFmtId="189" fontId="25" fillId="5" borderId="50" xfId="0" applyNumberFormat="1" applyFont="1" applyFill="1" applyBorder="1" applyAlignment="1">
      <alignment horizontal="center"/>
    </xf>
    <xf numFmtId="0" fontId="59" fillId="5" borderId="51" xfId="0" applyFont="1" applyFill="1" applyBorder="1" applyAlignment="1">
      <alignment horizontal="center"/>
    </xf>
    <xf numFmtId="167" fontId="62" fillId="5" borderId="13" xfId="0" applyNumberFormat="1" applyFont="1" applyFill="1" applyBorder="1" applyAlignment="1">
      <alignment horizontal="center"/>
    </xf>
    <xf numFmtId="167" fontId="62" fillId="5" borderId="39" xfId="0" applyNumberFormat="1" applyFont="1" applyFill="1" applyBorder="1" applyAlignment="1">
      <alignment horizontal="center"/>
    </xf>
    <xf numFmtId="176" fontId="0" fillId="5" borderId="27" xfId="0" applyNumberFormat="1" applyFill="1" applyBorder="1" applyAlignment="1">
      <alignment horizontal="center"/>
    </xf>
    <xf numFmtId="175" fontId="0" fillId="5" borderId="27" xfId="0" applyNumberFormat="1" applyFill="1" applyBorder="1" applyAlignment="1">
      <alignment horizontal="center"/>
    </xf>
    <xf numFmtId="187" fontId="0" fillId="5" borderId="0" xfId="0" applyNumberFormat="1" applyFill="1" applyAlignment="1">
      <alignment horizontal="center"/>
    </xf>
    <xf numFmtId="188" fontId="0" fillId="5" borderId="27" xfId="0" applyNumberFormat="1" applyFill="1" applyBorder="1" applyAlignment="1">
      <alignment horizontal="center"/>
    </xf>
    <xf numFmtId="176" fontId="25" fillId="5" borderId="27" xfId="0" applyNumberFormat="1" applyFont="1" applyFill="1" applyBorder="1" applyAlignment="1">
      <alignment horizontal="center"/>
    </xf>
    <xf numFmtId="175" fontId="0" fillId="5" borderId="0" xfId="0" applyNumberFormat="1" applyFill="1" applyAlignment="1">
      <alignment horizontal="center"/>
    </xf>
    <xf numFmtId="0" fontId="7" fillId="5" borderId="0" xfId="0" applyFont="1" applyFill="1"/>
    <xf numFmtId="0" fontId="1" fillId="0" borderId="0" xfId="0" applyFont="1" applyAlignment="1">
      <alignment horizontal="left" indent="1"/>
    </xf>
    <xf numFmtId="167" fontId="27" fillId="5" borderId="0" xfId="7" applyNumberFormat="1" applyFont="1" applyFill="1" applyBorder="1" applyAlignment="1" applyProtection="1">
      <alignment horizontal="right"/>
      <protection locked="0"/>
    </xf>
    <xf numFmtId="167" fontId="66" fillId="0" borderId="0" xfId="7" applyNumberFormat="1" applyFont="1" applyFill="1" applyBorder="1" applyAlignment="1" applyProtection="1">
      <alignment horizontal="right"/>
      <protection locked="0"/>
    </xf>
    <xf numFmtId="167" fontId="66" fillId="0" borderId="0" xfId="0" applyNumberFormat="1" applyFont="1" applyAlignment="1">
      <alignment horizontal="right"/>
    </xf>
    <xf numFmtId="167" fontId="26" fillId="0" borderId="0" xfId="7" applyNumberFormat="1" applyFont="1" applyFill="1" applyBorder="1" applyAlignment="1" applyProtection="1">
      <alignment horizontal="right"/>
      <protection locked="0"/>
    </xf>
    <xf numFmtId="167" fontId="29" fillId="0" borderId="0" xfId="7" applyNumberFormat="1" applyFont="1" applyFill="1" applyBorder="1" applyAlignment="1" applyProtection="1">
      <alignment horizontal="right"/>
      <protection locked="0"/>
    </xf>
    <xf numFmtId="167" fontId="27" fillId="0" borderId="0" xfId="7" applyNumberFormat="1" applyFont="1" applyFill="1" applyBorder="1" applyAlignment="1" applyProtection="1">
      <alignment horizontal="right"/>
      <protection locked="0"/>
    </xf>
    <xf numFmtId="167" fontId="29" fillId="0" borderId="3" xfId="7" applyNumberFormat="1" applyFont="1" applyFill="1" applyBorder="1" applyAlignment="1" applyProtection="1">
      <alignment horizontal="right" vertical="center"/>
      <protection locked="0"/>
    </xf>
    <xf numFmtId="167" fontId="29" fillId="5" borderId="3" xfId="0" applyNumberFormat="1" applyFont="1" applyFill="1" applyBorder="1" applyAlignment="1">
      <alignment horizontal="right" vertical="center"/>
    </xf>
    <xf numFmtId="167" fontId="26" fillId="5" borderId="0" xfId="7" applyNumberFormat="1" applyFont="1" applyFill="1" applyBorder="1" applyAlignment="1" applyProtection="1">
      <alignment horizontal="right"/>
      <protection locked="0"/>
    </xf>
    <xf numFmtId="167" fontId="29" fillId="5" borderId="0" xfId="7" applyNumberFormat="1" applyFont="1" applyFill="1" applyBorder="1" applyAlignment="1" applyProtection="1">
      <alignment horizontal="right"/>
      <protection locked="0"/>
    </xf>
    <xf numFmtId="167" fontId="20" fillId="5" borderId="0" xfId="7" applyNumberFormat="1" applyFont="1" applyFill="1" applyBorder="1" applyAlignment="1" applyProtection="1">
      <alignment horizontal="right"/>
      <protection locked="0"/>
    </xf>
    <xf numFmtId="167" fontId="29" fillId="0" borderId="49" xfId="7" applyNumberFormat="1" applyFont="1" applyFill="1" applyBorder="1" applyAlignment="1" applyProtection="1">
      <alignment horizontal="right" vertical="center"/>
      <protection locked="0"/>
    </xf>
    <xf numFmtId="167" fontId="29" fillId="0" borderId="49" xfId="0" applyNumberFormat="1" applyFont="1" applyBorder="1" applyAlignment="1">
      <alignment horizontal="right" vertical="center"/>
    </xf>
    <xf numFmtId="167" fontId="26" fillId="0" borderId="12" xfId="7" applyNumberFormat="1" applyFont="1" applyFill="1" applyBorder="1" applyAlignment="1" applyProtection="1">
      <alignment horizontal="right"/>
      <protection locked="0"/>
    </xf>
    <xf numFmtId="167" fontId="27" fillId="0" borderId="2" xfId="7" applyNumberFormat="1" applyFont="1" applyFill="1" applyBorder="1" applyAlignment="1" applyProtection="1">
      <alignment horizontal="right"/>
      <protection locked="0"/>
    </xf>
    <xf numFmtId="167" fontId="26" fillId="0" borderId="2" xfId="0" applyNumberFormat="1" applyFont="1" applyBorder="1" applyAlignment="1">
      <alignment horizontal="right"/>
    </xf>
    <xf numFmtId="167" fontId="29" fillId="0" borderId="13" xfId="7" applyNumberFormat="1" applyFont="1" applyFill="1" applyBorder="1" applyAlignment="1" applyProtection="1">
      <alignment horizontal="right" vertical="center"/>
      <protection locked="0"/>
    </xf>
    <xf numFmtId="167" fontId="29" fillId="0" borderId="13" xfId="0" applyNumberFormat="1" applyFont="1" applyBorder="1" applyAlignment="1">
      <alignment horizontal="right" vertical="center"/>
    </xf>
    <xf numFmtId="167" fontId="27" fillId="5" borderId="0" xfId="0" applyNumberFormat="1" applyFont="1" applyFill="1" applyAlignment="1">
      <alignment horizontal="right"/>
    </xf>
    <xf numFmtId="167" fontId="7" fillId="0" borderId="0" xfId="0" applyNumberFormat="1" applyFont="1" applyAlignment="1">
      <alignment horizontal="right"/>
    </xf>
    <xf numFmtId="167" fontId="20" fillId="0" borderId="0" xfId="7" applyNumberFormat="1" applyFont="1" applyFill="1" applyBorder="1" applyAlignment="1" applyProtection="1">
      <alignment horizontal="right"/>
      <protection locked="0"/>
    </xf>
    <xf numFmtId="167" fontId="29" fillId="0" borderId="12" xfId="7" applyNumberFormat="1" applyFont="1" applyFill="1" applyBorder="1" applyAlignment="1" applyProtection="1">
      <alignment horizontal="right"/>
      <protection locked="0"/>
    </xf>
    <xf numFmtId="0" fontId="8" fillId="0" borderId="2" xfId="1" applyFont="1" applyBorder="1"/>
    <xf numFmtId="0" fontId="1" fillId="0" borderId="0" xfId="1" applyFont="1"/>
    <xf numFmtId="0" fontId="1" fillId="0" borderId="0" xfId="0" applyFont="1"/>
    <xf numFmtId="167" fontId="26" fillId="0" borderId="9" xfId="1" applyNumberFormat="1" applyFont="1" applyBorder="1" applyAlignment="1">
      <alignment horizontal="center" vertical="center"/>
    </xf>
    <xf numFmtId="0" fontId="71" fillId="0" borderId="0" xfId="0" applyFont="1"/>
    <xf numFmtId="167" fontId="72" fillId="0" borderId="14" xfId="0" applyNumberFormat="1" applyFont="1" applyBorder="1" applyAlignment="1">
      <alignment horizontal="right"/>
    </xf>
    <xf numFmtId="167" fontId="71" fillId="0" borderId="0" xfId="0" applyNumberFormat="1" applyFont="1"/>
    <xf numFmtId="192" fontId="73" fillId="0" borderId="0" xfId="6" applyNumberFormat="1" applyFont="1" applyAlignment="1" applyProtection="1">
      <alignment horizontal="center" vertical="center"/>
      <protection hidden="1"/>
    </xf>
    <xf numFmtId="0" fontId="72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192" fontId="73" fillId="0" borderId="0" xfId="6" applyNumberFormat="1" applyFont="1" applyAlignment="1" applyProtection="1">
      <alignment horizontal="right" vertical="center"/>
      <protection hidden="1"/>
    </xf>
    <xf numFmtId="192" fontId="73" fillId="5" borderId="37" xfId="6" applyNumberFormat="1" applyFont="1" applyFill="1" applyBorder="1" applyAlignment="1" applyProtection="1">
      <alignment horizontal="center" vertical="center"/>
      <protection hidden="1"/>
    </xf>
    <xf numFmtId="192" fontId="73" fillId="5" borderId="29" xfId="6" applyNumberFormat="1" applyFont="1" applyFill="1" applyBorder="1" applyAlignment="1" applyProtection="1">
      <alignment horizontal="center" vertical="center"/>
      <protection hidden="1"/>
    </xf>
    <xf numFmtId="0" fontId="71" fillId="5" borderId="29" xfId="0" applyFont="1" applyFill="1" applyBorder="1"/>
    <xf numFmtId="192" fontId="73" fillId="5" borderId="41" xfId="6" applyNumberFormat="1" applyFont="1" applyFill="1" applyBorder="1" applyAlignment="1" applyProtection="1">
      <alignment horizontal="center" vertical="center"/>
      <protection hidden="1"/>
    </xf>
    <xf numFmtId="192" fontId="73" fillId="5" borderId="42" xfId="6" applyNumberFormat="1" applyFont="1" applyFill="1" applyBorder="1" applyAlignment="1" applyProtection="1">
      <alignment horizontal="center" vertical="center"/>
      <protection hidden="1"/>
    </xf>
    <xf numFmtId="0" fontId="71" fillId="0" borderId="0" xfId="0" applyFont="1" applyAlignment="1">
      <alignment horizontal="left" indent="1"/>
    </xf>
    <xf numFmtId="167" fontId="72" fillId="0" borderId="0" xfId="0" applyNumberFormat="1" applyFont="1" applyAlignment="1">
      <alignment horizontal="left" indent="1"/>
    </xf>
    <xf numFmtId="192" fontId="73" fillId="0" borderId="0" xfId="6" applyNumberFormat="1" applyFont="1" applyAlignment="1" applyProtection="1">
      <alignment horizontal="left" vertical="center"/>
      <protection hidden="1"/>
    </xf>
    <xf numFmtId="0" fontId="71" fillId="0" borderId="0" xfId="1" applyFont="1" applyAlignment="1">
      <alignment horizontal="left" vertical="center" indent="1"/>
    </xf>
    <xf numFmtId="37" fontId="71" fillId="0" borderId="0" xfId="1" applyNumberFormat="1" applyFont="1" applyAlignment="1">
      <alignment vertical="center"/>
    </xf>
    <xf numFmtId="192" fontId="73" fillId="5" borderId="27" xfId="6" applyNumberFormat="1" applyFont="1" applyFill="1" applyBorder="1" applyAlignment="1" applyProtection="1">
      <alignment horizontal="center" vertical="center"/>
      <protection hidden="1"/>
    </xf>
    <xf numFmtId="192" fontId="73" fillId="5" borderId="27" xfId="6" applyNumberFormat="1" applyFont="1" applyFill="1" applyBorder="1" applyAlignment="1" applyProtection="1">
      <alignment horizontal="right" vertical="center"/>
      <protection hidden="1"/>
    </xf>
    <xf numFmtId="192" fontId="73" fillId="5" borderId="35" xfId="6" applyNumberFormat="1" applyFont="1" applyFill="1" applyBorder="1" applyAlignment="1" applyProtection="1">
      <alignment horizontal="right" vertical="center"/>
      <protection hidden="1"/>
    </xf>
    <xf numFmtId="192" fontId="73" fillId="5" borderId="27" xfId="6" applyNumberFormat="1" applyFont="1" applyFill="1" applyBorder="1" applyAlignment="1" applyProtection="1">
      <alignment horizontal="left" vertical="center"/>
      <protection hidden="1"/>
    </xf>
    <xf numFmtId="192" fontId="73" fillId="5" borderId="32" xfId="6" applyNumberFormat="1" applyFont="1" applyFill="1" applyBorder="1" applyAlignment="1" applyProtection="1">
      <alignment horizontal="center" vertical="center"/>
      <protection hidden="1"/>
    </xf>
    <xf numFmtId="0" fontId="74" fillId="5" borderId="29" xfId="0" applyFont="1" applyFill="1" applyBorder="1"/>
  </cellXfs>
  <cellStyles count="8">
    <cellStyle name="Comma 2" xfId="4" xr:uid="{148E2CFB-C9F8-41AC-B1D6-3B63877245ED}"/>
    <cellStyle name="Comma 3 2" xfId="7" xr:uid="{086001C0-E61E-49BF-A680-6CA593C8718B}"/>
    <cellStyle name="Hyperlink" xfId="3" builtinId="8"/>
    <cellStyle name="Hyperlink 2 2" xfId="2" xr:uid="{7F606F18-070E-4592-A92E-5974A3694C4B}"/>
    <cellStyle name="Normal" xfId="0" builtinId="0"/>
    <cellStyle name="Normal 2" xfId="6" xr:uid="{52DD4AB1-9D8C-4CC0-A739-7C31A921EA81}"/>
    <cellStyle name="Normal 2 2 2" xfId="1" xr:uid="{D1C559FB-4079-47C0-92CE-45745CEEF514}"/>
    <cellStyle name="Normal_Master Junior Database v2" xfId="5" xr:uid="{A08AC70B-272B-4EB9-AD27-11E553090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Summary!$C$40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Summary!$B$42:$B$44</c:f>
              <c:strCache>
                <c:ptCount val="3"/>
                <c:pt idx="0">
                  <c:v>Comparable Trading Analysis</c:v>
                </c:pt>
                <c:pt idx="1">
                  <c:v>Precedent Transaction Analysis</c:v>
                </c:pt>
                <c:pt idx="2">
                  <c:v>DCF Valuation Analysis</c:v>
                </c:pt>
              </c:strCache>
            </c:strRef>
          </c:cat>
          <c:val>
            <c:numRef>
              <c:f>Summary!$C$42:$C$44</c:f>
              <c:numCache>
                <c:formatCode>_(#,##0_);\(#,##0\);_("–"_);_(@_)</c:formatCode>
                <c:ptCount val="3"/>
                <c:pt idx="2">
                  <c:v>13850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1-4FCF-A114-5BD27E584B9C}"/>
            </c:ext>
          </c:extLst>
        </c:ser>
        <c:ser>
          <c:idx val="1"/>
          <c:order val="1"/>
          <c:tx>
            <c:strRef>
              <c:f>Summary!$D$40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D9E5F7"/>
            </a:solidFill>
            <a:ln>
              <a:noFill/>
            </a:ln>
            <a:effectLst/>
          </c:spPr>
          <c:invertIfNegative val="0"/>
          <c:cat>
            <c:strRef>
              <c:f>Summary!$B$42:$B$44</c:f>
              <c:strCache>
                <c:ptCount val="3"/>
                <c:pt idx="0">
                  <c:v>Comparable Trading Analysis</c:v>
                </c:pt>
                <c:pt idx="1">
                  <c:v>Precedent Transaction Analysis</c:v>
                </c:pt>
                <c:pt idx="2">
                  <c:v>DCF Valuation Analysis</c:v>
                </c:pt>
              </c:strCache>
            </c:strRef>
          </c:cat>
          <c:val>
            <c:numRef>
              <c:f>Summary!$D$42:$D$44</c:f>
              <c:numCache>
                <c:formatCode>_(#,##0_);\(#,##0\);_("–"_);_(@_)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3221-4FCF-A114-5BD27E58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7701424"/>
        <c:axId val="437699344"/>
      </c:barChart>
      <c:lineChart>
        <c:grouping val="standard"/>
        <c:varyColors val="0"/>
        <c:ser>
          <c:idx val="2"/>
          <c:order val="2"/>
          <c:tx>
            <c:strRef>
              <c:f>Summary!$E$40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Summary!$B$42:$B$44</c:f>
              <c:strCache>
                <c:ptCount val="3"/>
                <c:pt idx="0">
                  <c:v>Comparable Trading Analysis</c:v>
                </c:pt>
                <c:pt idx="1">
                  <c:v>Precedent Transaction Analysis</c:v>
                </c:pt>
                <c:pt idx="2">
                  <c:v>DCF Valuation Analysis</c:v>
                </c:pt>
              </c:strCache>
            </c:strRef>
          </c:cat>
          <c:val>
            <c:numRef>
              <c:f>Summary!$E$42:$E$44</c:f>
              <c:numCache>
                <c:formatCode>_(#,##0_);\(#,##0\);_("–"_);_(@_)</c:formatCode>
                <c:ptCount val="3"/>
                <c:pt idx="2">
                  <c:v>22848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1-4FCF-A114-5BD27E584B9C}"/>
            </c:ext>
          </c:extLst>
        </c:ser>
        <c:ser>
          <c:idx val="3"/>
          <c:order val="3"/>
          <c:tx>
            <c:strRef>
              <c:f>Summary!$F$40</c:f>
              <c:strCache>
                <c:ptCount val="1"/>
                <c:pt idx="0">
                  <c:v>Mid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7914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Summary!$B$42:$B$44</c:f>
              <c:strCache>
                <c:ptCount val="3"/>
                <c:pt idx="0">
                  <c:v>Comparable Trading Analysis</c:v>
                </c:pt>
                <c:pt idx="1">
                  <c:v>Precedent Transaction Analysis</c:v>
                </c:pt>
                <c:pt idx="2">
                  <c:v>DCF Valuation Analysis</c:v>
                </c:pt>
              </c:strCache>
            </c:strRef>
          </c:cat>
          <c:val>
            <c:numRef>
              <c:f>Summary!$F$42:$F$44</c:f>
              <c:numCache>
                <c:formatCode>_(#,##0_);\(#,##0\);_("–"_);_(@_)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21-4FCF-A114-5BD27E58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701424"/>
        <c:axId val="437699344"/>
      </c:lineChart>
      <c:catAx>
        <c:axId val="4377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437699344"/>
        <c:crosses val="autoZero"/>
        <c:auto val="1"/>
        <c:lblAlgn val="ctr"/>
        <c:lblOffset val="100"/>
        <c:noMultiLvlLbl val="0"/>
      </c:catAx>
      <c:valAx>
        <c:axId val="437699344"/>
        <c:scaling>
          <c:orientation val="minMax"/>
          <c:min val="12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#,##0_);\(#,##0\);_(&quot;–&quot;_);_(@_)" sourceLinked="1"/>
        <c:majorTickMark val="out"/>
        <c:minorTickMark val="none"/>
        <c:tickLblPos val="nextTo"/>
        <c:crossAx val="43770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corporatefinanceinstitute.com/" TargetMode="Externa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hyperlink" Target="https://macabacus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macabacus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80511</xdr:colOff>
      <xdr:row>4</xdr:row>
      <xdr:rowOff>235857</xdr:rowOff>
    </xdr:from>
    <xdr:to>
      <xdr:col>4</xdr:col>
      <xdr:colOff>180297</xdr:colOff>
      <xdr:row>7</xdr:row>
      <xdr:rowOff>46788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3846FD-45F3-F907-DE36-722698673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011" y="1053420"/>
          <a:ext cx="1877786" cy="549118"/>
        </a:xfrm>
        <a:prstGeom prst="rect">
          <a:avLst/>
        </a:prstGeom>
      </xdr:spPr>
    </xdr:pic>
    <xdr:clientData/>
  </xdr:twoCellAnchor>
  <xdr:twoCellAnchor editAs="oneCell">
    <xdr:from>
      <xdr:col>12</xdr:col>
      <xdr:colOff>407763</xdr:colOff>
      <xdr:row>4</xdr:row>
      <xdr:rowOff>236667</xdr:rowOff>
    </xdr:from>
    <xdr:to>
      <xdr:col>12</xdr:col>
      <xdr:colOff>2433248</xdr:colOff>
      <xdr:row>7</xdr:row>
      <xdr:rowOff>46314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EB2882-F375-C6BF-DB98-A57A0669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5063" y="1067247"/>
          <a:ext cx="2025485" cy="564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131884</xdr:colOff>
      <xdr:row>8</xdr:row>
      <xdr:rowOff>40549</xdr:rowOff>
    </xdr:from>
    <xdr:to>
      <xdr:col>12</xdr:col>
      <xdr:colOff>476250</xdr:colOff>
      <xdr:row>28</xdr:row>
      <xdr:rowOff>113568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45937-80A9-4A3F-A7D7-3A04F354A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130967</xdr:colOff>
      <xdr:row>0</xdr:row>
      <xdr:rowOff>138154</xdr:rowOff>
    </xdr:from>
    <xdr:to>
      <xdr:col>1</xdr:col>
      <xdr:colOff>1342004</xdr:colOff>
      <xdr:row>0</xdr:row>
      <xdr:rowOff>492296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B7854F-5A9F-4697-8ED3-CE380FFF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881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401965</xdr:colOff>
      <xdr:row>0</xdr:row>
      <xdr:rowOff>138517</xdr:rowOff>
    </xdr:from>
    <xdr:to>
      <xdr:col>12</xdr:col>
      <xdr:colOff>484120</xdr:colOff>
      <xdr:row>0</xdr:row>
      <xdr:rowOff>491769</xdr:rowOff>
    </xdr:to>
    <xdr:pic>
      <xdr:nvPicPr>
        <xdr:cNvPr id="6" name="Pictur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C468E7-E508-4C64-8BCD-259827726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0293" y="138517"/>
          <a:ext cx="1303982" cy="3532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1</xdr:col>
      <xdr:colOff>1342004</xdr:colOff>
      <xdr:row>0</xdr:row>
      <xdr:rowOff>492296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50CA4-4F48-48ED-BC99-6EBB95B2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401965</xdr:colOff>
      <xdr:row>0</xdr:row>
      <xdr:rowOff>138517</xdr:rowOff>
    </xdr:from>
    <xdr:to>
      <xdr:col>12</xdr:col>
      <xdr:colOff>484120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259116-C271-40FE-86EB-0735F9A0B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8140" y="138517"/>
          <a:ext cx="1301355" cy="3532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1</xdr:col>
      <xdr:colOff>1342004</xdr:colOff>
      <xdr:row>0</xdr:row>
      <xdr:rowOff>492296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131785-1940-4DFE-A846-87A2174A1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8</xdr:col>
      <xdr:colOff>518720</xdr:colOff>
      <xdr:row>0</xdr:row>
      <xdr:rowOff>138517</xdr:rowOff>
    </xdr:from>
    <xdr:to>
      <xdr:col>10</xdr:col>
      <xdr:colOff>524675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C2643C-70DD-4FDB-9F8A-5DFAAC1AE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4381" y="138517"/>
          <a:ext cx="1296439" cy="3532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1</xdr:col>
      <xdr:colOff>1342004</xdr:colOff>
      <xdr:row>0</xdr:row>
      <xdr:rowOff>492296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2D7E5-64C8-4736-88B7-8A4E11CD4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967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8</xdr:col>
      <xdr:colOff>518720</xdr:colOff>
      <xdr:row>0</xdr:row>
      <xdr:rowOff>138517</xdr:rowOff>
    </xdr:from>
    <xdr:to>
      <xdr:col>10</xdr:col>
      <xdr:colOff>524675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2F1053-62BE-41DD-822E-6DCD89548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2370" y="138517"/>
          <a:ext cx="1301355" cy="3532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427604</xdr:colOff>
      <xdr:row>0</xdr:row>
      <xdr:rowOff>492296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298E7D-8CBE-4B5F-8EFE-B87513B9C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967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402764</xdr:colOff>
      <xdr:row>0</xdr:row>
      <xdr:rowOff>138517</xdr:rowOff>
    </xdr:from>
    <xdr:to>
      <xdr:col>11</xdr:col>
      <xdr:colOff>789719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3D0D4D-EB9D-48B1-B6FD-45058EC51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5264" y="138517"/>
          <a:ext cx="1298042" cy="3532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427604</xdr:colOff>
      <xdr:row>0</xdr:row>
      <xdr:rowOff>492296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A653B-C004-415A-BFC8-EA6447EF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42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402764</xdr:colOff>
      <xdr:row>0</xdr:row>
      <xdr:rowOff>138517</xdr:rowOff>
    </xdr:from>
    <xdr:to>
      <xdr:col>11</xdr:col>
      <xdr:colOff>789719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74A435-04E0-4AF9-9FBC-3B4BC5064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3839" y="138517"/>
          <a:ext cx="1301355" cy="3532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1</xdr:col>
      <xdr:colOff>1342004</xdr:colOff>
      <xdr:row>0</xdr:row>
      <xdr:rowOff>492296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5723D-D84E-41E8-9EE3-590FCB404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42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670882</xdr:colOff>
      <xdr:row>0</xdr:row>
      <xdr:rowOff>138517</xdr:rowOff>
    </xdr:from>
    <xdr:to>
      <xdr:col>13</xdr:col>
      <xdr:colOff>362512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E3BDDB-9B1F-4719-8FD7-C87348E96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1993" y="138517"/>
          <a:ext cx="1293241" cy="3532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494279</xdr:colOff>
      <xdr:row>0</xdr:row>
      <xdr:rowOff>492296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DC36C0-4A25-4B6D-B731-753A1C9E4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967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670882</xdr:colOff>
      <xdr:row>0</xdr:row>
      <xdr:rowOff>138517</xdr:rowOff>
    </xdr:from>
    <xdr:to>
      <xdr:col>13</xdr:col>
      <xdr:colOff>362512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7F4C9B-2D38-458D-A91F-AF5A1739F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0107" y="138517"/>
          <a:ext cx="1301355" cy="3532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427604</xdr:colOff>
      <xdr:row>0</xdr:row>
      <xdr:rowOff>492296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89C4EA-42E8-44CA-ADDE-5FC41DA7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967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438966</xdr:colOff>
      <xdr:row>0</xdr:row>
      <xdr:rowOff>138517</xdr:rowOff>
    </xdr:from>
    <xdr:to>
      <xdr:col>11</xdr:col>
      <xdr:colOff>822608</xdr:colOff>
      <xdr:row>0</xdr:row>
      <xdr:rowOff>491769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7CEE4B-4BF1-47C1-9D4D-6E2359610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1466" y="138517"/>
          <a:ext cx="1294729" cy="3532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427604</xdr:colOff>
      <xdr:row>0</xdr:row>
      <xdr:rowOff>492296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8AC31B-F470-43C7-9ECA-809BA61D3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42" y="138154"/>
          <a:ext cx="1211037" cy="35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438966</xdr:colOff>
      <xdr:row>0</xdr:row>
      <xdr:rowOff>138517</xdr:rowOff>
    </xdr:from>
    <xdr:to>
      <xdr:col>11</xdr:col>
      <xdr:colOff>822608</xdr:colOff>
      <xdr:row>0</xdr:row>
      <xdr:rowOff>491769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D7595D-9D65-4C6D-BE2C-E28EEBDF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0041" y="138517"/>
          <a:ext cx="1298042" cy="353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9F5F-1392-4623-9727-1DB0151640DE}">
  <sheetPr>
    <pageSetUpPr fitToPage="1"/>
  </sheetPr>
  <dimension ref="A1:O41"/>
  <sheetViews>
    <sheetView showGridLines="0" tabSelected="1" zoomScaleNormal="100" zoomScaleSheetLayoutView="105" workbookViewId="0"/>
  </sheetViews>
  <sheetFormatPr defaultColWidth="9.140625" defaultRowHeight="19.5" customHeight="1"/>
  <cols>
    <col min="1" max="1" width="4.7109375" style="1" customWidth="1"/>
    <col min="2" max="2" width="0.85546875" style="1" customWidth="1"/>
    <col min="3" max="3" width="4.85546875" style="1" customWidth="1"/>
    <col min="4" max="4" width="26.7109375" style="1" customWidth="1"/>
    <col min="5" max="5" width="10.7109375" style="1" customWidth="1"/>
    <col min="6" max="6" width="20.7109375" style="1" customWidth="1"/>
    <col min="7" max="12" width="10.7109375" style="1" customWidth="1"/>
    <col min="13" max="13" width="36.7109375" style="1" customWidth="1"/>
    <col min="14" max="14" width="4.85546875" style="1" customWidth="1"/>
    <col min="15" max="15" width="0.85546875" style="1" customWidth="1"/>
    <col min="16" max="16384" width="9.140625" style="1"/>
  </cols>
  <sheetData>
    <row r="1" spans="1:15" ht="19.5" customHeight="1">
      <c r="A1" s="18"/>
      <c r="B1" s="18"/>
    </row>
    <row r="2" spans="1:15" ht="6" customHeight="1" thickBot="1">
      <c r="A2" s="18"/>
      <c r="B2" s="18"/>
    </row>
    <row r="3" spans="1:15" ht="19.5" customHeight="1">
      <c r="C3" s="247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9"/>
    </row>
    <row r="4" spans="1:15" ht="19.5" customHeight="1">
      <c r="C4" s="250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49"/>
    </row>
    <row r="5" spans="1:15" ht="19.5" customHeight="1">
      <c r="C5" s="250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49"/>
    </row>
    <row r="6" spans="1:15" ht="19.5" customHeight="1">
      <c r="C6" s="250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49"/>
    </row>
    <row r="7" spans="1:15" ht="19.5" customHeight="1">
      <c r="C7" s="250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49"/>
    </row>
    <row r="8" spans="1:15" ht="19.5" customHeight="1">
      <c r="C8" s="250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49"/>
    </row>
    <row r="9" spans="1:15" ht="19.5" customHeight="1">
      <c r="C9" s="250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49"/>
    </row>
    <row r="10" spans="1:15" ht="19.5" customHeight="1">
      <c r="C10" s="250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49"/>
    </row>
    <row r="11" spans="1:15" ht="19.5" customHeight="1">
      <c r="C11" s="249"/>
      <c r="O11" s="249"/>
    </row>
    <row r="12" spans="1:15" ht="28.5" customHeight="1">
      <c r="C12" s="249"/>
      <c r="D12" s="17" t="s">
        <v>13</v>
      </c>
      <c r="M12" s="16" t="s">
        <v>12</v>
      </c>
      <c r="O12" s="249"/>
    </row>
    <row r="13" spans="1:15" ht="19.5" customHeight="1">
      <c r="C13" s="249"/>
      <c r="D13" s="15"/>
      <c r="L13" s="14"/>
      <c r="O13" s="249"/>
    </row>
    <row r="14" spans="1:15" ht="19.5" customHeight="1">
      <c r="C14" s="249"/>
      <c r="D14" s="338" t="s">
        <v>11</v>
      </c>
      <c r="E14" s="339"/>
      <c r="F14" s="6"/>
      <c r="G14" s="6"/>
      <c r="H14" s="13"/>
      <c r="I14" s="12"/>
      <c r="J14" s="12"/>
      <c r="K14" s="12"/>
      <c r="L14" s="11"/>
      <c r="O14" s="249"/>
    </row>
    <row r="15" spans="1:15" ht="19.5" customHeight="1">
      <c r="C15" s="249"/>
      <c r="D15" s="337"/>
      <c r="E15" s="6"/>
      <c r="F15" s="6"/>
      <c r="G15" s="6"/>
      <c r="H15" s="13"/>
      <c r="I15" s="12"/>
      <c r="J15" s="12"/>
      <c r="K15" s="12"/>
      <c r="L15" s="11"/>
      <c r="O15" s="249"/>
    </row>
    <row r="16" spans="1:15" ht="19.5" customHeight="1">
      <c r="C16" s="249"/>
      <c r="D16" s="336" t="s">
        <v>10</v>
      </c>
      <c r="E16" s="6"/>
      <c r="F16" s="6"/>
      <c r="G16" s="6"/>
      <c r="H16" s="13"/>
      <c r="I16" s="12"/>
      <c r="J16" s="12"/>
      <c r="K16" s="12"/>
      <c r="L16" s="11"/>
      <c r="O16" s="249"/>
    </row>
    <row r="17" spans="3:15" ht="19.5" customHeight="1">
      <c r="C17" s="249"/>
      <c r="D17" s="336" t="s">
        <v>150</v>
      </c>
      <c r="E17" s="340" t="s">
        <v>112</v>
      </c>
      <c r="F17" s="6"/>
      <c r="G17" s="6"/>
      <c r="H17" s="13"/>
      <c r="I17" s="12"/>
      <c r="J17" s="12"/>
      <c r="K17" s="12"/>
      <c r="L17" s="11"/>
      <c r="O17" s="249"/>
    </row>
    <row r="18" spans="3:15" ht="19.5" customHeight="1">
      <c r="C18" s="249"/>
      <c r="D18" s="336" t="s">
        <v>151</v>
      </c>
      <c r="E18" s="340" t="s">
        <v>152</v>
      </c>
      <c r="F18" s="6"/>
      <c r="G18" s="6"/>
      <c r="H18" s="13"/>
      <c r="I18" s="12"/>
      <c r="J18" s="12"/>
      <c r="K18" s="12"/>
      <c r="L18" s="11"/>
      <c r="O18" s="249"/>
    </row>
    <row r="19" spans="3:15" ht="19.5" customHeight="1">
      <c r="C19" s="249"/>
      <c r="F19" s="6"/>
      <c r="G19" s="6"/>
      <c r="H19" s="13"/>
      <c r="I19" s="12"/>
      <c r="J19" s="12"/>
      <c r="K19" s="12"/>
      <c r="L19" s="11"/>
      <c r="O19" s="249"/>
    </row>
    <row r="20" spans="3:15" ht="19.5" customHeight="1">
      <c r="C20" s="249"/>
      <c r="E20" s="6"/>
      <c r="F20" s="6"/>
      <c r="G20" s="6"/>
      <c r="H20" s="6"/>
      <c r="I20" s="6"/>
      <c r="J20" s="6"/>
      <c r="K20" s="6"/>
      <c r="L20" s="6"/>
      <c r="M20" s="6"/>
      <c r="O20" s="249"/>
    </row>
    <row r="21" spans="3:15" ht="19.5" customHeight="1">
      <c r="C21" s="249"/>
      <c r="D21" s="10"/>
      <c r="E21" s="6"/>
      <c r="F21" s="6"/>
      <c r="G21" s="6"/>
      <c r="H21" s="6"/>
      <c r="I21" s="6"/>
      <c r="J21" s="6"/>
      <c r="K21" s="6"/>
      <c r="L21" s="6"/>
      <c r="M21" s="6"/>
      <c r="O21" s="249"/>
    </row>
    <row r="22" spans="3:15" ht="19.5" customHeight="1">
      <c r="C22" s="249"/>
      <c r="D22" s="10"/>
      <c r="E22" s="6"/>
      <c r="F22" s="6"/>
      <c r="G22" s="6"/>
      <c r="H22" s="6"/>
      <c r="I22" s="6"/>
      <c r="J22" s="6"/>
      <c r="K22" s="6"/>
      <c r="L22" s="6"/>
      <c r="M22" s="6"/>
      <c r="O22" s="249"/>
    </row>
    <row r="23" spans="3:15" ht="19.5" customHeight="1">
      <c r="C23" s="249"/>
      <c r="D23" s="10"/>
      <c r="E23" s="6"/>
      <c r="F23" s="6"/>
      <c r="G23" s="6"/>
      <c r="H23" s="6"/>
      <c r="I23" s="6"/>
      <c r="J23" s="6"/>
      <c r="K23" s="6"/>
      <c r="L23" s="6"/>
      <c r="M23" s="6"/>
      <c r="O23" s="249"/>
    </row>
    <row r="24" spans="3:15" ht="19.5" customHeight="1">
      <c r="C24" s="249"/>
      <c r="E24" s="6"/>
      <c r="F24" s="6"/>
      <c r="G24" s="6"/>
      <c r="H24" s="6"/>
      <c r="I24" s="6"/>
      <c r="J24" s="6"/>
      <c r="K24" s="6"/>
      <c r="L24" s="6"/>
      <c r="M24" s="6"/>
      <c r="O24" s="249"/>
    </row>
    <row r="25" spans="3:15" ht="19.5" customHeight="1">
      <c r="C25" s="249"/>
      <c r="D25" s="10"/>
      <c r="E25" s="6"/>
      <c r="F25" s="6"/>
      <c r="G25" s="6"/>
      <c r="H25" s="6"/>
      <c r="I25" s="6"/>
      <c r="J25" s="6"/>
      <c r="K25" s="6"/>
      <c r="L25" s="6"/>
      <c r="M25" s="6"/>
      <c r="O25" s="249"/>
    </row>
    <row r="26" spans="3:15" ht="19.5" customHeight="1">
      <c r="C26" s="249"/>
      <c r="D26" s="10"/>
      <c r="E26" s="6"/>
      <c r="F26" s="6"/>
      <c r="G26" s="6"/>
      <c r="H26" s="6"/>
      <c r="I26" s="6"/>
      <c r="J26" s="6"/>
      <c r="K26" s="6"/>
      <c r="L26" s="6"/>
      <c r="M26" s="6"/>
      <c r="O26" s="249"/>
    </row>
    <row r="27" spans="3:15" ht="19.5" customHeight="1">
      <c r="C27" s="249"/>
      <c r="D27" s="9"/>
      <c r="E27" s="6"/>
      <c r="F27" s="6"/>
      <c r="G27" s="6"/>
      <c r="H27" s="6"/>
      <c r="I27" s="6"/>
      <c r="J27" s="6"/>
      <c r="K27" s="6"/>
      <c r="L27" s="6"/>
      <c r="M27" s="6"/>
      <c r="O27" s="249"/>
    </row>
    <row r="28" spans="3:15" ht="19.5" customHeight="1">
      <c r="C28" s="249"/>
      <c r="D28" s="9"/>
      <c r="E28" s="6"/>
      <c r="F28" s="6"/>
      <c r="G28" s="6"/>
      <c r="H28" s="6"/>
      <c r="I28" s="6"/>
      <c r="J28" s="6"/>
      <c r="K28" s="6"/>
      <c r="L28" s="6"/>
      <c r="M28" s="6"/>
      <c r="O28" s="249"/>
    </row>
    <row r="29" spans="3:15" ht="19.5" customHeight="1">
      <c r="C29" s="249"/>
      <c r="D29" s="8"/>
      <c r="E29" s="6"/>
      <c r="F29" s="6"/>
      <c r="G29" s="6"/>
      <c r="H29" s="6"/>
      <c r="I29" s="6"/>
      <c r="J29" s="6"/>
      <c r="K29" s="6"/>
      <c r="L29" s="6"/>
      <c r="M29" s="6"/>
      <c r="O29" s="249"/>
    </row>
    <row r="30" spans="3:15" ht="19.5" customHeight="1">
      <c r="C30" s="249"/>
      <c r="D30" s="7"/>
      <c r="E30" s="6"/>
      <c r="F30" s="6"/>
      <c r="G30" s="6"/>
      <c r="H30" s="6"/>
      <c r="I30" s="6"/>
      <c r="J30" s="6"/>
      <c r="K30" s="6"/>
      <c r="L30" s="6"/>
      <c r="M30" s="6"/>
      <c r="O30" s="249"/>
    </row>
    <row r="31" spans="3:15" ht="19.5" customHeight="1">
      <c r="C31" s="249"/>
      <c r="D31" s="7"/>
      <c r="E31" s="6"/>
      <c r="F31" s="6"/>
      <c r="G31" s="6"/>
      <c r="H31" s="6"/>
      <c r="I31" s="6"/>
      <c r="J31" s="6"/>
      <c r="K31" s="6"/>
      <c r="L31" s="6"/>
      <c r="M31" s="6"/>
      <c r="O31" s="249"/>
    </row>
    <row r="32" spans="3:15" ht="19.5" customHeight="1">
      <c r="C32" s="249"/>
      <c r="D32" s="5" t="s">
        <v>7</v>
      </c>
      <c r="E32" s="4"/>
      <c r="F32" s="4"/>
      <c r="G32" s="4"/>
      <c r="H32" s="4"/>
      <c r="I32" s="4"/>
      <c r="J32" s="4"/>
      <c r="K32" s="4"/>
      <c r="L32" s="4"/>
      <c r="M32" s="4"/>
      <c r="O32" s="249"/>
    </row>
    <row r="33" spans="3:15" ht="19.5" customHeight="1">
      <c r="C33" s="249"/>
      <c r="D33" s="3" t="s">
        <v>6</v>
      </c>
      <c r="E33" s="2"/>
      <c r="F33" s="2"/>
      <c r="G33" s="2"/>
      <c r="H33" s="2"/>
      <c r="I33" s="2"/>
      <c r="J33" s="2"/>
      <c r="K33" s="2"/>
      <c r="L33" s="2"/>
      <c r="M33" s="2"/>
      <c r="O33" s="249"/>
    </row>
    <row r="34" spans="3:15" ht="19.5" customHeight="1">
      <c r="C34" s="249"/>
      <c r="D34" s="3" t="s">
        <v>5</v>
      </c>
      <c r="E34" s="2"/>
      <c r="F34" s="2"/>
      <c r="G34" s="2"/>
      <c r="H34" s="2"/>
      <c r="I34" s="2"/>
      <c r="J34" s="2"/>
      <c r="K34" s="2"/>
      <c r="L34" s="2"/>
      <c r="M34" s="2"/>
      <c r="O34" s="249"/>
    </row>
    <row r="35" spans="3:15" ht="19.5" customHeight="1">
      <c r="C35" s="249"/>
      <c r="D35" s="3" t="s">
        <v>4</v>
      </c>
      <c r="E35" s="2"/>
      <c r="F35" s="2"/>
      <c r="G35" s="2"/>
      <c r="H35" s="2"/>
      <c r="I35" s="2"/>
      <c r="J35" s="2"/>
      <c r="K35" s="2"/>
      <c r="L35" s="2"/>
      <c r="M35" s="2"/>
      <c r="O35" s="249"/>
    </row>
    <row r="36" spans="3:15" ht="19.5" customHeight="1">
      <c r="C36" s="249"/>
      <c r="D36" s="3" t="s">
        <v>3</v>
      </c>
      <c r="E36" s="2"/>
      <c r="F36" s="2"/>
      <c r="G36" s="2"/>
      <c r="H36" s="2"/>
      <c r="I36" s="2"/>
      <c r="J36" s="2"/>
      <c r="K36" s="2"/>
      <c r="L36" s="2"/>
      <c r="M36" s="2"/>
      <c r="O36" s="249"/>
    </row>
    <row r="37" spans="3:15" ht="19.5" customHeight="1">
      <c r="C37" s="249"/>
      <c r="D37" s="3" t="s">
        <v>2</v>
      </c>
      <c r="E37" s="2"/>
      <c r="F37" s="2"/>
      <c r="G37" s="2"/>
      <c r="H37" s="2"/>
      <c r="I37" s="2"/>
      <c r="J37" s="2"/>
      <c r="K37" s="2"/>
      <c r="L37" s="2"/>
      <c r="M37" s="2"/>
      <c r="O37" s="249"/>
    </row>
    <row r="38" spans="3:15" ht="19.5" customHeight="1">
      <c r="C38" s="249"/>
      <c r="D38" s="3"/>
      <c r="E38" s="2"/>
      <c r="F38" s="2"/>
      <c r="G38" s="2"/>
      <c r="H38" s="2"/>
      <c r="I38" s="2"/>
      <c r="J38" s="2"/>
      <c r="K38" s="2"/>
      <c r="L38" s="2"/>
      <c r="M38" s="2"/>
      <c r="O38" s="249"/>
    </row>
    <row r="39" spans="3:15" ht="19.5" customHeight="1">
      <c r="C39" s="249"/>
      <c r="D39" s="3" t="s">
        <v>1</v>
      </c>
      <c r="E39" s="2"/>
      <c r="F39" s="2"/>
      <c r="G39" s="2"/>
      <c r="H39" s="2"/>
      <c r="I39" s="2"/>
      <c r="J39" s="2"/>
      <c r="K39" s="2"/>
      <c r="L39" s="2"/>
      <c r="M39" s="2"/>
      <c r="O39" s="249"/>
    </row>
    <row r="40" spans="3:15" ht="19.5" customHeight="1" thickBot="1">
      <c r="C40" s="249"/>
      <c r="N40" s="1" t="s">
        <v>0</v>
      </c>
      <c r="O40" s="249"/>
    </row>
    <row r="41" spans="3:15" ht="6" customHeight="1"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1" t="s">
        <v>0</v>
      </c>
    </row>
  </sheetData>
  <hyperlinks>
    <hyperlink ref="D39" r:id="rId1" xr:uid="{AA692729-5944-4909-95B8-9B3C363A42DB}"/>
    <hyperlink ref="D17" location="Trading!A1" tooltip="Trading" display="Trading Analysis" xr:uid="{B2052EAC-64E6-4A10-B4C8-9ECDD0712CD7}"/>
    <hyperlink ref="D18" location="Precedents!A1" tooltip="Transactions" display="Transaction Analysis" xr:uid="{02D5B910-AEA6-403D-AAFD-3E12C5E643C9}"/>
    <hyperlink ref="D16" location="Summary!A1" tooltip="Summary" display="Summary" xr:uid="{37AD0B5E-AC8F-47C6-A608-E456964A152A}"/>
    <hyperlink ref="E17" location="HVM!A1" tooltip="HVM" display="HVM" xr:uid="{71BFE108-CDB0-4724-B6CC-80DC9A44A519}"/>
    <hyperlink ref="E18" location="GPT!A1" tooltip="GPT" display="GPT" xr:uid="{2D936D4F-3122-49BE-A0D6-0B921D9CA5B2}"/>
  </hyperlinks>
  <printOptions horizontalCentered="1" verticalCentered="1"/>
  <pageMargins left="0.118110236220472" right="0.118110236220472" top="0.118110236220472" bottom="0.118110236220472" header="0.118110236220472" footer="0.118110236220472"/>
  <pageSetup scale="7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46E0-2B1D-4BBB-A038-958F3A9EE960}">
  <dimension ref="A1:N48"/>
  <sheetViews>
    <sheetView showGridLines="0" zoomScaleNormal="100" zoomScaleSheetLayoutView="105" workbookViewId="0">
      <pane ySplit="1" topLeftCell="A2" activePane="bottomLeft" state="frozen"/>
      <selection pane="bottomLeft"/>
    </sheetView>
  </sheetViews>
  <sheetFormatPr defaultColWidth="9.140625" defaultRowHeight="15" outlineLevelRow="1"/>
  <cols>
    <col min="2" max="2" width="30.140625" customWidth="1"/>
  </cols>
  <sheetData>
    <row r="1" spans="1:14" s="51" customFormat="1" ht="50.1" customHeight="1">
      <c r="A1" s="57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57"/>
    </row>
    <row r="2" spans="1:14" s="51" customFormat="1" ht="15" customHeight="1">
      <c r="A2" s="56"/>
      <c r="B2" s="56"/>
      <c r="C2" s="56"/>
      <c r="D2" s="55"/>
      <c r="E2" s="55"/>
      <c r="F2" s="55"/>
      <c r="G2" s="55"/>
      <c r="H2" s="55"/>
      <c r="I2" s="55"/>
      <c r="J2" s="54"/>
      <c r="K2" s="53"/>
      <c r="L2" s="53"/>
      <c r="M2" s="53"/>
      <c r="N2" s="52"/>
    </row>
    <row r="3" spans="1:14" s="21" customFormat="1" ht="15" customHeight="1">
      <c r="A3" s="37" t="s">
        <v>0</v>
      </c>
      <c r="B3" s="239" t="s">
        <v>22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36"/>
    </row>
    <row r="4" spans="1:14" s="21" customFormat="1" ht="15" customHeight="1" outlineLevel="1">
      <c r="B4" s="32"/>
      <c r="C4" s="32"/>
      <c r="D4" s="31"/>
      <c r="E4" s="31"/>
      <c r="F4" s="30"/>
      <c r="G4" s="30"/>
      <c r="H4" s="30"/>
      <c r="I4" s="30"/>
      <c r="J4" s="22"/>
      <c r="K4" s="22"/>
      <c r="L4" s="22"/>
      <c r="M4" s="22"/>
      <c r="N4" s="22"/>
    </row>
    <row r="5" spans="1:14" s="21" customFormat="1" ht="15" customHeight="1" outlineLevel="1">
      <c r="B5" s="35" t="s">
        <v>19</v>
      </c>
      <c r="C5" s="32"/>
      <c r="D5" s="31"/>
      <c r="E5" s="31"/>
      <c r="F5" s="30"/>
      <c r="G5" s="30"/>
      <c r="H5" s="30"/>
      <c r="I5" s="30"/>
      <c r="J5" s="22"/>
      <c r="K5" s="22"/>
      <c r="L5" s="22"/>
      <c r="M5" s="22"/>
      <c r="N5" s="22"/>
    </row>
    <row r="6" spans="1:14" s="21" customFormat="1" ht="15" customHeight="1" outlineLevel="1">
      <c r="B6" s="33"/>
      <c r="C6" s="32"/>
      <c r="D6" s="31"/>
      <c r="E6" s="31"/>
      <c r="F6" s="34"/>
      <c r="G6" s="34"/>
      <c r="H6" s="34"/>
      <c r="I6" s="34"/>
      <c r="J6" s="22"/>
      <c r="K6" s="22"/>
      <c r="L6" s="22"/>
      <c r="M6" s="22"/>
      <c r="N6" s="22"/>
    </row>
    <row r="7" spans="1:14" s="21" customFormat="1" ht="15" customHeight="1" outlineLevel="1" thickBot="1">
      <c r="B7" s="50" t="s">
        <v>21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s="21" customFormat="1" ht="15" customHeight="1" outlineLevel="1">
      <c r="B8" s="49"/>
      <c r="C8" s="48"/>
      <c r="D8" s="47"/>
      <c r="E8" s="47"/>
      <c r="F8" s="46"/>
      <c r="G8" s="46"/>
      <c r="H8" s="46"/>
      <c r="I8" s="46"/>
      <c r="J8" s="45"/>
      <c r="K8" s="45"/>
      <c r="L8" s="45"/>
      <c r="M8" s="45"/>
      <c r="N8" s="22"/>
    </row>
    <row r="9" spans="1:14" s="21" customFormat="1" ht="15" customHeight="1" outlineLevel="1">
      <c r="B9" s="33"/>
      <c r="C9" s="32"/>
      <c r="D9" s="31"/>
      <c r="E9" s="31"/>
      <c r="F9" s="30"/>
      <c r="G9" s="30"/>
      <c r="H9" s="30"/>
      <c r="I9" s="30"/>
      <c r="J9" s="22"/>
      <c r="K9" s="22"/>
      <c r="L9" s="22"/>
      <c r="M9" s="22"/>
      <c r="N9" s="22"/>
    </row>
    <row r="10" spans="1:14" s="21" customFormat="1" ht="15" customHeight="1" outlineLevel="1">
      <c r="B10" s="33"/>
      <c r="C10" s="32"/>
      <c r="D10" s="31"/>
      <c r="E10" s="31"/>
      <c r="F10" s="30"/>
      <c r="G10" s="30"/>
      <c r="H10" s="30"/>
      <c r="I10" s="30"/>
      <c r="J10" s="22"/>
      <c r="K10" s="22"/>
      <c r="L10" s="22"/>
      <c r="M10" s="22"/>
      <c r="N10" s="22"/>
    </row>
    <row r="11" spans="1:14" s="21" customFormat="1" ht="15" customHeight="1" outlineLevel="1">
      <c r="B11" s="33"/>
      <c r="C11" s="32"/>
      <c r="D11" s="31"/>
      <c r="E11" s="31"/>
      <c r="F11" s="30"/>
      <c r="G11" s="30"/>
      <c r="H11" s="30"/>
      <c r="I11" s="30"/>
      <c r="J11" s="22"/>
      <c r="K11" s="22"/>
      <c r="L11" s="22"/>
      <c r="M11" s="22"/>
      <c r="N11" s="22"/>
    </row>
    <row r="12" spans="1:14" s="21" customFormat="1" ht="15" customHeight="1" outlineLevel="1">
      <c r="B12" s="33"/>
      <c r="C12" s="32"/>
      <c r="D12" s="31"/>
      <c r="E12" s="31"/>
      <c r="F12" s="30"/>
      <c r="G12" s="30"/>
      <c r="H12" s="30"/>
      <c r="I12" s="30"/>
      <c r="J12" s="22"/>
      <c r="K12" s="22"/>
      <c r="L12" s="22"/>
      <c r="M12" s="22"/>
      <c r="N12" s="22"/>
    </row>
    <row r="13" spans="1:14" s="21" customFormat="1" ht="15" customHeight="1" outlineLevel="1">
      <c r="B13" s="33"/>
      <c r="C13" s="32"/>
      <c r="D13" s="31"/>
      <c r="E13" s="31"/>
      <c r="F13" s="30"/>
      <c r="G13" s="30"/>
      <c r="H13" s="30"/>
      <c r="I13" s="30"/>
      <c r="J13" s="22"/>
      <c r="K13" s="22"/>
      <c r="L13" s="22"/>
      <c r="M13" s="22"/>
      <c r="N13" s="22"/>
    </row>
    <row r="14" spans="1:14" s="21" customFormat="1" ht="15" customHeight="1" outlineLevel="1">
      <c r="B14" s="33"/>
      <c r="C14" s="32"/>
      <c r="D14" s="31"/>
      <c r="E14" s="31"/>
      <c r="F14" s="30"/>
      <c r="G14" s="30"/>
      <c r="H14" s="30"/>
      <c r="I14" s="30"/>
      <c r="J14" s="22"/>
      <c r="K14" s="22"/>
      <c r="L14" s="22"/>
      <c r="M14" s="22"/>
      <c r="N14" s="22"/>
    </row>
    <row r="15" spans="1:14" s="21" customFormat="1" ht="15" customHeight="1" outlineLevel="1">
      <c r="B15" s="33"/>
      <c r="C15" s="32"/>
      <c r="D15" s="31"/>
      <c r="E15" s="31"/>
      <c r="F15" s="30"/>
      <c r="G15" s="30"/>
      <c r="H15" s="30"/>
      <c r="I15" s="30"/>
      <c r="J15" s="22"/>
      <c r="K15" s="22"/>
      <c r="L15" s="22"/>
      <c r="M15" s="22"/>
      <c r="N15" s="22"/>
    </row>
    <row r="16" spans="1:14" s="21" customFormat="1" ht="15" customHeight="1" outlineLevel="1">
      <c r="B16" s="33"/>
      <c r="C16" s="32"/>
      <c r="D16" s="31"/>
      <c r="E16" s="31"/>
      <c r="F16" s="30"/>
      <c r="G16" s="30"/>
      <c r="H16" s="30"/>
      <c r="I16" s="30"/>
      <c r="J16" s="22"/>
      <c r="K16" s="22"/>
      <c r="L16" s="22"/>
      <c r="M16" s="22"/>
      <c r="N16" s="22"/>
    </row>
    <row r="17" spans="2:14" s="21" customFormat="1" ht="15" customHeight="1" outlineLevel="1">
      <c r="B17" s="33"/>
      <c r="C17" s="32"/>
      <c r="D17" s="31"/>
      <c r="E17" s="31"/>
      <c r="F17" s="30"/>
      <c r="G17" s="30"/>
      <c r="H17" s="30"/>
      <c r="I17" s="30"/>
      <c r="J17" s="22"/>
      <c r="K17" s="22"/>
      <c r="L17" s="22"/>
      <c r="M17" s="22"/>
      <c r="N17" s="22"/>
    </row>
    <row r="18" spans="2:14" s="21" customFormat="1" ht="15" customHeight="1" outlineLevel="1">
      <c r="B18" s="33"/>
      <c r="C18" s="32"/>
      <c r="D18" s="31"/>
      <c r="E18" s="31"/>
      <c r="F18" s="30"/>
      <c r="G18" s="30"/>
      <c r="H18" s="30"/>
      <c r="I18" s="30"/>
      <c r="J18" s="22"/>
      <c r="K18" s="22"/>
      <c r="L18" s="22"/>
      <c r="M18" s="22"/>
      <c r="N18" s="22"/>
    </row>
    <row r="19" spans="2:14" s="21" customFormat="1" ht="15" customHeight="1" outlineLevel="1">
      <c r="B19" s="33"/>
      <c r="C19" s="32"/>
      <c r="D19" s="31"/>
      <c r="E19" s="31"/>
      <c r="F19" s="30"/>
      <c r="G19" s="30"/>
      <c r="H19" s="30"/>
      <c r="I19" s="30"/>
      <c r="J19" s="22"/>
      <c r="K19" s="22"/>
      <c r="L19" s="22"/>
      <c r="M19" s="22"/>
      <c r="N19" s="22"/>
    </row>
    <row r="20" spans="2:14" s="21" customFormat="1" ht="15" customHeight="1" outlineLevel="1">
      <c r="B20" s="33"/>
      <c r="C20" s="32"/>
      <c r="D20" s="31"/>
      <c r="E20" s="31"/>
      <c r="F20" s="30"/>
      <c r="G20" s="30"/>
      <c r="H20" s="30"/>
      <c r="I20" s="30"/>
      <c r="J20" s="22"/>
      <c r="K20" s="22"/>
      <c r="L20" s="22"/>
      <c r="M20" s="22"/>
      <c r="N20" s="22"/>
    </row>
    <row r="21" spans="2:14" s="21" customFormat="1" ht="15" customHeight="1" outlineLevel="1">
      <c r="B21" s="33"/>
      <c r="C21" s="32"/>
      <c r="D21" s="31"/>
      <c r="E21" s="31"/>
      <c r="F21" s="30"/>
      <c r="G21" s="30"/>
      <c r="H21" s="30"/>
      <c r="I21" s="30"/>
      <c r="J21" s="22"/>
      <c r="K21" s="22"/>
      <c r="L21" s="22"/>
      <c r="M21" s="22"/>
      <c r="N21" s="22"/>
    </row>
    <row r="22" spans="2:14" s="21" customFormat="1" ht="15" customHeight="1" outlineLevel="1">
      <c r="B22" s="33"/>
      <c r="C22" s="32"/>
      <c r="D22" s="31"/>
      <c r="E22" s="31"/>
      <c r="F22" s="30"/>
      <c r="G22" s="30"/>
      <c r="H22" s="30"/>
      <c r="I22" s="30"/>
      <c r="J22" s="22"/>
      <c r="K22" s="22"/>
      <c r="L22" s="22"/>
      <c r="M22" s="22"/>
      <c r="N22" s="22"/>
    </row>
    <row r="23" spans="2:14" s="21" customFormat="1" ht="15" customHeight="1" outlineLevel="1">
      <c r="B23" s="33"/>
      <c r="C23" s="32"/>
      <c r="D23" s="31"/>
      <c r="E23" s="31"/>
      <c r="F23" s="30"/>
      <c r="G23" s="30"/>
      <c r="H23" s="30"/>
      <c r="I23" s="30"/>
      <c r="J23" s="22"/>
      <c r="K23" s="22"/>
      <c r="L23" s="22"/>
      <c r="M23" s="22"/>
      <c r="N23" s="22"/>
    </row>
    <row r="24" spans="2:14" s="21" customFormat="1" ht="15" customHeight="1" outlineLevel="1">
      <c r="B24" s="33"/>
      <c r="C24" s="32"/>
      <c r="D24" s="31"/>
      <c r="E24" s="31"/>
      <c r="F24" s="30"/>
      <c r="G24" s="30"/>
      <c r="H24" s="30"/>
      <c r="I24" s="30"/>
      <c r="J24" s="22"/>
      <c r="K24" s="22"/>
      <c r="L24" s="22"/>
      <c r="M24" s="22"/>
      <c r="N24" s="22"/>
    </row>
    <row r="25" spans="2:14" s="21" customFormat="1" ht="15" customHeight="1" outlineLevel="1">
      <c r="B25" s="33"/>
      <c r="C25" s="32"/>
      <c r="D25" s="31"/>
      <c r="E25" s="31"/>
      <c r="F25" s="30"/>
      <c r="G25" s="30"/>
      <c r="H25" s="30"/>
      <c r="I25" s="30"/>
      <c r="J25" s="22"/>
      <c r="K25" s="22"/>
      <c r="L25" s="22"/>
      <c r="M25" s="22"/>
      <c r="N25" s="22"/>
    </row>
    <row r="26" spans="2:14" s="21" customFormat="1" ht="15" customHeight="1" outlineLevel="1">
      <c r="B26" s="33"/>
      <c r="C26" s="32"/>
      <c r="D26" s="31"/>
      <c r="E26" s="31"/>
      <c r="F26" s="30"/>
      <c r="G26" s="30"/>
      <c r="H26" s="30"/>
      <c r="I26" s="30"/>
      <c r="J26" s="22"/>
      <c r="K26" s="22"/>
      <c r="L26" s="22"/>
      <c r="M26" s="22"/>
      <c r="N26" s="22"/>
    </row>
    <row r="27" spans="2:14" s="21" customFormat="1" ht="15" customHeight="1" outlineLevel="1">
      <c r="B27" s="33"/>
      <c r="C27" s="32"/>
      <c r="D27" s="31"/>
      <c r="E27" s="31"/>
      <c r="F27" s="30"/>
      <c r="G27" s="30"/>
      <c r="H27" s="30"/>
      <c r="I27" s="30"/>
      <c r="J27" s="22"/>
      <c r="K27" s="22"/>
      <c r="L27" s="22"/>
      <c r="M27" s="22"/>
      <c r="N27" s="22"/>
    </row>
    <row r="28" spans="2:14" s="21" customFormat="1" ht="15" customHeight="1" outlineLevel="1">
      <c r="B28" s="33"/>
      <c r="C28" s="32"/>
      <c r="D28" s="31"/>
      <c r="E28" s="31"/>
      <c r="F28" s="30"/>
      <c r="G28" s="30"/>
      <c r="H28" s="30"/>
      <c r="I28" s="30"/>
      <c r="J28" s="22"/>
      <c r="K28" s="22"/>
      <c r="L28" s="22"/>
      <c r="M28" s="22"/>
      <c r="N28" s="22"/>
    </row>
    <row r="29" spans="2:14" s="21" customFormat="1" ht="15" customHeight="1" outlineLevel="1">
      <c r="B29" s="33"/>
      <c r="C29" s="32"/>
      <c r="D29" s="31"/>
      <c r="E29" s="31"/>
      <c r="F29" s="30"/>
      <c r="G29" s="30"/>
      <c r="H29" s="30"/>
      <c r="I29" s="30"/>
      <c r="J29" s="22"/>
      <c r="K29" s="22"/>
      <c r="L29" s="22"/>
      <c r="M29" s="22"/>
      <c r="N29" s="22"/>
    </row>
    <row r="30" spans="2:14" s="21" customFormat="1" ht="15" customHeight="1" outlineLevel="1">
      <c r="B30" s="33"/>
      <c r="C30" s="32"/>
      <c r="D30" s="31"/>
      <c r="E30" s="31"/>
      <c r="F30" s="30"/>
      <c r="G30" s="30"/>
      <c r="H30" s="30"/>
      <c r="I30" s="30"/>
      <c r="J30" s="22"/>
      <c r="K30" s="22"/>
      <c r="L30" s="22"/>
      <c r="M30" s="22"/>
      <c r="N30" s="22"/>
    </row>
    <row r="31" spans="2:14" s="21" customFormat="1" ht="15" customHeight="1" outlineLevel="1">
      <c r="B31" s="33"/>
      <c r="C31" s="32"/>
      <c r="D31" s="31"/>
      <c r="E31" s="31"/>
      <c r="F31" s="30"/>
      <c r="G31" s="30"/>
      <c r="H31" s="30"/>
      <c r="I31" s="30"/>
      <c r="J31" s="22"/>
      <c r="K31" s="22"/>
      <c r="L31" s="22"/>
      <c r="M31" s="22"/>
      <c r="N31" s="22"/>
    </row>
    <row r="32" spans="2:14" s="21" customFormat="1" ht="15" customHeight="1" outlineLevel="1">
      <c r="B32" s="33"/>
      <c r="C32" s="32"/>
      <c r="D32" s="31"/>
      <c r="E32" s="31"/>
      <c r="F32" s="30"/>
      <c r="G32" s="30"/>
      <c r="H32" s="30"/>
      <c r="I32" s="30"/>
      <c r="J32" s="22"/>
      <c r="K32" s="22"/>
      <c r="M32" s="44" t="s">
        <v>110</v>
      </c>
    </row>
    <row r="33" spans="1:14" s="21" customFormat="1" ht="15" customHeight="1" outlineLevel="1">
      <c r="B33" s="33"/>
      <c r="C33" s="32"/>
      <c r="D33" s="31"/>
      <c r="E33" s="31"/>
      <c r="F33" s="30"/>
      <c r="G33" s="30"/>
      <c r="H33" s="30"/>
      <c r="I33" s="30"/>
      <c r="J33" s="22"/>
      <c r="K33" s="22"/>
      <c r="L33" s="22"/>
      <c r="M33" s="22"/>
      <c r="N33" s="22"/>
    </row>
    <row r="34" spans="1:14" s="21" customFormat="1" ht="15" customHeight="1" outlineLevel="1">
      <c r="B34" s="43"/>
      <c r="C34" s="43"/>
      <c r="D34" s="42"/>
      <c r="E34" s="42"/>
      <c r="F34" s="41"/>
      <c r="G34" s="41"/>
      <c r="H34" s="41"/>
      <c r="I34" s="41"/>
      <c r="J34" s="40"/>
      <c r="K34" s="40"/>
      <c r="L34" s="39"/>
      <c r="M34" s="38"/>
      <c r="N34" s="36"/>
    </row>
    <row r="35" spans="1:14" s="21" customFormat="1" ht="15" customHeight="1">
      <c r="B35" s="33"/>
      <c r="C35" s="32"/>
      <c r="D35" s="31"/>
      <c r="E35" s="31"/>
      <c r="F35" s="30"/>
      <c r="G35" s="30"/>
      <c r="H35" s="30"/>
      <c r="I35" s="30"/>
      <c r="J35" s="22"/>
      <c r="K35" s="22"/>
      <c r="L35" s="22"/>
      <c r="M35" s="22"/>
      <c r="N35" s="22"/>
    </row>
    <row r="36" spans="1:14" s="21" customFormat="1" ht="15" customHeight="1">
      <c r="A36" s="37" t="s">
        <v>0</v>
      </c>
      <c r="B36" s="242" t="s">
        <v>20</v>
      </c>
      <c r="C36" s="240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36"/>
    </row>
    <row r="37" spans="1:14" s="21" customFormat="1" ht="15" customHeight="1" outlineLevel="1">
      <c r="B37" s="32"/>
      <c r="C37" s="32"/>
      <c r="D37" s="31"/>
      <c r="E37" s="31"/>
      <c r="F37" s="30"/>
      <c r="G37" s="30"/>
      <c r="H37" s="30"/>
      <c r="I37" s="30"/>
      <c r="J37" s="22"/>
      <c r="K37" s="22"/>
      <c r="L37" s="22"/>
      <c r="M37" s="22"/>
      <c r="N37" s="22"/>
    </row>
    <row r="38" spans="1:14" s="21" customFormat="1" ht="15" customHeight="1" outlineLevel="1">
      <c r="B38" s="35" t="s">
        <v>19</v>
      </c>
      <c r="C38" s="32"/>
      <c r="D38" s="31"/>
      <c r="E38" s="31"/>
      <c r="F38" s="30"/>
      <c r="G38" s="30"/>
      <c r="H38" s="30"/>
      <c r="I38" s="30"/>
      <c r="J38" s="22"/>
      <c r="K38" s="22"/>
      <c r="L38" s="22"/>
      <c r="M38" s="22"/>
      <c r="N38" s="22"/>
    </row>
    <row r="39" spans="1:14" s="21" customFormat="1" ht="15" customHeight="1" outlineLevel="1">
      <c r="B39" s="33"/>
      <c r="C39" s="32"/>
      <c r="D39" s="31"/>
      <c r="E39" s="31"/>
      <c r="F39" s="30"/>
      <c r="G39" s="30"/>
      <c r="H39" s="30"/>
      <c r="I39" s="30"/>
      <c r="J39" s="22"/>
      <c r="K39" s="22"/>
      <c r="L39" s="22"/>
      <c r="M39" s="22"/>
      <c r="N39" s="22"/>
    </row>
    <row r="40" spans="1:14" s="21" customFormat="1" ht="15" customHeight="1" outlineLevel="1">
      <c r="B40" s="29"/>
      <c r="C40" s="28" t="s">
        <v>18</v>
      </c>
      <c r="D40" s="28" t="s">
        <v>17</v>
      </c>
      <c r="E40" s="28" t="s">
        <v>16</v>
      </c>
      <c r="F40" s="28" t="s">
        <v>15</v>
      </c>
      <c r="G40" s="24"/>
      <c r="H40" s="27"/>
      <c r="I40" s="27"/>
      <c r="J40" s="22"/>
      <c r="K40" s="22"/>
      <c r="L40" s="22"/>
      <c r="M40" s="22"/>
      <c r="N40" s="22"/>
    </row>
    <row r="41" spans="1:14" s="21" customFormat="1" ht="5.0999999999999996" customHeight="1" outlineLevel="1">
      <c r="B41" s="26"/>
      <c r="C41" s="316" t="s">
        <v>0</v>
      </c>
      <c r="D41" s="316" t="s">
        <v>0</v>
      </c>
      <c r="E41" s="316" t="s">
        <v>0</v>
      </c>
      <c r="F41" s="316" t="s">
        <v>0</v>
      </c>
      <c r="G41" s="24"/>
      <c r="H41" s="27"/>
      <c r="I41" s="27"/>
      <c r="J41" s="22"/>
      <c r="K41" s="22"/>
      <c r="L41" s="22"/>
      <c r="M41" s="22"/>
      <c r="N41" s="22"/>
    </row>
    <row r="42" spans="1:14" s="21" customFormat="1" ht="15" customHeight="1" outlineLevel="1">
      <c r="B42" s="26" t="s">
        <v>9</v>
      </c>
      <c r="C42" s="387"/>
      <c r="D42" s="387"/>
      <c r="E42" s="387"/>
      <c r="F42" s="387"/>
      <c r="G42" s="24"/>
      <c r="H42" s="23"/>
      <c r="I42" s="23"/>
      <c r="J42" s="22"/>
      <c r="K42" s="22"/>
      <c r="L42" s="22"/>
      <c r="M42" s="22"/>
      <c r="N42" s="22"/>
    </row>
    <row r="43" spans="1:14" s="21" customFormat="1" ht="15" customHeight="1" outlineLevel="1">
      <c r="B43" s="26" t="s">
        <v>8</v>
      </c>
      <c r="C43" s="387"/>
      <c r="D43" s="387"/>
      <c r="E43" s="387"/>
      <c r="F43" s="387"/>
      <c r="G43" s="24"/>
      <c r="H43" s="23"/>
      <c r="I43" s="23"/>
      <c r="J43" s="22"/>
      <c r="K43" s="22"/>
      <c r="L43" s="22"/>
      <c r="M43" s="22"/>
      <c r="N43" s="22"/>
    </row>
    <row r="44" spans="1:14" s="21" customFormat="1" ht="15" customHeight="1" outlineLevel="1">
      <c r="B44" s="26" t="s">
        <v>14</v>
      </c>
      <c r="C44" s="25">
        <v>13850</v>
      </c>
      <c r="D44" s="387"/>
      <c r="E44" s="25">
        <v>22848</v>
      </c>
      <c r="F44" s="387"/>
      <c r="G44" s="24"/>
      <c r="H44" s="23"/>
      <c r="I44" s="23"/>
      <c r="J44" s="22"/>
      <c r="K44" s="22"/>
      <c r="L44" s="22"/>
      <c r="M44" s="22"/>
      <c r="N44" s="22"/>
    </row>
    <row r="45" spans="1:14" ht="15" customHeight="1" outlineLevel="1">
      <c r="B45" s="20"/>
      <c r="C45" s="20"/>
      <c r="D45" s="20"/>
      <c r="E45" s="20"/>
      <c r="F45" s="20"/>
    </row>
    <row r="46" spans="1:14" ht="15" customHeight="1" outlineLevel="1">
      <c r="B46" s="547" t="str">
        <f>IF(SUM(C46:F46)=4,"COMPLETE","")</f>
        <v/>
      </c>
      <c r="C46" s="537">
        <f>'Summary-R'!C7</f>
        <v>0</v>
      </c>
      <c r="D46" s="537">
        <f>'Summary-R'!D7</f>
        <v>0</v>
      </c>
      <c r="E46" s="537">
        <f>'Summary-R'!E7</f>
        <v>0</v>
      </c>
      <c r="F46" s="537">
        <f>'Summary-R'!F7</f>
        <v>0</v>
      </c>
    </row>
    <row r="47" spans="1:14" ht="15" customHeight="1" outlineLevel="1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4" ht="15" customHeight="1">
      <c r="N48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orientation="landscape" r:id="rId1"/>
  <headerFooter>
    <oddFooter>&amp;L&amp;"Open Sans,Bold"&amp;10&amp;K002060Comparable Valuation Model&amp;C&amp;"Open Sans,Bold"&amp;10&amp;K002060Page &amp;P of &amp;N&amp;R&amp;G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5A75-B99E-471E-8866-96B73BE0D576}">
  <sheetPr>
    <tabColor theme="1"/>
  </sheetPr>
  <dimension ref="A1:N10"/>
  <sheetViews>
    <sheetView showGridLines="0" zoomScaleNormal="100" zoomScaleSheetLayoutView="105" workbookViewId="0">
      <pane ySplit="1" topLeftCell="A2" activePane="bottomLeft" state="frozen"/>
      <selection pane="bottomLeft"/>
    </sheetView>
  </sheetViews>
  <sheetFormatPr defaultColWidth="9.140625" defaultRowHeight="15"/>
  <cols>
    <col min="2" max="2" width="30.140625" customWidth="1"/>
  </cols>
  <sheetData>
    <row r="1" spans="1:14" s="51" customFormat="1" ht="50.1" customHeight="1">
      <c r="A1" s="57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57"/>
    </row>
    <row r="2" spans="1:14" s="51" customFormat="1" ht="15" customHeight="1">
      <c r="A2" s="341"/>
      <c r="B2" s="56"/>
      <c r="C2" s="56"/>
      <c r="D2" s="55"/>
      <c r="E2" s="55"/>
      <c r="F2" s="55"/>
      <c r="G2" s="55"/>
      <c r="H2" s="55"/>
      <c r="I2" s="55"/>
      <c r="J2" s="54"/>
      <c r="K2" s="53"/>
      <c r="L2" s="53"/>
      <c r="M2" s="53"/>
      <c r="N2" s="52"/>
    </row>
    <row r="3" spans="1:14" s="21" customFormat="1" ht="15" customHeight="1">
      <c r="A3" s="37" t="s">
        <v>0</v>
      </c>
      <c r="B3" s="242" t="s">
        <v>20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36"/>
    </row>
    <row r="4" spans="1:14" s="21" customFormat="1" ht="15" customHeight="1">
      <c r="B4" s="32"/>
      <c r="C4" s="32"/>
      <c r="D4" s="31"/>
      <c r="E4" s="31"/>
      <c r="F4" s="30"/>
      <c r="G4" s="30"/>
      <c r="H4" s="30"/>
      <c r="I4" s="30"/>
      <c r="J4" s="22"/>
      <c r="K4" s="22"/>
      <c r="L4" s="22"/>
      <c r="M4" s="22"/>
      <c r="N4" s="22"/>
    </row>
    <row r="5" spans="1:14" ht="15" customHeight="1">
      <c r="B5" s="388" t="s">
        <v>142</v>
      </c>
      <c r="C5" s="389">
        <f>SUM(Summary!C42:C43)</f>
        <v>0</v>
      </c>
      <c r="D5" s="389">
        <f>SUM(Summary!D42:D44)</f>
        <v>0</v>
      </c>
      <c r="E5" s="389">
        <f>SUM(Summary!E42:E43)</f>
        <v>0</v>
      </c>
      <c r="F5" s="390">
        <f>SUM(Summary!F42:F44)</f>
        <v>0</v>
      </c>
    </row>
    <row r="6" spans="1:14" ht="15" customHeight="1">
      <c r="B6" s="391" t="s">
        <v>143</v>
      </c>
      <c r="C6" s="392">
        <f>Trading!E32+Transactions!H33</f>
        <v>0</v>
      </c>
      <c r="D6" s="392">
        <f>SUM(Summary!E42:E44)-SUM(Summary!C42:C44)</f>
        <v>8998</v>
      </c>
      <c r="E6" s="392">
        <f>Trading!E31+Transactions!H32</f>
        <v>0</v>
      </c>
      <c r="F6" s="393">
        <f>SUM(Summary!C42:C44)+SUM(Summary!D42:D44)/2</f>
        <v>13850</v>
      </c>
    </row>
    <row r="7" spans="1:14" ht="15" customHeight="1">
      <c r="B7" s="394" t="s">
        <v>144</v>
      </c>
      <c r="C7" s="551">
        <f>IFERROR(IF(C5=0,0,IF(C5=C6,1,0)),0)</f>
        <v>0</v>
      </c>
      <c r="D7" s="551">
        <f>IFERROR(IF(D5=0,0,IF(D5=D6,1,0)),0)</f>
        <v>0</v>
      </c>
      <c r="E7" s="551">
        <f>IFERROR(IF(E5=0,0,IF(E5=E6,1,0)),0)</f>
        <v>0</v>
      </c>
      <c r="F7" s="541">
        <f>IFERROR(IF(F5=0,0,IF(F5=F6,1,0)),0)</f>
        <v>0</v>
      </c>
    </row>
    <row r="8" spans="1:14" ht="15" customHeight="1"/>
    <row r="9" spans="1:14" ht="15" customHeight="1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4" ht="15" customHeight="1">
      <c r="N10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orientation="landscape" r:id="rId1"/>
  <headerFooter>
    <oddFooter>&amp;L&amp;"Open Sans,Bold"&amp;10&amp;K002060Comparable Valuation Model&amp;C&amp;"Open Sans,Bold"&amp;10&amp;K002060Page &amp;P of &amp;N&amp;R&amp;G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0BE1-FAC5-48B0-B5FB-CC6AEB2D878C}">
  <sheetPr>
    <pageSetUpPr autoPageBreaks="0"/>
  </sheetPr>
  <dimension ref="A1:L39"/>
  <sheetViews>
    <sheetView showGridLines="0" zoomScaleNormal="100" zoomScaleSheetLayoutView="130" workbookViewId="0">
      <pane ySplit="1" topLeftCell="A2" activePane="bottomLeft" state="frozen"/>
      <selection pane="bottomLeft"/>
    </sheetView>
  </sheetViews>
  <sheetFormatPr defaultColWidth="11.7109375" defaultRowHeight="15" customHeight="1" outlineLevelRow="1"/>
  <cols>
    <col min="1" max="1" width="5.7109375" style="6" customWidth="1"/>
    <col min="2" max="2" width="29" style="6" customWidth="1"/>
    <col min="3" max="4" width="9.7109375" style="6" customWidth="1"/>
    <col min="5" max="5" width="11.85546875" style="6" customWidth="1"/>
    <col min="6" max="12" width="9.7109375" style="6" customWidth="1"/>
    <col min="13" max="16384" width="11.7109375" style="6"/>
  </cols>
  <sheetData>
    <row r="1" spans="1:12" s="37" customFormat="1" ht="50.1" customHeight="1"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57"/>
    </row>
    <row r="2" spans="1:12" s="37" customFormat="1" ht="15" customHeight="1"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2" s="37" customFormat="1" ht="15" customHeight="1">
      <c r="A3" s="37" t="s">
        <v>0</v>
      </c>
      <c r="B3" s="239" t="s">
        <v>9</v>
      </c>
      <c r="C3" s="240"/>
      <c r="D3" s="241"/>
      <c r="E3" s="241"/>
      <c r="F3" s="241"/>
      <c r="G3" s="241"/>
      <c r="H3" s="241"/>
      <c r="I3" s="241"/>
      <c r="J3" s="241"/>
      <c r="K3" s="241"/>
    </row>
    <row r="4" spans="1:12" s="37" customFormat="1" ht="15" customHeight="1" outlineLevel="1">
      <c r="B4" s="80"/>
      <c r="C4" s="80"/>
      <c r="D4" s="80"/>
      <c r="E4" s="80"/>
      <c r="F4" s="80"/>
      <c r="G4" s="80"/>
      <c r="H4" s="80"/>
      <c r="I4" s="80"/>
      <c r="J4" s="80"/>
      <c r="K4" s="80"/>
    </row>
    <row r="5" spans="1:12" ht="15" customHeight="1" outlineLevel="1">
      <c r="A5" s="37"/>
      <c r="B5" s="33" t="s">
        <v>19</v>
      </c>
      <c r="C5" s="33"/>
      <c r="D5" s="33"/>
      <c r="L5" s="37"/>
    </row>
    <row r="6" spans="1:12" s="75" customFormat="1" ht="15" customHeight="1" outlineLevel="1">
      <c r="A6" s="79"/>
      <c r="E6"/>
      <c r="F6" s="78"/>
      <c r="G6" s="77"/>
      <c r="H6" s="78"/>
      <c r="I6" s="76"/>
      <c r="J6" s="6"/>
      <c r="K6" s="6"/>
      <c r="L6" s="37"/>
    </row>
    <row r="7" spans="1:12" s="60" customFormat="1" ht="15" customHeight="1" outlineLevel="1">
      <c r="A7" s="74"/>
      <c r="B7" s="73" t="s">
        <v>0</v>
      </c>
      <c r="C7" s="137"/>
      <c r="D7" s="72" t="s">
        <v>74</v>
      </c>
      <c r="E7" s="72" t="s">
        <v>31</v>
      </c>
      <c r="F7" s="155"/>
      <c r="G7" s="210" t="s">
        <v>89</v>
      </c>
      <c r="H7" s="71"/>
      <c r="I7" s="152"/>
      <c r="J7" s="155"/>
      <c r="K7" s="158"/>
      <c r="L7" s="37"/>
    </row>
    <row r="8" spans="1:12" s="60" customFormat="1" ht="15" customHeight="1" outlineLevel="1">
      <c r="B8" s="159" t="s">
        <v>29</v>
      </c>
      <c r="C8" s="160" t="s">
        <v>84</v>
      </c>
      <c r="D8" s="72" t="s">
        <v>75</v>
      </c>
      <c r="E8" s="153" t="s">
        <v>85</v>
      </c>
      <c r="F8" s="201" t="s">
        <v>30</v>
      </c>
      <c r="G8" s="202" t="s">
        <v>30</v>
      </c>
      <c r="H8" s="71" t="s">
        <v>91</v>
      </c>
      <c r="I8" s="152"/>
      <c r="J8" s="201" t="s">
        <v>86</v>
      </c>
      <c r="K8" s="202" t="s">
        <v>87</v>
      </c>
      <c r="L8" s="37"/>
    </row>
    <row r="9" spans="1:12" s="60" customFormat="1" ht="5.0999999999999996" customHeight="1" outlineLevel="1">
      <c r="B9" s="313" t="s">
        <v>0</v>
      </c>
      <c r="C9" s="314" t="s">
        <v>0</v>
      </c>
      <c r="D9" s="315" t="s">
        <v>0</v>
      </c>
      <c r="E9" s="309" t="s">
        <v>0</v>
      </c>
      <c r="F9" s="321" t="s">
        <v>0</v>
      </c>
      <c r="G9" s="310" t="s">
        <v>0</v>
      </c>
      <c r="H9" s="322" t="s">
        <v>0</v>
      </c>
      <c r="I9" s="312" t="s">
        <v>0</v>
      </c>
      <c r="J9" s="321" t="s">
        <v>0</v>
      </c>
      <c r="K9" s="310" t="s">
        <v>0</v>
      </c>
      <c r="L9" s="37"/>
    </row>
    <row r="10" spans="1:12" s="161" customFormat="1" ht="15" customHeight="1" outlineLevel="1">
      <c r="D10" s="170" t="s">
        <v>28</v>
      </c>
      <c r="E10" s="370"/>
      <c r="F10" s="323" t="s">
        <v>88</v>
      </c>
      <c r="G10" s="214" t="s">
        <v>88</v>
      </c>
      <c r="H10" s="323" t="s">
        <v>92</v>
      </c>
      <c r="I10" s="214" t="s">
        <v>98</v>
      </c>
      <c r="J10" s="323" t="s">
        <v>88</v>
      </c>
      <c r="K10" s="214" t="s">
        <v>88</v>
      </c>
      <c r="L10" s="37"/>
    </row>
    <row r="11" spans="1:12" s="60" customFormat="1" ht="15" customHeight="1" outlineLevel="1">
      <c r="E11" s="279"/>
      <c r="F11" s="157"/>
      <c r="G11" s="156"/>
      <c r="H11" s="157"/>
      <c r="I11" s="156"/>
      <c r="J11" s="180"/>
      <c r="K11" s="181"/>
      <c r="L11" s="37"/>
    </row>
    <row r="12" spans="1:12" s="59" customFormat="1" ht="15" customHeight="1" outlineLevel="1">
      <c r="B12" s="65" t="str">
        <f>HVM!F10</f>
        <v>Harvest Market</v>
      </c>
      <c r="C12" s="138" t="s">
        <v>112</v>
      </c>
      <c r="D12" s="380"/>
      <c r="E12" s="381"/>
      <c r="F12" s="382"/>
      <c r="G12" s="383"/>
      <c r="H12" s="384"/>
      <c r="I12" s="385"/>
      <c r="J12" s="386"/>
      <c r="K12" s="383"/>
      <c r="L12" s="37"/>
    </row>
    <row r="13" spans="1:12" s="59" customFormat="1" ht="15" customHeight="1" outlineLevel="1">
      <c r="B13" s="65" t="s">
        <v>113</v>
      </c>
      <c r="C13" s="138" t="s">
        <v>116</v>
      </c>
      <c r="D13" s="70">
        <v>16.739999999999998</v>
      </c>
      <c r="E13" s="107">
        <v>18960</v>
      </c>
      <c r="F13" s="206">
        <v>3874</v>
      </c>
      <c r="G13" s="383"/>
      <c r="H13" s="208">
        <v>0.08</v>
      </c>
      <c r="I13" s="209">
        <v>7.0000000000000007E-2</v>
      </c>
      <c r="J13" s="218">
        <v>1.87</v>
      </c>
      <c r="K13" s="383"/>
      <c r="L13" s="37"/>
    </row>
    <row r="14" spans="1:12" s="59" customFormat="1" ht="15" customHeight="1" outlineLevel="1">
      <c r="B14" s="65" t="s">
        <v>120</v>
      </c>
      <c r="C14" s="138" t="s">
        <v>117</v>
      </c>
      <c r="D14" s="70">
        <v>35.6</v>
      </c>
      <c r="E14" s="107">
        <v>33567</v>
      </c>
      <c r="F14" s="206">
        <v>5126</v>
      </c>
      <c r="G14" s="383"/>
      <c r="H14" s="208">
        <v>7.0000000000000007E-2</v>
      </c>
      <c r="I14" s="209">
        <v>0.06</v>
      </c>
      <c r="J14" s="218">
        <v>3.14</v>
      </c>
      <c r="K14" s="383"/>
      <c r="L14" s="37"/>
    </row>
    <row r="15" spans="1:12" s="59" customFormat="1" ht="15" customHeight="1" outlineLevel="1">
      <c r="B15" s="65" t="s">
        <v>115</v>
      </c>
      <c r="C15" s="138" t="s">
        <v>119</v>
      </c>
      <c r="D15" s="70">
        <v>31.43</v>
      </c>
      <c r="E15" s="107">
        <v>28972</v>
      </c>
      <c r="F15" s="206">
        <v>5238</v>
      </c>
      <c r="G15" s="383"/>
      <c r="H15" s="208">
        <v>7.0000000000000007E-2</v>
      </c>
      <c r="I15" s="209">
        <v>7.0000000000000007E-2</v>
      </c>
      <c r="J15" s="218">
        <v>2.87</v>
      </c>
      <c r="K15" s="383"/>
      <c r="L15" s="37"/>
    </row>
    <row r="16" spans="1:12" s="59" customFormat="1" ht="15" customHeight="1" outlineLevel="1">
      <c r="B16" s="65" t="s">
        <v>114</v>
      </c>
      <c r="C16" s="138" t="s">
        <v>118</v>
      </c>
      <c r="D16" s="70">
        <v>11.32</v>
      </c>
      <c r="E16" s="107">
        <v>5130</v>
      </c>
      <c r="F16" s="206">
        <v>1131</v>
      </c>
      <c r="G16" s="383"/>
      <c r="H16" s="208">
        <v>0.03</v>
      </c>
      <c r="I16" s="209">
        <v>0.02</v>
      </c>
      <c r="J16" s="218">
        <v>1.21</v>
      </c>
      <c r="K16" s="383"/>
      <c r="L16" s="37"/>
    </row>
    <row r="17" spans="1:12" s="59" customFormat="1" ht="15" customHeight="1" outlineLevel="1">
      <c r="B17" s="371"/>
      <c r="C17" s="372"/>
      <c r="D17" s="373"/>
      <c r="E17" s="374"/>
      <c r="F17" s="375"/>
      <c r="G17" s="376"/>
      <c r="H17" s="377"/>
      <c r="I17" s="378"/>
      <c r="J17" s="379"/>
      <c r="K17" s="376"/>
      <c r="L17" s="37"/>
    </row>
    <row r="18" spans="1:12" s="59" customFormat="1" ht="15" customHeight="1" outlineLevel="1">
      <c r="B18" s="547" t="str">
        <f>IF(SUM(C18:K18)=8,"COMPLETE","")</f>
        <v/>
      </c>
      <c r="C18" s="550"/>
      <c r="D18" s="537">
        <f>'Trading-R'!D21</f>
        <v>0</v>
      </c>
      <c r="E18" s="540">
        <f>'Trading-R'!E21</f>
        <v>0</v>
      </c>
      <c r="F18" s="537">
        <f>'Trading-R'!F21</f>
        <v>0</v>
      </c>
      <c r="G18" s="537">
        <f>'Trading-R'!G21</f>
        <v>0</v>
      </c>
      <c r="H18" s="537">
        <f>'Trading-R'!H21</f>
        <v>0</v>
      </c>
      <c r="I18" s="537">
        <f>'Trading-R'!I21</f>
        <v>0</v>
      </c>
      <c r="J18" s="537">
        <f>'Trading-R'!J21</f>
        <v>0</v>
      </c>
      <c r="K18" s="537">
        <f>'Trading-R'!K21</f>
        <v>0</v>
      </c>
      <c r="L18" s="37"/>
    </row>
    <row r="19" spans="1:12" s="59" customFormat="1" ht="15" customHeight="1">
      <c r="B19" s="65"/>
      <c r="C19" s="65"/>
      <c r="D19" s="65"/>
      <c r="E19" s="58"/>
      <c r="F19" s="58"/>
      <c r="G19" s="64"/>
      <c r="H19" s="58"/>
      <c r="I19" s="64"/>
      <c r="J19" s="6"/>
      <c r="K19" s="6"/>
      <c r="L19" s="37"/>
    </row>
    <row r="20" spans="1:12" s="37" customFormat="1" ht="15" customHeight="1">
      <c r="A20" s="37" t="s">
        <v>0</v>
      </c>
      <c r="B20" s="239" t="s">
        <v>93</v>
      </c>
      <c r="C20" s="240"/>
      <c r="D20" s="241"/>
      <c r="E20" s="241"/>
      <c r="F20" s="241"/>
      <c r="G20" s="241"/>
      <c r="H20" s="241"/>
      <c r="I20" s="241"/>
      <c r="J20" s="241"/>
      <c r="K20" s="241"/>
    </row>
    <row r="21" spans="1:12" s="37" customFormat="1" ht="15" customHeight="1" outlineLevel="1"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2" spans="1:12" ht="15" customHeight="1" outlineLevel="1">
      <c r="A22" s="37"/>
      <c r="B22" s="33" t="s">
        <v>19</v>
      </c>
      <c r="C22" s="33"/>
      <c r="D22" s="33"/>
      <c r="L22" s="37"/>
    </row>
    <row r="23" spans="1:12" s="75" customFormat="1" ht="15" customHeight="1" outlineLevel="1">
      <c r="A23" s="79"/>
      <c r="E23"/>
      <c r="F23" s="78"/>
      <c r="G23" s="77"/>
      <c r="H23" s="78"/>
      <c r="I23" s="76"/>
      <c r="J23" s="6"/>
      <c r="K23" s="6"/>
      <c r="L23" s="37"/>
    </row>
    <row r="24" spans="1:12" s="59" customFormat="1" ht="15" customHeight="1" outlineLevel="1">
      <c r="B24" s="65"/>
      <c r="C24" s="65"/>
      <c r="D24" s="65"/>
      <c r="E24" s="72" t="s">
        <v>31</v>
      </c>
      <c r="F24" s="155"/>
      <c r="G24" s="210" t="s">
        <v>89</v>
      </c>
      <c r="H24" s="71"/>
      <c r="I24" s="152"/>
      <c r="J24" s="100"/>
      <c r="K24" s="158"/>
      <c r="L24" s="37"/>
    </row>
    <row r="25" spans="1:12" s="59" customFormat="1" ht="15" customHeight="1" outlineLevel="1">
      <c r="B25" s="172" t="s">
        <v>137</v>
      </c>
      <c r="C25" s="172"/>
      <c r="D25" s="172"/>
      <c r="E25" s="153" t="s">
        <v>85</v>
      </c>
      <c r="F25" s="201" t="s">
        <v>30</v>
      </c>
      <c r="G25" s="202" t="s">
        <v>30</v>
      </c>
      <c r="H25" s="71" t="s">
        <v>91</v>
      </c>
      <c r="I25" s="152"/>
      <c r="J25" s="100"/>
      <c r="K25" s="100"/>
      <c r="L25" s="37"/>
    </row>
    <row r="26" spans="1:12" s="59" customFormat="1" ht="5.0999999999999996" customHeight="1" outlineLevel="1">
      <c r="B26" s="307" t="s">
        <v>0</v>
      </c>
      <c r="C26" s="308"/>
      <c r="D26" s="308"/>
      <c r="E26" s="309" t="s">
        <v>0</v>
      </c>
      <c r="F26" s="321" t="s">
        <v>0</v>
      </c>
      <c r="G26" s="310" t="s">
        <v>0</v>
      </c>
      <c r="H26" s="322" t="s">
        <v>0</v>
      </c>
      <c r="I26" s="311"/>
      <c r="J26" s="100"/>
      <c r="K26" s="100"/>
      <c r="L26" s="37"/>
    </row>
    <row r="27" spans="1:12" s="59" customFormat="1" ht="15" customHeight="1" outlineLevel="1">
      <c r="B27" s="172"/>
      <c r="C27" s="172"/>
      <c r="D27" s="172"/>
      <c r="E27" s="189"/>
      <c r="F27" s="323" t="s">
        <v>88</v>
      </c>
      <c r="G27" s="214" t="s">
        <v>88</v>
      </c>
      <c r="H27" s="323" t="s">
        <v>92</v>
      </c>
      <c r="I27" s="214" t="s">
        <v>98</v>
      </c>
      <c r="J27" s="170"/>
      <c r="K27" s="170"/>
      <c r="L27" s="37"/>
    </row>
    <row r="28" spans="1:12" s="59" customFormat="1" ht="15" customHeight="1" outlineLevel="1">
      <c r="B28" s="172"/>
      <c r="C28" s="172"/>
      <c r="D28" s="172"/>
      <c r="E28" s="58"/>
      <c r="F28" s="206"/>
      <c r="G28" s="205"/>
      <c r="H28" s="157"/>
      <c r="I28" s="156"/>
      <c r="J28" s="156"/>
      <c r="K28" s="156"/>
      <c r="L28" s="37"/>
    </row>
    <row r="29" spans="1:12" s="59" customFormat="1" ht="15" customHeight="1" outlineLevel="1">
      <c r="B29" s="63" t="s">
        <v>26</v>
      </c>
      <c r="C29" s="63"/>
      <c r="D29" s="63"/>
      <c r="E29" s="395"/>
      <c r="F29" s="207">
        <v>3754</v>
      </c>
      <c r="G29" s="383"/>
      <c r="H29" s="208">
        <v>7.0000000000000007E-2</v>
      </c>
      <c r="I29" s="209">
        <v>0.06</v>
      </c>
      <c r="J29" s="70"/>
      <c r="K29" s="64"/>
      <c r="L29" s="37"/>
    </row>
    <row r="30" spans="1:12" s="59" customFormat="1" ht="15" customHeight="1" outlineLevel="1">
      <c r="B30" s="63" t="s">
        <v>25</v>
      </c>
      <c r="C30" s="63"/>
      <c r="D30" s="63"/>
      <c r="E30" s="395"/>
      <c r="F30" s="281">
        <f>F29</f>
        <v>3754</v>
      </c>
      <c r="G30" s="383"/>
      <c r="H30" s="282">
        <f>H29</f>
        <v>7.0000000000000007E-2</v>
      </c>
      <c r="I30" s="270">
        <f t="shared" ref="I30:I32" si="0">I29</f>
        <v>0.06</v>
      </c>
      <c r="J30" s="136"/>
      <c r="K30" s="64"/>
      <c r="L30" s="37"/>
    </row>
    <row r="31" spans="1:12" ht="15" customHeight="1" outlineLevel="1">
      <c r="B31" s="63" t="s">
        <v>24</v>
      </c>
      <c r="C31" s="63"/>
      <c r="D31" s="63"/>
      <c r="E31" s="395"/>
      <c r="F31" s="281">
        <f t="shared" ref="F31:F32" si="1">F30</f>
        <v>3754</v>
      </c>
      <c r="G31" s="396"/>
      <c r="H31" s="282">
        <f t="shared" ref="H31:H32" si="2">H30</f>
        <v>7.0000000000000007E-2</v>
      </c>
      <c r="I31" s="270">
        <f t="shared" si="0"/>
        <v>0.06</v>
      </c>
      <c r="J31" s="136"/>
      <c r="K31" s="61"/>
      <c r="L31" s="37"/>
    </row>
    <row r="32" spans="1:12" ht="15" customHeight="1" outlineLevel="1">
      <c r="B32" s="63" t="s">
        <v>23</v>
      </c>
      <c r="C32" s="63"/>
      <c r="D32" s="63"/>
      <c r="E32" s="395"/>
      <c r="F32" s="281">
        <f t="shared" si="1"/>
        <v>3754</v>
      </c>
      <c r="G32" s="396"/>
      <c r="H32" s="282">
        <f t="shared" si="2"/>
        <v>7.0000000000000007E-2</v>
      </c>
      <c r="I32" s="270">
        <f t="shared" si="0"/>
        <v>0.06</v>
      </c>
      <c r="J32" s="136"/>
      <c r="K32" s="61"/>
      <c r="L32" s="37"/>
    </row>
    <row r="33" spans="2:12" ht="15" customHeight="1" outlineLevel="1">
      <c r="B33" s="324"/>
      <c r="C33" s="324"/>
      <c r="D33" s="324"/>
      <c r="E33" s="325"/>
      <c r="F33" s="326"/>
      <c r="G33" s="326"/>
      <c r="H33" s="327"/>
      <c r="I33" s="326"/>
      <c r="J33" s="61"/>
      <c r="K33" s="76"/>
      <c r="L33" s="37"/>
    </row>
    <row r="34" spans="2:12" ht="15" customHeight="1" outlineLevel="1">
      <c r="B34" s="547" t="str">
        <f>IF(SUM(E34:G34)=2,"COMPLETE","")</f>
        <v/>
      </c>
      <c r="C34" s="549"/>
      <c r="D34" s="549"/>
      <c r="E34" s="540">
        <f>'Trading-R'!E44</f>
        <v>0</v>
      </c>
      <c r="F34" s="537"/>
      <c r="G34" s="537">
        <f>'Trading-R'!G44</f>
        <v>0</v>
      </c>
      <c r="H34" s="273"/>
      <c r="I34" s="273"/>
      <c r="J34" s="61"/>
      <c r="K34" s="76"/>
      <c r="L34" s="37"/>
    </row>
    <row r="35" spans="2:12" ht="15" customHeight="1" outlineLevel="1"/>
    <row r="36" spans="2:12" ht="15" customHeight="1" outlineLevel="1">
      <c r="I36" s="175" t="s">
        <v>94</v>
      </c>
    </row>
    <row r="37" spans="2:12" ht="15" customHeight="1" outlineLevel="1">
      <c r="I37" s="280" t="s">
        <v>136</v>
      </c>
    </row>
    <row r="38" spans="2:12" ht="15" customHeight="1" outlineLevel="1">
      <c r="B38" s="530"/>
      <c r="C38" s="530"/>
      <c r="D38" s="530"/>
      <c r="E38" s="530"/>
      <c r="F38" s="530"/>
      <c r="G38" s="530"/>
      <c r="H38" s="530"/>
      <c r="I38" s="530"/>
      <c r="J38" s="530"/>
      <c r="K38" s="530"/>
    </row>
    <row r="39" spans="2:12" ht="15" customHeight="1">
      <c r="L39" s="531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185A-9F82-4B0E-B14B-4DC604FB19E6}">
  <sheetPr>
    <tabColor theme="1"/>
    <pageSetUpPr autoPageBreaks="0"/>
  </sheetPr>
  <dimension ref="A1:M49"/>
  <sheetViews>
    <sheetView showGridLines="0" zoomScaleNormal="100" zoomScaleSheetLayoutView="130" workbookViewId="0">
      <pane ySplit="1" topLeftCell="A2" activePane="bottomLeft" state="frozen"/>
      <selection pane="bottomLeft"/>
    </sheetView>
  </sheetViews>
  <sheetFormatPr defaultColWidth="11.7109375" defaultRowHeight="15" customHeight="1"/>
  <cols>
    <col min="1" max="1" width="5.7109375" style="6" customWidth="1"/>
    <col min="2" max="2" width="26.42578125" style="6" bestFit="1" customWidth="1"/>
    <col min="3" max="4" width="9.7109375" style="6" customWidth="1"/>
    <col min="5" max="5" width="11.85546875" style="6" bestFit="1" customWidth="1"/>
    <col min="6" max="13" width="9.7109375" style="6" customWidth="1"/>
    <col min="14" max="16384" width="11.7109375" style="6"/>
  </cols>
  <sheetData>
    <row r="1" spans="1:13" s="37" customFormat="1" ht="50.1" customHeight="1"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115"/>
      <c r="M1" s="115"/>
    </row>
    <row r="2" spans="1:13" s="37" customFormat="1" ht="15" customHeight="1"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3" s="37" customFormat="1" ht="15" customHeight="1">
      <c r="A3" s="37" t="s">
        <v>0</v>
      </c>
      <c r="B3" s="239" t="s">
        <v>9</v>
      </c>
      <c r="C3" s="240"/>
      <c r="D3" s="241"/>
      <c r="E3" s="241"/>
      <c r="F3" s="241"/>
      <c r="G3" s="241"/>
      <c r="H3" s="241"/>
      <c r="I3" s="241"/>
      <c r="J3" s="241"/>
      <c r="K3" s="241"/>
    </row>
    <row r="4" spans="1:13" s="37" customFormat="1" ht="15" customHeight="1">
      <c r="B4" s="80"/>
      <c r="C4" s="80"/>
      <c r="D4" s="80"/>
      <c r="E4" s="80"/>
      <c r="F4" s="80"/>
      <c r="G4" s="80"/>
      <c r="H4" s="80"/>
      <c r="I4" s="80"/>
      <c r="J4" s="80"/>
      <c r="K4" s="80"/>
    </row>
    <row r="5" spans="1:13" ht="15" customHeight="1">
      <c r="A5" s="37"/>
      <c r="B5" s="33" t="s">
        <v>19</v>
      </c>
      <c r="C5" s="33"/>
      <c r="D5" s="33"/>
      <c r="L5" s="37"/>
      <c r="M5" s="37"/>
    </row>
    <row r="6" spans="1:13" s="75" customFormat="1" ht="15" customHeight="1">
      <c r="A6" s="79"/>
      <c r="E6"/>
      <c r="F6" s="78"/>
      <c r="G6" s="77"/>
      <c r="H6" s="78"/>
      <c r="I6" s="76"/>
      <c r="J6" s="6"/>
      <c r="K6" s="6"/>
      <c r="L6" s="37"/>
      <c r="M6" s="37"/>
    </row>
    <row r="7" spans="1:13" s="60" customFormat="1" ht="15" customHeight="1">
      <c r="A7" s="74"/>
      <c r="B7" s="73" t="s">
        <v>0</v>
      </c>
      <c r="C7" s="137"/>
      <c r="D7" s="72" t="s">
        <v>74</v>
      </c>
      <c r="E7" s="72" t="s">
        <v>31</v>
      </c>
      <c r="F7" s="155"/>
      <c r="G7" s="210" t="s">
        <v>89</v>
      </c>
      <c r="H7" s="71"/>
      <c r="I7" s="152"/>
      <c r="J7" s="155"/>
      <c r="K7" s="158"/>
      <c r="L7" s="37"/>
      <c r="M7" s="37"/>
    </row>
    <row r="8" spans="1:13" s="60" customFormat="1" ht="15" customHeight="1" thickBot="1">
      <c r="B8" s="159" t="s">
        <v>29</v>
      </c>
      <c r="C8" s="160" t="s">
        <v>84</v>
      </c>
      <c r="D8" s="72" t="s">
        <v>75</v>
      </c>
      <c r="E8" s="153" t="s">
        <v>85</v>
      </c>
      <c r="F8" s="201" t="s">
        <v>30</v>
      </c>
      <c r="G8" s="202" t="s">
        <v>30</v>
      </c>
      <c r="H8" s="71" t="s">
        <v>91</v>
      </c>
      <c r="I8" s="152"/>
      <c r="J8" s="201" t="s">
        <v>86</v>
      </c>
      <c r="K8" s="202" t="s">
        <v>87</v>
      </c>
      <c r="L8" s="37"/>
      <c r="M8" s="37"/>
    </row>
    <row r="9" spans="1:13" s="161" customFormat="1" ht="15" customHeight="1">
      <c r="B9" s="162"/>
      <c r="C9" s="162"/>
      <c r="D9" s="163" t="s">
        <v>28</v>
      </c>
      <c r="E9" s="278"/>
      <c r="F9" s="203" t="s">
        <v>88</v>
      </c>
      <c r="G9" s="204" t="s">
        <v>88</v>
      </c>
      <c r="H9" s="203" t="s">
        <v>92</v>
      </c>
      <c r="I9" s="204" t="s">
        <v>98</v>
      </c>
      <c r="J9" s="203" t="s">
        <v>88</v>
      </c>
      <c r="K9" s="204" t="s">
        <v>88</v>
      </c>
      <c r="L9" s="37"/>
      <c r="M9" s="37"/>
    </row>
    <row r="10" spans="1:13" s="60" customFormat="1" ht="15" customHeight="1">
      <c r="E10" s="279"/>
      <c r="F10" s="157"/>
      <c r="G10" s="156"/>
      <c r="H10" s="157"/>
      <c r="I10" s="156"/>
      <c r="J10" s="180"/>
      <c r="K10" s="181"/>
      <c r="L10" s="37"/>
      <c r="M10" s="37"/>
    </row>
    <row r="11" spans="1:13" s="59" customFormat="1" ht="15" customHeight="1">
      <c r="B11" s="65" t="str">
        <f>HVM!F10</f>
        <v>Harvest Market</v>
      </c>
      <c r="C11" s="138" t="s">
        <v>112</v>
      </c>
      <c r="D11" s="136">
        <f>HVM!L10</f>
        <v>24.9</v>
      </c>
      <c r="E11" s="69">
        <f>HVM!L25</f>
        <v>0</v>
      </c>
      <c r="F11" s="289">
        <f>HVM!K74</f>
        <v>0</v>
      </c>
      <c r="G11" s="205" t="e">
        <f>E11/F11</f>
        <v>#DIV/0!</v>
      </c>
      <c r="H11" s="282">
        <f>HVM!I96</f>
        <v>0</v>
      </c>
      <c r="I11" s="290">
        <f>HVM!J96</f>
        <v>0</v>
      </c>
      <c r="J11" s="291">
        <f>HVM!K63</f>
        <v>0</v>
      </c>
      <c r="K11" s="205" t="e">
        <f>D11/J11</f>
        <v>#DIV/0!</v>
      </c>
      <c r="L11" s="37"/>
      <c r="M11" s="244"/>
    </row>
    <row r="12" spans="1:13" s="59" customFormat="1" ht="15" customHeight="1">
      <c r="B12" s="65" t="s">
        <v>113</v>
      </c>
      <c r="C12" s="138" t="s">
        <v>116</v>
      </c>
      <c r="D12" s="70">
        <v>16.739999999999998</v>
      </c>
      <c r="E12" s="107">
        <v>18960</v>
      </c>
      <c r="F12" s="206">
        <v>3874</v>
      </c>
      <c r="G12" s="205">
        <f t="shared" ref="G12:G15" si="0">E12/F12</f>
        <v>4.8941662364481155</v>
      </c>
      <c r="H12" s="208">
        <v>0.08</v>
      </c>
      <c r="I12" s="209">
        <v>7.0000000000000007E-2</v>
      </c>
      <c r="J12" s="218">
        <v>1.87</v>
      </c>
      <c r="K12" s="205">
        <f t="shared" ref="K12:K14" si="1">IFERROR($D12/J12,"NA")</f>
        <v>8.9518716577540101</v>
      </c>
      <c r="L12" s="37"/>
      <c r="M12" s="37"/>
    </row>
    <row r="13" spans="1:13" s="59" customFormat="1" ht="15" customHeight="1">
      <c r="B13" s="65" t="s">
        <v>120</v>
      </c>
      <c r="C13" s="138" t="s">
        <v>117</v>
      </c>
      <c r="D13" s="70">
        <v>35.6</v>
      </c>
      <c r="E13" s="107">
        <v>33567</v>
      </c>
      <c r="F13" s="206">
        <v>5126</v>
      </c>
      <c r="G13" s="205">
        <f t="shared" si="0"/>
        <v>6.5483808037456104</v>
      </c>
      <c r="H13" s="208">
        <v>7.0000000000000007E-2</v>
      </c>
      <c r="I13" s="209">
        <v>0.06</v>
      </c>
      <c r="J13" s="218">
        <v>3.14</v>
      </c>
      <c r="K13" s="205">
        <f t="shared" si="1"/>
        <v>11.337579617834395</v>
      </c>
      <c r="L13" s="37"/>
      <c r="M13" s="37"/>
    </row>
    <row r="14" spans="1:13" s="59" customFormat="1" ht="15" customHeight="1">
      <c r="B14" s="65" t="s">
        <v>115</v>
      </c>
      <c r="C14" s="138" t="s">
        <v>119</v>
      </c>
      <c r="D14" s="70">
        <v>31.43</v>
      </c>
      <c r="E14" s="107">
        <v>28972</v>
      </c>
      <c r="F14" s="206">
        <v>5238</v>
      </c>
      <c r="G14" s="205">
        <f t="shared" si="0"/>
        <v>5.5311187476135926</v>
      </c>
      <c r="H14" s="208">
        <v>7.0000000000000007E-2</v>
      </c>
      <c r="I14" s="209">
        <v>7.0000000000000007E-2</v>
      </c>
      <c r="J14" s="218">
        <v>2.87</v>
      </c>
      <c r="K14" s="205">
        <f t="shared" si="1"/>
        <v>10.951219512195122</v>
      </c>
      <c r="L14" s="37"/>
      <c r="M14" s="37"/>
    </row>
    <row r="15" spans="1:13" s="59" customFormat="1" ht="15" customHeight="1">
      <c r="B15" s="65" t="s">
        <v>114</v>
      </c>
      <c r="C15" s="138" t="s">
        <v>118</v>
      </c>
      <c r="D15" s="70">
        <v>11.32</v>
      </c>
      <c r="E15" s="107">
        <v>5130</v>
      </c>
      <c r="F15" s="206">
        <v>1131</v>
      </c>
      <c r="G15" s="205">
        <f t="shared" si="0"/>
        <v>4.5358090185676394</v>
      </c>
      <c r="H15" s="208">
        <v>0.04</v>
      </c>
      <c r="I15" s="209">
        <v>0.03</v>
      </c>
      <c r="J15" s="218">
        <v>1.21</v>
      </c>
      <c r="K15" s="205">
        <f>IFERROR($D15/J15,"NA")</f>
        <v>9.3553719008264462</v>
      </c>
      <c r="L15" s="37"/>
      <c r="M15" s="37"/>
    </row>
    <row r="16" spans="1:13" s="59" customFormat="1" ht="15" customHeight="1">
      <c r="B16" s="68"/>
      <c r="C16" s="68"/>
      <c r="D16" s="68"/>
      <c r="E16" s="67"/>
      <c r="F16" s="67"/>
      <c r="G16" s="66"/>
      <c r="H16" s="67"/>
      <c r="I16" s="66"/>
      <c r="J16" s="171"/>
      <c r="K16" s="171"/>
      <c r="L16" s="37"/>
      <c r="M16" s="37"/>
    </row>
    <row r="17" spans="1:13" s="59" customFormat="1" ht="15" customHeight="1">
      <c r="L17" s="37"/>
      <c r="M17" s="37"/>
    </row>
    <row r="18" spans="1:13" s="59" customFormat="1" ht="15" customHeight="1">
      <c r="B18" s="276"/>
      <c r="C18" s="65"/>
      <c r="D18" s="273"/>
      <c r="E18" s="274"/>
      <c r="F18" s="273"/>
      <c r="G18" s="273"/>
      <c r="H18" s="273"/>
      <c r="I18" s="273"/>
      <c r="J18" s="273"/>
      <c r="K18" s="273"/>
      <c r="L18" s="37"/>
      <c r="M18" s="37"/>
    </row>
    <row r="19" spans="1:13" s="59" customFormat="1" ht="15" customHeight="1">
      <c r="B19" s="397" t="str">
        <f>Trading!B12</f>
        <v>Harvest Market</v>
      </c>
      <c r="C19" s="398"/>
      <c r="D19" s="399">
        <f>Trading!D12</f>
        <v>0</v>
      </c>
      <c r="E19" s="400">
        <f>Trading!E12</f>
        <v>0</v>
      </c>
      <c r="F19" s="401">
        <f>Trading!F12</f>
        <v>0</v>
      </c>
      <c r="G19" s="402">
        <f>SUM(Trading!G12:G16)</f>
        <v>0</v>
      </c>
      <c r="H19" s="403">
        <f>Trading!H12</f>
        <v>0</v>
      </c>
      <c r="I19" s="404">
        <f>Trading!I12</f>
        <v>0</v>
      </c>
      <c r="J19" s="405">
        <f>Trading!J12</f>
        <v>0</v>
      </c>
      <c r="K19" s="402">
        <f>SUM(Trading!K12:K16)</f>
        <v>0</v>
      </c>
      <c r="L19" s="406" t="s">
        <v>142</v>
      </c>
      <c r="M19" s="37"/>
    </row>
    <row r="20" spans="1:13" s="59" customFormat="1" ht="15" customHeight="1">
      <c r="B20" s="407" t="str">
        <f>B11</f>
        <v>Harvest Market</v>
      </c>
      <c r="C20" s="408"/>
      <c r="D20" s="380">
        <f>D11</f>
        <v>24.9</v>
      </c>
      <c r="E20" s="381">
        <f t="shared" ref="E20:J20" si="2">E11</f>
        <v>0</v>
      </c>
      <c r="F20" s="409">
        <f t="shared" si="2"/>
        <v>0</v>
      </c>
      <c r="G20" s="383" t="e">
        <f>SUM(G11:G15)</f>
        <v>#DIV/0!</v>
      </c>
      <c r="H20" s="410">
        <f t="shared" si="2"/>
        <v>0</v>
      </c>
      <c r="I20" s="385">
        <f t="shared" si="2"/>
        <v>0</v>
      </c>
      <c r="J20" s="411">
        <f t="shared" si="2"/>
        <v>0</v>
      </c>
      <c r="K20" s="383" t="e">
        <f>SUM(K11:K15)</f>
        <v>#DIV/0!</v>
      </c>
      <c r="L20" s="412" t="s">
        <v>143</v>
      </c>
      <c r="M20" s="37"/>
    </row>
    <row r="21" spans="1:13" s="59" customFormat="1" ht="15" customHeight="1">
      <c r="B21" s="413"/>
      <c r="C21" s="414"/>
      <c r="D21" s="551">
        <f>IFERROR(IF(D19=0,0,IF(D19=D20,1,0)),0)</f>
        <v>0</v>
      </c>
      <c r="E21" s="552">
        <f t="shared" ref="E21:K21" si="3">IFERROR(IF(E19=0,0,IF(E19=E20,1,0)),0)</f>
        <v>0</v>
      </c>
      <c r="F21" s="551">
        <f t="shared" si="3"/>
        <v>0</v>
      </c>
      <c r="G21" s="551">
        <f t="shared" si="3"/>
        <v>0</v>
      </c>
      <c r="H21" s="551">
        <f t="shared" si="3"/>
        <v>0</v>
      </c>
      <c r="I21" s="551">
        <f t="shared" si="3"/>
        <v>0</v>
      </c>
      <c r="J21" s="551">
        <f t="shared" si="3"/>
        <v>0</v>
      </c>
      <c r="K21" s="551">
        <f t="shared" si="3"/>
        <v>0</v>
      </c>
      <c r="L21" s="415" t="s">
        <v>144</v>
      </c>
      <c r="M21" s="37"/>
    </row>
    <row r="22" spans="1:13" s="59" customFormat="1" ht="15" customHeight="1">
      <c r="B22" s="276"/>
      <c r="C22" s="65"/>
      <c r="D22" s="273"/>
      <c r="E22" s="274"/>
      <c r="F22" s="273"/>
      <c r="G22" s="273"/>
      <c r="H22" s="273"/>
      <c r="I22" s="273"/>
      <c r="J22" s="273"/>
      <c r="K22" s="273"/>
      <c r="L22" s="37"/>
      <c r="M22" s="37"/>
    </row>
    <row r="23" spans="1:13" s="59" customFormat="1" ht="15" customHeight="1">
      <c r="B23" s="276"/>
      <c r="C23" s="65"/>
      <c r="D23" s="273"/>
      <c r="E23" s="274"/>
      <c r="F23" s="273"/>
      <c r="G23" s="273"/>
      <c r="H23" s="273"/>
      <c r="I23" s="273"/>
      <c r="J23" s="273"/>
      <c r="K23" s="273"/>
      <c r="L23" s="37"/>
      <c r="M23" s="37"/>
    </row>
    <row r="24" spans="1:13" s="59" customFormat="1" ht="15" customHeight="1">
      <c r="B24" s="276"/>
      <c r="C24" s="65"/>
      <c r="D24" s="273"/>
      <c r="E24" s="274"/>
      <c r="F24" s="273"/>
      <c r="G24" s="273"/>
      <c r="H24" s="273"/>
      <c r="I24" s="273"/>
      <c r="J24" s="273"/>
      <c r="K24" s="273"/>
      <c r="L24" s="37"/>
      <c r="M24" s="37"/>
    </row>
    <row r="25" spans="1:13" s="59" customFormat="1" ht="15" customHeight="1">
      <c r="B25" s="276"/>
      <c r="C25" s="65"/>
      <c r="D25" s="273"/>
      <c r="E25" s="274"/>
      <c r="F25" s="273"/>
      <c r="G25" s="273"/>
      <c r="H25" s="273"/>
      <c r="I25" s="273"/>
      <c r="J25" s="273"/>
      <c r="K25" s="273"/>
      <c r="L25" s="37"/>
      <c r="M25" s="37"/>
    </row>
    <row r="26" spans="1:13" s="59" customFormat="1" ht="15" customHeight="1">
      <c r="B26" s="65"/>
      <c r="C26" s="65"/>
      <c r="D26" s="65"/>
      <c r="E26" s="58"/>
      <c r="F26" s="58"/>
      <c r="G26" s="64"/>
      <c r="H26" s="58"/>
      <c r="I26" s="64"/>
      <c r="J26" s="6"/>
      <c r="K26" s="6"/>
      <c r="L26" s="37"/>
      <c r="M26" s="37"/>
    </row>
    <row r="27" spans="1:13" s="37" customFormat="1" ht="15" customHeight="1">
      <c r="A27" s="37" t="s">
        <v>0</v>
      </c>
      <c r="B27" s="239" t="s">
        <v>93</v>
      </c>
      <c r="C27" s="240"/>
      <c r="D27" s="241"/>
      <c r="E27" s="241"/>
      <c r="F27" s="241"/>
      <c r="G27" s="241"/>
      <c r="H27" s="241"/>
      <c r="I27" s="241"/>
      <c r="J27" s="241"/>
      <c r="K27" s="241"/>
    </row>
    <row r="28" spans="1:13" s="37" customFormat="1" ht="15" customHeight="1"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3" ht="15" customHeight="1">
      <c r="A29" s="37"/>
      <c r="B29" s="33" t="s">
        <v>19</v>
      </c>
      <c r="C29" s="33"/>
      <c r="D29" s="33"/>
      <c r="L29" s="37"/>
      <c r="M29" s="37"/>
    </row>
    <row r="30" spans="1:13" s="75" customFormat="1" ht="15" customHeight="1">
      <c r="A30" s="79"/>
      <c r="E30"/>
      <c r="F30" s="78"/>
      <c r="G30" s="77"/>
      <c r="H30" s="78"/>
      <c r="I30" s="76"/>
      <c r="J30" s="6"/>
      <c r="K30" s="6"/>
      <c r="L30" s="37"/>
      <c r="M30" s="37"/>
    </row>
    <row r="31" spans="1:13" s="59" customFormat="1" ht="15" customHeight="1">
      <c r="B31" s="65"/>
      <c r="C31" s="65"/>
      <c r="D31" s="65"/>
      <c r="E31" s="72" t="s">
        <v>31</v>
      </c>
      <c r="F31" s="155"/>
      <c r="G31" s="210" t="s">
        <v>89</v>
      </c>
      <c r="H31" s="71"/>
      <c r="I31" s="152"/>
      <c r="J31" s="100"/>
      <c r="K31" s="158"/>
      <c r="L31" s="37"/>
      <c r="M31" s="37"/>
    </row>
    <row r="32" spans="1:13" s="59" customFormat="1" ht="15" customHeight="1" thickBot="1">
      <c r="B32" s="172" t="s">
        <v>137</v>
      </c>
      <c r="C32" s="172"/>
      <c r="D32" s="172"/>
      <c r="E32" s="153" t="s">
        <v>85</v>
      </c>
      <c r="F32" s="201" t="s">
        <v>30</v>
      </c>
      <c r="G32" s="202" t="s">
        <v>30</v>
      </c>
      <c r="H32" s="71" t="s">
        <v>91</v>
      </c>
      <c r="I32" s="152"/>
      <c r="J32" s="100"/>
      <c r="K32" s="100"/>
      <c r="L32" s="37"/>
      <c r="M32" s="37"/>
    </row>
    <row r="33" spans="2:13" s="59" customFormat="1" ht="15" customHeight="1">
      <c r="B33" s="139"/>
      <c r="C33" s="139"/>
      <c r="D33" s="139"/>
      <c r="E33" s="164"/>
      <c r="F33" s="203" t="s">
        <v>88</v>
      </c>
      <c r="G33" s="204" t="s">
        <v>88</v>
      </c>
      <c r="H33" s="203" t="s">
        <v>92</v>
      </c>
      <c r="I33" s="204" t="s">
        <v>98</v>
      </c>
      <c r="J33" s="170"/>
      <c r="K33" s="170"/>
      <c r="L33" s="37"/>
      <c r="M33" s="37"/>
    </row>
    <row r="34" spans="2:13" s="59" customFormat="1" ht="15" customHeight="1">
      <c r="B34" s="172"/>
      <c r="C34" s="172"/>
      <c r="D34" s="172"/>
      <c r="E34" s="58"/>
      <c r="F34" s="206"/>
      <c r="G34" s="205"/>
      <c r="H34" s="157"/>
      <c r="I34" s="156"/>
      <c r="J34" s="156"/>
      <c r="K34" s="156"/>
      <c r="L34" s="37"/>
      <c r="M34" s="37"/>
    </row>
    <row r="35" spans="2:13" s="59" customFormat="1" ht="15" customHeight="1">
      <c r="B35" s="63" t="s">
        <v>26</v>
      </c>
      <c r="C35" s="63"/>
      <c r="D35" s="63"/>
      <c r="E35" s="62" t="e">
        <f>F35*G35</f>
        <v>#DIV/0!</v>
      </c>
      <c r="F35" s="207">
        <v>3754</v>
      </c>
      <c r="G35" s="205" t="e">
        <f>AVERAGE(G$11:G$14)</f>
        <v>#DIV/0!</v>
      </c>
      <c r="H35" s="208">
        <v>7.0000000000000007E-2</v>
      </c>
      <c r="I35" s="209">
        <v>0.06</v>
      </c>
      <c r="J35" s="70"/>
      <c r="K35" s="64"/>
      <c r="L35" s="37"/>
      <c r="M35" s="37"/>
    </row>
    <row r="36" spans="2:13" s="59" customFormat="1" ht="15" customHeight="1">
      <c r="B36" s="63" t="s">
        <v>25</v>
      </c>
      <c r="C36" s="63"/>
      <c r="D36" s="63"/>
      <c r="E36" s="62" t="e">
        <f>F36*G36</f>
        <v>#DIV/0!</v>
      </c>
      <c r="F36" s="281">
        <f>F$35</f>
        <v>3754</v>
      </c>
      <c r="G36" s="205" t="e">
        <f>MEDIAN(G$11:G$14)</f>
        <v>#DIV/0!</v>
      </c>
      <c r="H36" s="282">
        <f>H$35</f>
        <v>7.0000000000000007E-2</v>
      </c>
      <c r="I36" s="270">
        <f>I$35</f>
        <v>0.06</v>
      </c>
      <c r="J36" s="136"/>
      <c r="K36" s="64"/>
      <c r="L36" s="37"/>
      <c r="M36" s="37"/>
    </row>
    <row r="37" spans="2:13" ht="15" customHeight="1">
      <c r="B37" s="63" t="s">
        <v>24</v>
      </c>
      <c r="C37" s="63"/>
      <c r="D37" s="63"/>
      <c r="E37" s="62" t="e">
        <f>F37*G37</f>
        <v>#DIV/0!</v>
      </c>
      <c r="F37" s="281">
        <f t="shared" ref="F37:F38" si="4">F$35</f>
        <v>3754</v>
      </c>
      <c r="G37" s="283" t="e">
        <f>MAX(G$11:G$14)</f>
        <v>#DIV/0!</v>
      </c>
      <c r="H37" s="282">
        <f t="shared" ref="H37:I38" si="5">H$35</f>
        <v>7.0000000000000007E-2</v>
      </c>
      <c r="I37" s="270">
        <f t="shared" si="5"/>
        <v>0.06</v>
      </c>
      <c r="J37" s="136"/>
      <c r="K37" s="61"/>
      <c r="L37" s="37"/>
      <c r="M37" s="37"/>
    </row>
    <row r="38" spans="2:13" ht="15" customHeight="1">
      <c r="B38" s="174" t="s">
        <v>23</v>
      </c>
      <c r="C38" s="174"/>
      <c r="D38" s="174"/>
      <c r="E38" s="284" t="e">
        <f>F38*G38</f>
        <v>#DIV/0!</v>
      </c>
      <c r="F38" s="285">
        <f t="shared" si="4"/>
        <v>3754</v>
      </c>
      <c r="G38" s="286" t="e">
        <f>MIN(G$11:G$14)</f>
        <v>#DIV/0!</v>
      </c>
      <c r="H38" s="287">
        <f t="shared" si="5"/>
        <v>7.0000000000000007E-2</v>
      </c>
      <c r="I38" s="288">
        <f t="shared" si="5"/>
        <v>0.06</v>
      </c>
      <c r="J38" s="136"/>
      <c r="K38" s="61"/>
      <c r="L38" s="37"/>
      <c r="M38" s="37"/>
    </row>
    <row r="39" spans="2:13" ht="15" customHeight="1">
      <c r="B39" s="63"/>
      <c r="C39" s="63"/>
      <c r="D39" s="63"/>
      <c r="E39" s="62"/>
      <c r="F39" s="154"/>
      <c r="G39" s="154"/>
      <c r="H39" s="173"/>
      <c r="I39" s="154"/>
      <c r="J39" s="61"/>
      <c r="K39" s="76"/>
      <c r="L39" s="37"/>
      <c r="M39" s="37"/>
    </row>
    <row r="40" spans="2:13" ht="15" customHeight="1">
      <c r="B40" s="63"/>
      <c r="C40" s="63"/>
      <c r="D40" s="63"/>
      <c r="E40" s="62"/>
      <c r="F40" s="154"/>
      <c r="G40" s="154"/>
      <c r="H40" s="173"/>
      <c r="I40" s="154"/>
      <c r="J40" s="61"/>
      <c r="K40" s="76"/>
      <c r="L40" s="37"/>
      <c r="M40" s="37"/>
    </row>
    <row r="41" spans="2:13" ht="15" customHeight="1">
      <c r="B41" s="63"/>
      <c r="C41" s="63"/>
      <c r="D41" s="63"/>
      <c r="E41" s="62"/>
      <c r="F41" s="154"/>
      <c r="G41" s="154"/>
      <c r="H41" s="173"/>
      <c r="I41" s="154"/>
      <c r="J41" s="61"/>
      <c r="K41" s="76"/>
      <c r="L41" s="37"/>
      <c r="M41" s="37"/>
    </row>
    <row r="42" spans="2:13" ht="15" customHeight="1">
      <c r="B42" s="63"/>
      <c r="C42" s="63"/>
      <c r="D42" s="63"/>
      <c r="E42" s="416">
        <f>SUM(Trading!E29:E32)</f>
        <v>0</v>
      </c>
      <c r="F42" s="401"/>
      <c r="G42" s="402">
        <f>SUM(Trading!G29:G32)</f>
        <v>0</v>
      </c>
      <c r="H42" s="406" t="s">
        <v>142</v>
      </c>
      <c r="I42" s="154"/>
      <c r="K42" s="76"/>
      <c r="L42" s="37"/>
      <c r="M42" s="37"/>
    </row>
    <row r="43" spans="2:13" ht="15" customHeight="1">
      <c r="B43" s="63"/>
      <c r="C43" s="63"/>
      <c r="D43" s="63"/>
      <c r="E43" s="417">
        <f>SUMPRODUCT(Trading!F29:F32,Trading!G29:G32)</f>
        <v>0</v>
      </c>
      <c r="F43" s="409"/>
      <c r="G43" s="383" t="e">
        <f>AVERAGE(Trading!G12:G15)+MEDIAN(Trading!G12:G15)+MAX(Trading!G12:G15)+MIN(Trading!G12:G15)</f>
        <v>#DIV/0!</v>
      </c>
      <c r="H43" s="412" t="s">
        <v>143</v>
      </c>
      <c r="I43" s="154"/>
      <c r="K43" s="76"/>
      <c r="L43" s="37"/>
      <c r="M43" s="37"/>
    </row>
    <row r="44" spans="2:13" ht="15" customHeight="1">
      <c r="B44" s="63"/>
      <c r="C44" s="63"/>
      <c r="D44" s="63"/>
      <c r="E44" s="553">
        <f t="shared" ref="E44" si="6">IFERROR(IF(E42=0,0,IF(E42=E43,1,0)),0)</f>
        <v>0</v>
      </c>
      <c r="F44" s="551"/>
      <c r="G44" s="551">
        <f t="shared" ref="G44" si="7">IFERROR(IF(G42=0,0,IF(G42=G43,1,0)),0)</f>
        <v>0</v>
      </c>
      <c r="H44" s="415" t="s">
        <v>144</v>
      </c>
      <c r="I44" s="154"/>
      <c r="K44" s="76"/>
      <c r="L44" s="37"/>
      <c r="M44" s="37"/>
    </row>
    <row r="46" spans="2:13" ht="15" customHeight="1">
      <c r="I46" s="175" t="s">
        <v>94</v>
      </c>
    </row>
    <row r="47" spans="2:13" ht="15" customHeight="1">
      <c r="I47" s="280" t="s">
        <v>136</v>
      </c>
    </row>
    <row r="48" spans="2:13" ht="15" customHeight="1">
      <c r="B48" s="530"/>
      <c r="C48" s="530"/>
      <c r="D48" s="530"/>
      <c r="E48" s="530"/>
      <c r="F48" s="530"/>
      <c r="G48" s="530"/>
      <c r="H48" s="530"/>
      <c r="I48" s="530"/>
      <c r="J48" s="530"/>
      <c r="K48" s="530"/>
    </row>
    <row r="49" spans="13:13" ht="15" customHeight="1">
      <c r="M49" s="531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6BB6-1DEC-4524-A034-AA7F051C229F}">
  <sheetPr>
    <pageSetUpPr autoPageBreaks="0"/>
  </sheetPr>
  <dimension ref="A1:N107"/>
  <sheetViews>
    <sheetView showGridLines="0" zoomScaleNormal="100" zoomScaleSheetLayoutView="80" workbookViewId="0">
      <pane ySplit="1" topLeftCell="A2" activePane="bottomLeft" state="frozen"/>
      <selection pane="bottomLeft"/>
    </sheetView>
  </sheetViews>
  <sheetFormatPr defaultColWidth="11.7109375" defaultRowHeight="15" customHeight="1" outlineLevelRow="1"/>
  <cols>
    <col min="1" max="1" width="5.5703125" style="223" customWidth="1"/>
    <col min="2" max="12" width="13.7109375" style="223" customWidth="1"/>
    <col min="13" max="13" width="1.7109375" style="223" customWidth="1"/>
    <col min="14" max="16384" width="11.7109375" style="223"/>
  </cols>
  <sheetData>
    <row r="1" spans="1:14" ht="50.1" customHeight="1">
      <c r="A1" s="115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115"/>
    </row>
    <row r="3" spans="1:14" ht="15" customHeight="1">
      <c r="A3" s="223" t="s">
        <v>0</v>
      </c>
      <c r="B3" s="239" t="str">
        <f>CONCATENATE($F$10&amp;": Enterprise Value")</f>
        <v>Harvest Market: Enterprise Value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182"/>
    </row>
    <row r="4" spans="1:14" ht="15" customHeight="1" outlineLevel="1"/>
    <row r="5" spans="1:14" ht="15" customHeight="1" outlineLevel="1">
      <c r="B5" s="33" t="s">
        <v>19</v>
      </c>
      <c r="C5" s="33"/>
      <c r="D5" s="33"/>
      <c r="E5" s="33"/>
      <c r="F5" s="33"/>
      <c r="H5" s="33"/>
    </row>
    <row r="6" spans="1:14" ht="15" customHeight="1" outlineLevel="1"/>
    <row r="7" spans="1:14" ht="15" customHeight="1" outlineLevel="1"/>
    <row r="8" spans="1:14" ht="15" customHeight="1" outlineLevel="1">
      <c r="B8" s="148" t="s">
        <v>43</v>
      </c>
      <c r="C8" s="148"/>
      <c r="D8" s="148"/>
      <c r="E8" s="148"/>
      <c r="F8" s="236"/>
      <c r="H8" s="79" t="s">
        <v>44</v>
      </c>
      <c r="L8" s="535" t="str">
        <f>IF(K13=1,"COMPLETE","")</f>
        <v/>
      </c>
      <c r="N8"/>
    </row>
    <row r="9" spans="1:14" ht="15" customHeight="1" outlineLevel="1">
      <c r="H9" s="234"/>
      <c r="I9" s="234"/>
      <c r="J9" s="234"/>
      <c r="K9" s="234"/>
      <c r="L9" s="234"/>
      <c r="N9"/>
    </row>
    <row r="10" spans="1:14" ht="15" customHeight="1" outlineLevel="1">
      <c r="B10" s="225" t="s">
        <v>45</v>
      </c>
      <c r="C10" s="225"/>
      <c r="D10" s="225"/>
      <c r="E10" s="225"/>
      <c r="F10" s="116" t="s">
        <v>111</v>
      </c>
      <c r="H10" s="225" t="s">
        <v>32</v>
      </c>
      <c r="J10" s="117" t="s">
        <v>28</v>
      </c>
      <c r="L10" s="70">
        <v>24.9</v>
      </c>
      <c r="N10"/>
    </row>
    <row r="11" spans="1:14" ht="15" customHeight="1" outlineLevel="1">
      <c r="B11" s="225" t="s">
        <v>46</v>
      </c>
      <c r="C11" s="225"/>
      <c r="D11" s="225"/>
      <c r="E11" s="117" t="s">
        <v>33</v>
      </c>
      <c r="F11" s="121">
        <v>45484</v>
      </c>
      <c r="H11" s="225" t="s">
        <v>42</v>
      </c>
      <c r="J11" s="117" t="s">
        <v>27</v>
      </c>
      <c r="L11" s="217">
        <v>788.6</v>
      </c>
      <c r="N11"/>
    </row>
    <row r="12" spans="1:14" ht="5.0999999999999996" customHeight="1" outlineLevel="1">
      <c r="B12" s="225"/>
      <c r="C12" s="225"/>
      <c r="D12" s="225"/>
      <c r="E12" s="117"/>
      <c r="F12" s="121"/>
      <c r="H12" s="225"/>
      <c r="J12" s="117"/>
      <c r="L12" s="305" t="s">
        <v>0</v>
      </c>
      <c r="N12"/>
    </row>
    <row r="13" spans="1:14" ht="15" customHeight="1" outlineLevel="1">
      <c r="H13" s="225" t="s">
        <v>44</v>
      </c>
      <c r="J13" s="117" t="s">
        <v>47</v>
      </c>
      <c r="K13" s="540">
        <f>'HVM-R'!R12</f>
        <v>0</v>
      </c>
      <c r="L13" s="516"/>
      <c r="N13"/>
    </row>
    <row r="14" spans="1:14" ht="15" customHeight="1" outlineLevel="1">
      <c r="B14" s="225"/>
      <c r="C14" s="225"/>
      <c r="D14" s="225"/>
      <c r="E14" s="225"/>
      <c r="F14" s="118"/>
      <c r="H14" s="225"/>
      <c r="L14" s="304"/>
      <c r="N14"/>
    </row>
    <row r="15" spans="1:14" ht="15" customHeight="1" outlineLevel="1">
      <c r="B15" s="225"/>
      <c r="C15" s="225"/>
      <c r="D15" s="225"/>
      <c r="E15" s="225"/>
      <c r="F15" s="118"/>
      <c r="H15" s="225"/>
      <c r="L15" s="119"/>
      <c r="N15"/>
    </row>
    <row r="16" spans="1:14" ht="15" customHeight="1" outlineLevel="1">
      <c r="N16"/>
    </row>
    <row r="17" spans="1:14" ht="15" customHeight="1" outlineLevel="1">
      <c r="B17" s="148" t="s">
        <v>39</v>
      </c>
      <c r="C17" s="148"/>
      <c r="D17" s="148"/>
      <c r="E17" s="233"/>
      <c r="F17" s="535" t="str">
        <f>IF(SUM(E20:E25)=4,"COMPLETE","")</f>
        <v/>
      </c>
      <c r="H17" s="79" t="s">
        <v>21</v>
      </c>
      <c r="I17" s="79"/>
      <c r="L17" s="535" t="str">
        <f>IF(SUM(K19:K25)=6,"COMPLETE","")</f>
        <v/>
      </c>
      <c r="N17"/>
    </row>
    <row r="18" spans="1:14" ht="15" customHeight="1" outlineLevel="1">
      <c r="H18" s="234"/>
      <c r="I18" s="234"/>
      <c r="J18" s="234"/>
      <c r="K18" s="234"/>
      <c r="L18" s="234"/>
      <c r="N18"/>
    </row>
    <row r="19" spans="1:14" ht="15" customHeight="1" outlineLevel="1">
      <c r="H19" s="225" t="s">
        <v>44</v>
      </c>
      <c r="J19" s="117" t="s">
        <v>47</v>
      </c>
      <c r="K19" s="540">
        <f>'HVM-R'!W18</f>
        <v>0</v>
      </c>
      <c r="L19" s="518"/>
      <c r="N19"/>
    </row>
    <row r="20" spans="1:14" ht="15" customHeight="1" outlineLevel="1">
      <c r="B20" s="225"/>
      <c r="C20" s="225"/>
      <c r="D20" s="225"/>
      <c r="E20" s="274"/>
      <c r="F20" s="274"/>
      <c r="H20" s="225" t="s">
        <v>51</v>
      </c>
      <c r="I20" s="225"/>
      <c r="K20" s="540">
        <f>'HVM-R'!W19</f>
        <v>0</v>
      </c>
      <c r="L20" s="508"/>
      <c r="N20"/>
    </row>
    <row r="21" spans="1:14" ht="15" customHeight="1" outlineLevel="1">
      <c r="B21" s="225" t="s">
        <v>48</v>
      </c>
      <c r="C21" s="225"/>
      <c r="D21" s="225"/>
      <c r="E21" s="540">
        <f>'HVM-R'!R20</f>
        <v>0</v>
      </c>
      <c r="F21" s="508"/>
      <c r="H21" s="225" t="s">
        <v>49</v>
      </c>
      <c r="I21" s="225"/>
      <c r="K21" s="540">
        <f>'HVM-R'!W20</f>
        <v>0</v>
      </c>
      <c r="L21" s="516"/>
      <c r="N21"/>
    </row>
    <row r="22" spans="1:14" ht="15" customHeight="1" outlineLevel="1">
      <c r="B22" s="225" t="s">
        <v>50</v>
      </c>
      <c r="C22" s="225"/>
      <c r="D22" s="225"/>
      <c r="E22" s="540">
        <f>'HVM-R'!R21</f>
        <v>0</v>
      </c>
      <c r="F22" s="508"/>
      <c r="H22" s="225" t="s">
        <v>52</v>
      </c>
      <c r="I22" s="225"/>
      <c r="K22" s="540">
        <f>'HVM-R'!W21</f>
        <v>0</v>
      </c>
      <c r="L22" s="508"/>
      <c r="N22"/>
    </row>
    <row r="23" spans="1:14" ht="15" customHeight="1" outlineLevel="1">
      <c r="B23" s="225" t="s">
        <v>54</v>
      </c>
      <c r="C23" s="225"/>
      <c r="D23" s="225"/>
      <c r="E23" s="540">
        <f>'HVM-R'!R22</f>
        <v>0</v>
      </c>
      <c r="F23" s="508"/>
      <c r="H23" s="225" t="s">
        <v>53</v>
      </c>
      <c r="I23" s="225"/>
      <c r="K23" s="540">
        <f>'HVM-R'!W22</f>
        <v>0</v>
      </c>
      <c r="L23" s="508"/>
      <c r="N23"/>
    </row>
    <row r="24" spans="1:14" ht="5.0999999999999996" customHeight="1" outlineLevel="1">
      <c r="B24" s="225"/>
      <c r="C24" s="225"/>
      <c r="D24" s="225"/>
      <c r="E24" s="540"/>
      <c r="F24" s="509" t="s">
        <v>0</v>
      </c>
      <c r="H24" s="225"/>
      <c r="I24" s="225"/>
      <c r="K24" s="540"/>
      <c r="L24" s="509" t="s">
        <v>0</v>
      </c>
      <c r="N24"/>
    </row>
    <row r="25" spans="1:14" ht="15" customHeight="1" outlineLevel="1">
      <c r="B25" s="112" t="s">
        <v>39</v>
      </c>
      <c r="C25" s="112"/>
      <c r="D25" s="112"/>
      <c r="E25" s="540">
        <f>'HVM-R'!R23</f>
        <v>0</v>
      </c>
      <c r="F25" s="517"/>
      <c r="H25" s="108" t="s">
        <v>21</v>
      </c>
      <c r="I25" s="108"/>
      <c r="K25" s="540">
        <f>'HVM-R'!W23</f>
        <v>0</v>
      </c>
      <c r="L25" s="517"/>
      <c r="N25"/>
    </row>
    <row r="26" spans="1:14" ht="15" customHeight="1" outlineLevel="1">
      <c r="H26"/>
      <c r="I26"/>
      <c r="M26" s="120"/>
    </row>
    <row r="27" spans="1:14" ht="15" customHeight="1" outlineLevel="1"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9" spans="1:14" ht="15" customHeight="1">
      <c r="A29" s="223" t="s">
        <v>0</v>
      </c>
      <c r="B29" s="239" t="str">
        <f>CONCATENATE($F$10&amp;": Income Statement")</f>
        <v>Harvest Market: Income Statement</v>
      </c>
      <c r="C29" s="240"/>
      <c r="D29" s="241"/>
      <c r="E29" s="241"/>
      <c r="F29" s="241"/>
      <c r="G29" s="241"/>
      <c r="H29" s="241"/>
      <c r="I29" s="241"/>
      <c r="J29" s="241"/>
      <c r="K29" s="241"/>
      <c r="L29" s="241"/>
      <c r="M29" s="182"/>
    </row>
    <row r="30" spans="1:14" customFormat="1" ht="15" customHeight="1" outlineLevel="1"/>
    <row r="31" spans="1:14" customFormat="1" ht="15" customHeight="1" outlineLevel="1">
      <c r="B31" s="33" t="s">
        <v>19</v>
      </c>
      <c r="C31" s="33"/>
      <c r="D31" s="33"/>
      <c r="E31" s="33"/>
      <c r="G31" s="271"/>
    </row>
    <row r="32" spans="1:14" ht="15" customHeight="1" outlineLevel="1">
      <c r="H32" s="145" t="s">
        <v>55</v>
      </c>
      <c r="I32" s="131" t="s">
        <v>56</v>
      </c>
      <c r="J32" s="146" t="s">
        <v>57</v>
      </c>
      <c r="K32" s="178"/>
    </row>
    <row r="33" spans="2:14" ht="15" customHeight="1" outlineLevel="1">
      <c r="G33" s="122"/>
      <c r="H33" s="142" t="s">
        <v>58</v>
      </c>
      <c r="I33" s="140" t="s">
        <v>59</v>
      </c>
      <c r="J33" s="140" t="s">
        <v>59</v>
      </c>
      <c r="K33" s="179" t="s">
        <v>60</v>
      </c>
      <c r="N33"/>
    </row>
    <row r="34" spans="2:14" ht="15" customHeight="1" outlineLevel="1" thickBot="1">
      <c r="B34" s="148" t="s">
        <v>38</v>
      </c>
      <c r="C34" s="148"/>
      <c r="D34" s="535" t="str">
        <f>IF(SUM(L34:L63)=16,"COMPLETE","")</f>
        <v/>
      </c>
      <c r="E34" s="79"/>
      <c r="H34" s="422"/>
      <c r="I34" s="264">
        <v>45473</v>
      </c>
      <c r="J34" s="141">
        <f>IFERROR(EDATE(I34,-12),"")</f>
        <v>45107</v>
      </c>
      <c r="K34" s="421"/>
      <c r="L34" s="537">
        <f>'HVM-R'!R33</f>
        <v>0</v>
      </c>
    </row>
    <row r="35" spans="2:14" ht="15" customHeight="1" outlineLevel="1">
      <c r="B35" s="79"/>
      <c r="C35" s="79"/>
      <c r="D35" s="79"/>
      <c r="E35" s="79"/>
      <c r="H35" s="143"/>
      <c r="I35" s="143"/>
      <c r="J35" s="143"/>
      <c r="K35" s="121"/>
      <c r="L35" s="539"/>
    </row>
    <row r="36" spans="2:14" ht="15" customHeight="1" outlineLevel="1">
      <c r="B36" s="79"/>
      <c r="C36" s="79"/>
      <c r="D36" s="79"/>
      <c r="E36" s="79"/>
      <c r="H36" s="121"/>
      <c r="I36" s="121"/>
      <c r="J36" s="121"/>
      <c r="K36" s="121"/>
      <c r="L36" s="539"/>
    </row>
    <row r="37" spans="2:14" ht="15" customHeight="1" outlineLevel="1">
      <c r="B37" s="225" t="s">
        <v>40</v>
      </c>
      <c r="C37" s="225"/>
      <c r="D37" s="225"/>
      <c r="E37" s="225"/>
      <c r="H37" s="508"/>
      <c r="I37" s="508"/>
      <c r="J37" s="508"/>
      <c r="K37" s="381"/>
      <c r="L37" s="537">
        <f>'HVM-R'!R36</f>
        <v>0</v>
      </c>
      <c r="M37"/>
      <c r="N37"/>
    </row>
    <row r="38" spans="2:14" ht="15" customHeight="1" outlineLevel="1">
      <c r="B38" s="225" t="s">
        <v>61</v>
      </c>
      <c r="C38" s="225"/>
      <c r="D38" s="225"/>
      <c r="E38" s="225"/>
      <c r="H38" s="508"/>
      <c r="I38" s="508"/>
      <c r="J38" s="508"/>
      <c r="K38" s="381"/>
      <c r="L38" s="537">
        <f>'HVM-R'!R37</f>
        <v>0</v>
      </c>
      <c r="M38"/>
      <c r="N38"/>
    </row>
    <row r="39" spans="2:14" ht="5.0999999999999996" customHeight="1" outlineLevel="1">
      <c r="B39" s="225"/>
      <c r="C39" s="225"/>
      <c r="D39" s="225"/>
      <c r="E39" s="225"/>
      <c r="H39" s="509" t="s">
        <v>0</v>
      </c>
      <c r="I39" s="509" t="s">
        <v>0</v>
      </c>
      <c r="J39" s="509" t="s">
        <v>0</v>
      </c>
      <c r="K39" s="510" t="s">
        <v>0</v>
      </c>
      <c r="L39" s="537"/>
      <c r="M39"/>
      <c r="N39"/>
    </row>
    <row r="40" spans="2:14" ht="15" customHeight="1" outlineLevel="1">
      <c r="B40" s="225" t="s">
        <v>41</v>
      </c>
      <c r="C40" s="225"/>
      <c r="D40" s="225"/>
      <c r="E40" s="225"/>
      <c r="H40" s="511">
        <f>SUM(H37:H38)</f>
        <v>0</v>
      </c>
      <c r="I40" s="511">
        <f>SUM(I37:I38)</f>
        <v>0</v>
      </c>
      <c r="J40" s="511">
        <f>SUM(J37:J38)</f>
        <v>0</v>
      </c>
      <c r="K40" s="381"/>
      <c r="L40" s="537">
        <f>'HVM-R'!R38</f>
        <v>0</v>
      </c>
      <c r="M40"/>
      <c r="N40"/>
    </row>
    <row r="41" spans="2:14" ht="15" customHeight="1" outlineLevel="1">
      <c r="B41" s="225"/>
      <c r="C41" s="225"/>
      <c r="D41" s="225"/>
      <c r="E41" s="225"/>
      <c r="H41" s="511"/>
      <c r="I41" s="511"/>
      <c r="J41" s="511"/>
      <c r="K41" s="511"/>
      <c r="L41" s="539"/>
      <c r="M41"/>
      <c r="N41"/>
    </row>
    <row r="42" spans="2:14" ht="15" customHeight="1" outlineLevel="1">
      <c r="B42" s="225" t="s">
        <v>62</v>
      </c>
      <c r="C42" s="225"/>
      <c r="D42" s="225"/>
      <c r="E42" s="225"/>
      <c r="H42" s="508"/>
      <c r="I42" s="508"/>
      <c r="J42" s="508"/>
      <c r="K42" s="381"/>
      <c r="L42" s="537">
        <f>'HVM-R'!R40</f>
        <v>0</v>
      </c>
      <c r="M42"/>
      <c r="N42"/>
    </row>
    <row r="43" spans="2:14" ht="5.0999999999999996" customHeight="1" outlineLevel="1">
      <c r="B43" s="225"/>
      <c r="C43" s="225"/>
      <c r="D43" s="225"/>
      <c r="E43" s="225"/>
      <c r="H43" s="509" t="s">
        <v>0</v>
      </c>
      <c r="I43" s="509" t="s">
        <v>0</v>
      </c>
      <c r="J43" s="509" t="s">
        <v>0</v>
      </c>
      <c r="K43" s="510" t="s">
        <v>0</v>
      </c>
      <c r="L43" s="537"/>
      <c r="M43"/>
      <c r="N43"/>
    </row>
    <row r="44" spans="2:14" ht="15" customHeight="1" outlineLevel="1">
      <c r="B44" s="225" t="s">
        <v>63</v>
      </c>
      <c r="C44" s="225"/>
      <c r="D44" s="225"/>
      <c r="E44" s="225"/>
      <c r="H44" s="511">
        <f>H40+H42</f>
        <v>0</v>
      </c>
      <c r="I44" s="511">
        <f>I40+I42</f>
        <v>0</v>
      </c>
      <c r="J44" s="511">
        <f>J40+J42</f>
        <v>0</v>
      </c>
      <c r="K44" s="381"/>
      <c r="L44" s="537">
        <f>'HVM-R'!R41</f>
        <v>0</v>
      </c>
      <c r="M44"/>
      <c r="N44"/>
    </row>
    <row r="45" spans="2:14" ht="15" customHeight="1" outlineLevel="1">
      <c r="B45" s="112"/>
      <c r="C45" s="112"/>
      <c r="D45" s="112"/>
      <c r="E45" s="112"/>
      <c r="H45" s="512"/>
      <c r="I45" s="512"/>
      <c r="J45" s="512"/>
      <c r="K45" s="512"/>
      <c r="L45" s="538"/>
      <c r="M45"/>
      <c r="N45"/>
    </row>
    <row r="46" spans="2:14" ht="15" customHeight="1" outlineLevel="1">
      <c r="B46" s="225" t="s">
        <v>135</v>
      </c>
      <c r="C46" s="225"/>
      <c r="D46" s="225"/>
      <c r="E46" s="225"/>
      <c r="H46" s="508"/>
      <c r="I46" s="508"/>
      <c r="J46" s="508"/>
      <c r="K46" s="381"/>
      <c r="L46" s="537">
        <f>'HVM-R'!R43</f>
        <v>0</v>
      </c>
      <c r="M46"/>
      <c r="N46"/>
    </row>
    <row r="47" spans="2:14" ht="15" customHeight="1" outlineLevel="1">
      <c r="B47" s="225" t="s">
        <v>134</v>
      </c>
      <c r="C47" s="225"/>
      <c r="D47" s="225"/>
      <c r="E47" s="225"/>
      <c r="H47" s="508"/>
      <c r="I47" s="508"/>
      <c r="J47" s="508"/>
      <c r="K47" s="381"/>
      <c r="L47" s="537">
        <f>'HVM-R'!R44</f>
        <v>0</v>
      </c>
      <c r="M47"/>
      <c r="N47"/>
    </row>
    <row r="48" spans="2:14" ht="15" customHeight="1" outlineLevel="1">
      <c r="B48" s="225" t="s">
        <v>64</v>
      </c>
      <c r="C48" s="225"/>
      <c r="D48" s="225"/>
      <c r="E48" s="225"/>
      <c r="H48" s="508"/>
      <c r="I48" s="508"/>
      <c r="J48" s="508"/>
      <c r="K48" s="381"/>
      <c r="L48" s="537">
        <f>'HVM-R'!R45</f>
        <v>0</v>
      </c>
      <c r="M48"/>
      <c r="N48"/>
    </row>
    <row r="49" spans="2:14" ht="5.0999999999999996" customHeight="1" outlineLevel="1">
      <c r="B49" s="225"/>
      <c r="C49" s="225"/>
      <c r="D49" s="225"/>
      <c r="E49" s="225"/>
      <c r="H49" s="509" t="s">
        <v>0</v>
      </c>
      <c r="I49" s="509" t="s">
        <v>0</v>
      </c>
      <c r="J49" s="509" t="s">
        <v>0</v>
      </c>
      <c r="K49" s="510" t="s">
        <v>0</v>
      </c>
      <c r="L49" s="537"/>
      <c r="M49"/>
      <c r="N49"/>
    </row>
    <row r="50" spans="2:14" ht="15" customHeight="1" outlineLevel="1">
      <c r="B50" s="225" t="s">
        <v>65</v>
      </c>
      <c r="C50" s="225"/>
      <c r="D50" s="225"/>
      <c r="E50" s="225"/>
      <c r="H50" s="511">
        <f>SUM(H44:H48)</f>
        <v>0</v>
      </c>
      <c r="I50" s="511">
        <f>SUM(I44:I48)</f>
        <v>0</v>
      </c>
      <c r="J50" s="511">
        <f>SUM(J44:J48)</f>
        <v>0</v>
      </c>
      <c r="K50" s="381"/>
      <c r="L50" s="537">
        <f>'HVM-R'!R46</f>
        <v>0</v>
      </c>
      <c r="M50"/>
    </row>
    <row r="51" spans="2:14" ht="15" customHeight="1" outlineLevel="1">
      <c r="B51" s="225"/>
      <c r="C51" s="225"/>
      <c r="D51" s="225"/>
      <c r="E51" s="225"/>
      <c r="H51" s="511"/>
      <c r="I51" s="511"/>
      <c r="J51" s="511"/>
      <c r="K51" s="511"/>
      <c r="L51" s="539"/>
      <c r="M51"/>
    </row>
    <row r="52" spans="2:14" ht="15" customHeight="1" outlineLevel="1">
      <c r="B52" s="225" t="s">
        <v>66</v>
      </c>
      <c r="C52" s="225"/>
      <c r="D52" s="225"/>
      <c r="E52" s="225"/>
      <c r="H52" s="508"/>
      <c r="I52" s="508"/>
      <c r="J52" s="508"/>
      <c r="K52" s="381"/>
      <c r="L52" s="537">
        <f>'HVM-R'!R48</f>
        <v>0</v>
      </c>
      <c r="M52"/>
      <c r="N52"/>
    </row>
    <row r="53" spans="2:14" ht="5.0999999999999996" customHeight="1" outlineLevel="1">
      <c r="B53" s="225"/>
      <c r="C53" s="225"/>
      <c r="D53" s="225"/>
      <c r="E53" s="225"/>
      <c r="H53" s="509" t="s">
        <v>0</v>
      </c>
      <c r="I53" s="509" t="s">
        <v>0</v>
      </c>
      <c r="J53" s="509" t="s">
        <v>0</v>
      </c>
      <c r="K53" s="510" t="s">
        <v>0</v>
      </c>
      <c r="L53" s="537"/>
      <c r="M53"/>
      <c r="N53"/>
    </row>
    <row r="54" spans="2:14" ht="15" customHeight="1" outlineLevel="1">
      <c r="B54" s="225" t="s">
        <v>67</v>
      </c>
      <c r="C54" s="225"/>
      <c r="D54" s="225"/>
      <c r="E54" s="225"/>
      <c r="H54" s="511">
        <f>H50+H52</f>
        <v>0</v>
      </c>
      <c r="I54" s="511">
        <f>I50+I52</f>
        <v>0</v>
      </c>
      <c r="J54" s="511">
        <f>J50+J52</f>
        <v>0</v>
      </c>
      <c r="K54" s="381"/>
      <c r="L54" s="537">
        <f>'HVM-R'!R49</f>
        <v>0</v>
      </c>
      <c r="M54"/>
    </row>
    <row r="55" spans="2:14" ht="15" customHeight="1" outlineLevel="1">
      <c r="B55" s="225"/>
      <c r="C55" s="225"/>
      <c r="D55" s="225"/>
      <c r="E55" s="225"/>
      <c r="H55" s="511"/>
      <c r="I55" s="511"/>
      <c r="J55" s="511"/>
      <c r="K55" s="511"/>
      <c r="L55" s="539"/>
      <c r="M55"/>
    </row>
    <row r="56" spans="2:14" ht="15" customHeight="1" outlineLevel="1">
      <c r="B56" s="225" t="s">
        <v>68</v>
      </c>
      <c r="C56" s="225"/>
      <c r="D56" s="225"/>
      <c r="E56" s="225"/>
      <c r="H56" s="508"/>
      <c r="I56" s="508"/>
      <c r="J56" s="508"/>
      <c r="K56" s="381"/>
      <c r="L56" s="537">
        <f>'HVM-R'!R51</f>
        <v>0</v>
      </c>
      <c r="M56"/>
    </row>
    <row r="57" spans="2:14" ht="5.0999999999999996" customHeight="1" outlineLevel="1">
      <c r="B57" s="225"/>
      <c r="C57" s="225"/>
      <c r="D57" s="225"/>
      <c r="E57" s="225"/>
      <c r="H57" s="513"/>
      <c r="I57" s="513"/>
      <c r="J57" s="513"/>
      <c r="K57" s="69"/>
      <c r="L57" s="537"/>
      <c r="M57"/>
    </row>
    <row r="58" spans="2:14" ht="15" customHeight="1" outlineLevel="1" thickBot="1">
      <c r="B58" s="112" t="s">
        <v>69</v>
      </c>
      <c r="C58" s="112"/>
      <c r="D58" s="112"/>
      <c r="E58" s="112"/>
      <c r="H58" s="514">
        <f>H54+H56</f>
        <v>0</v>
      </c>
      <c r="I58" s="514">
        <f>I54+I56</f>
        <v>0</v>
      </c>
      <c r="J58" s="514">
        <f>J54+J56</f>
        <v>0</v>
      </c>
      <c r="K58" s="515"/>
      <c r="L58" s="537">
        <f>'HVM-R'!R52</f>
        <v>0</v>
      </c>
      <c r="M58"/>
    </row>
    <row r="59" spans="2:14" ht="15" customHeight="1" outlineLevel="1">
      <c r="B59" s="225"/>
      <c r="C59" s="225"/>
      <c r="D59" s="225"/>
      <c r="E59" s="225"/>
      <c r="H59" s="317"/>
      <c r="I59" s="318"/>
      <c r="J59" s="318"/>
      <c r="K59" s="318"/>
      <c r="L59" s="539"/>
      <c r="M59" s="105"/>
    </row>
    <row r="60" spans="2:14" ht="15" customHeight="1" outlineLevel="1">
      <c r="B60" s="225"/>
      <c r="C60" s="225"/>
      <c r="D60" s="225"/>
      <c r="E60" s="225"/>
      <c r="H60" s="128"/>
      <c r="I60" s="129"/>
      <c r="J60" s="129"/>
      <c r="K60" s="129"/>
      <c r="L60" s="539"/>
      <c r="M60" s="105"/>
    </row>
    <row r="61" spans="2:14" ht="15" customHeight="1" outlineLevel="1">
      <c r="B61" s="225" t="s">
        <v>71</v>
      </c>
      <c r="C61" s="225"/>
      <c r="D61" s="225"/>
      <c r="E61" s="225"/>
      <c r="G61" s="117" t="s">
        <v>72</v>
      </c>
      <c r="H61" s="418"/>
      <c r="I61" s="418"/>
      <c r="J61" s="418"/>
      <c r="K61" s="419"/>
      <c r="L61" s="537">
        <f>'HVM-R'!R55</f>
        <v>0</v>
      </c>
      <c r="M61" s="105"/>
      <c r="N61" s="243"/>
    </row>
    <row r="62" spans="2:14" ht="5.0999999999999996" customHeight="1" outlineLevel="1">
      <c r="B62" s="225"/>
      <c r="C62" s="225"/>
      <c r="D62" s="225"/>
      <c r="E62" s="225"/>
      <c r="G62" s="117"/>
      <c r="H62" s="306" t="s">
        <v>0</v>
      </c>
      <c r="I62" s="306" t="s">
        <v>0</v>
      </c>
      <c r="J62" s="306" t="s">
        <v>0</v>
      </c>
      <c r="K62" s="306" t="s">
        <v>0</v>
      </c>
      <c r="L62" s="539"/>
      <c r="M62" s="105"/>
    </row>
    <row r="63" spans="2:14" ht="15" customHeight="1" outlineLevel="1">
      <c r="B63" s="225" t="s">
        <v>70</v>
      </c>
      <c r="C63" s="225"/>
      <c r="D63" s="225"/>
      <c r="E63" s="225"/>
      <c r="G63" s="117" t="s">
        <v>28</v>
      </c>
      <c r="H63" s="147" t="e">
        <f>H58/H61</f>
        <v>#DIV/0!</v>
      </c>
      <c r="I63" s="147" t="e">
        <f>I58/I61</f>
        <v>#DIV/0!</v>
      </c>
      <c r="J63" s="147" t="e">
        <f>J58/J61</f>
        <v>#DIV/0!</v>
      </c>
      <c r="K63" s="420"/>
      <c r="L63" s="537">
        <f>'HVM-R'!R57</f>
        <v>0</v>
      </c>
      <c r="M63"/>
    </row>
    <row r="64" spans="2:14" ht="15" customHeight="1" outlineLevel="1">
      <c r="B64" s="225"/>
      <c r="C64" s="225"/>
      <c r="D64" s="225"/>
      <c r="E64" s="225"/>
      <c r="H64"/>
      <c r="I64" s="129"/>
      <c r="J64" s="129"/>
      <c r="K64" s="176"/>
      <c r="L64" s="277"/>
      <c r="M64"/>
    </row>
    <row r="65" spans="2:14" ht="15" customHeight="1" outlineLevel="1">
      <c r="B65" s="225"/>
      <c r="C65" s="225"/>
      <c r="D65" s="225"/>
      <c r="E65" s="225"/>
      <c r="H65"/>
      <c r="I65" s="129"/>
      <c r="J65" s="129"/>
      <c r="K65" s="176"/>
      <c r="L65" s="277"/>
      <c r="M65"/>
    </row>
    <row r="66" spans="2:14" ht="15" customHeight="1" outlineLevel="1">
      <c r="H66" s="123"/>
      <c r="I66" s="123"/>
      <c r="J66" s="123"/>
      <c r="L66" s="277"/>
    </row>
    <row r="67" spans="2:14" ht="15" customHeight="1" outlineLevel="1">
      <c r="B67" s="148" t="s">
        <v>139</v>
      </c>
      <c r="C67" s="233"/>
      <c r="D67" s="535" t="str">
        <f>IF(SUM(L68:L74)=6,"COMPLETE","")</f>
        <v/>
      </c>
      <c r="H67" s="123"/>
      <c r="I67" s="123"/>
      <c r="J67" s="123"/>
      <c r="L67" s="539"/>
    </row>
    <row r="68" spans="2:14" ht="15" customHeight="1" outlineLevel="1">
      <c r="B68" s="253" t="s">
        <v>67</v>
      </c>
      <c r="H68" s="516"/>
      <c r="I68" s="516"/>
      <c r="J68" s="516"/>
      <c r="K68" s="516"/>
      <c r="L68" s="537">
        <f>'HVM-R'!R62</f>
        <v>0</v>
      </c>
    </row>
    <row r="69" spans="2:14" ht="15" customHeight="1" outlineLevel="1">
      <c r="B69" s="257" t="s">
        <v>147</v>
      </c>
      <c r="H69" s="516"/>
      <c r="I69" s="516"/>
      <c r="J69" s="516"/>
      <c r="K69" s="381"/>
      <c r="L69" s="537">
        <f>'HVM-R'!R63</f>
        <v>0</v>
      </c>
    </row>
    <row r="70" spans="2:14" ht="15" customHeight="1" outlineLevel="1">
      <c r="B70" s="507" t="s">
        <v>158</v>
      </c>
      <c r="H70" s="516"/>
      <c r="I70" s="516"/>
      <c r="J70" s="516"/>
      <c r="K70" s="381"/>
      <c r="L70" s="537">
        <f>'HVM-R'!R64</f>
        <v>0</v>
      </c>
    </row>
    <row r="71" spans="2:14" ht="15" customHeight="1" outlineLevel="1">
      <c r="B71" s="257" t="s">
        <v>146</v>
      </c>
      <c r="H71" s="516"/>
      <c r="I71" s="516"/>
      <c r="J71" s="516"/>
      <c r="K71" s="381"/>
      <c r="L71" s="537">
        <f>'HVM-R'!R65</f>
        <v>0</v>
      </c>
      <c r="N71" s="243"/>
    </row>
    <row r="72" spans="2:14" ht="15" customHeight="1" outlineLevel="1">
      <c r="B72" s="257" t="s">
        <v>148</v>
      </c>
      <c r="H72" s="508"/>
      <c r="I72" s="508"/>
      <c r="J72" s="508"/>
      <c r="K72" s="381"/>
      <c r="L72" s="537">
        <f>'HVM-R'!R66</f>
        <v>0</v>
      </c>
    </row>
    <row r="73" spans="2:14" ht="5.0999999999999996" customHeight="1" outlineLevel="1">
      <c r="B73" s="257"/>
      <c r="H73" s="509" t="s">
        <v>0</v>
      </c>
      <c r="I73" s="509" t="s">
        <v>0</v>
      </c>
      <c r="J73" s="509" t="s">
        <v>0</v>
      </c>
      <c r="K73" s="510" t="s">
        <v>0</v>
      </c>
      <c r="L73" s="537"/>
    </row>
    <row r="74" spans="2:14" ht="15" customHeight="1" outlineLevel="1">
      <c r="B74" s="253" t="s">
        <v>30</v>
      </c>
      <c r="H74" s="516"/>
      <c r="I74" s="516"/>
      <c r="J74" s="516"/>
      <c r="K74" s="516"/>
      <c r="L74" s="537">
        <f>'HVM-R'!R67</f>
        <v>0</v>
      </c>
    </row>
    <row r="75" spans="2:14" ht="15" customHeight="1" outlineLevel="1">
      <c r="H75" s="123"/>
      <c r="I75" s="123"/>
      <c r="J75" s="123"/>
    </row>
    <row r="76" spans="2:14" ht="15" customHeight="1" outlineLevel="1">
      <c r="H76" s="123"/>
      <c r="I76" s="123"/>
      <c r="J76" s="123"/>
    </row>
    <row r="77" spans="2:14" ht="15" customHeight="1" outlineLevel="1">
      <c r="H77" s="123"/>
      <c r="I77" s="123"/>
      <c r="J77" s="123"/>
      <c r="K77" s="230" t="s">
        <v>95</v>
      </c>
    </row>
    <row r="78" spans="2:14" ht="15" customHeight="1" outlineLevel="1">
      <c r="H78" s="123"/>
      <c r="I78" s="123"/>
      <c r="J78" s="123"/>
      <c r="K78" s="229" t="s">
        <v>73</v>
      </c>
    </row>
    <row r="79" spans="2:14" ht="15" customHeight="1" outlineLevel="1">
      <c r="G79" s="129"/>
      <c r="H79" s="129"/>
      <c r="I79" s="129"/>
      <c r="J79" s="227"/>
    </row>
    <row r="80" spans="2:14" ht="15" customHeight="1" outlineLevel="1">
      <c r="B80" s="224"/>
      <c r="C80" s="224"/>
      <c r="D80" s="224"/>
      <c r="E80" s="224"/>
      <c r="F80" s="224"/>
      <c r="G80" s="130"/>
      <c r="H80" s="130"/>
      <c r="I80" s="130"/>
      <c r="J80" s="228"/>
      <c r="K80" s="224"/>
      <c r="L80" s="231"/>
      <c r="M80" s="230"/>
    </row>
    <row r="81" spans="1:14" ht="15" customHeight="1">
      <c r="G81" s="129"/>
      <c r="H81" s="129"/>
      <c r="I81" s="129"/>
      <c r="J81" s="227"/>
      <c r="L81" s="230"/>
      <c r="M81" s="230"/>
    </row>
    <row r="82" spans="1:14" ht="15" customHeight="1">
      <c r="A82" s="223" t="s">
        <v>0</v>
      </c>
      <c r="B82" s="239" t="str">
        <f>CONCATENATE($F$10&amp;": Forward Growth Estimates")</f>
        <v>Harvest Market: Forward Growth Estimates</v>
      </c>
      <c r="C82" s="240"/>
      <c r="D82" s="241"/>
      <c r="E82" s="241"/>
      <c r="F82" s="241"/>
      <c r="G82" s="241"/>
      <c r="H82" s="241"/>
      <c r="I82" s="241"/>
      <c r="J82" s="241"/>
      <c r="K82" s="241"/>
      <c r="L82" s="241"/>
      <c r="M82" s="182"/>
    </row>
    <row r="83" spans="1:14" ht="15" customHeight="1" outlineLevel="1">
      <c r="G83" s="129"/>
      <c r="H83" s="129"/>
      <c r="I83" s="129"/>
      <c r="J83" s="227"/>
    </row>
    <row r="84" spans="1:14" ht="15" customHeight="1" outlineLevel="1">
      <c r="B84" s="33" t="s">
        <v>19</v>
      </c>
      <c r="C84" s="33"/>
      <c r="D84" s="33"/>
      <c r="E84" s="33"/>
      <c r="G84" s="129"/>
      <c r="H84" s="129"/>
      <c r="I84" s="129"/>
      <c r="J84" s="227"/>
    </row>
    <row r="85" spans="1:14" ht="15" customHeight="1" outlineLevel="1">
      <c r="B85" s="33"/>
      <c r="C85" s="33"/>
      <c r="D85" s="33"/>
      <c r="E85" s="33"/>
      <c r="H85" s="129"/>
      <c r="I85" s="129"/>
      <c r="J85" s="129"/>
      <c r="K85" s="536"/>
    </row>
    <row r="86" spans="1:14" ht="15" customHeight="1" outlineLevel="1">
      <c r="D86" s="534"/>
      <c r="H86" s="259">
        <v>2023</v>
      </c>
      <c r="I86" s="423"/>
      <c r="J86" s="424"/>
      <c r="K86" s="537">
        <f>'HVM-R'!R79</f>
        <v>0</v>
      </c>
      <c r="N86"/>
    </row>
    <row r="87" spans="1:14" ht="15" customHeight="1" outlineLevel="1" thickBot="1">
      <c r="B87" s="148" t="s">
        <v>96</v>
      </c>
      <c r="C87" s="148"/>
      <c r="D87" s="535" t="str">
        <f>IF(SUM(K86:K100)=8,"COMPLETE","")</f>
        <v/>
      </c>
      <c r="E87" s="79"/>
      <c r="H87" s="144">
        <f>H$34</f>
        <v>0</v>
      </c>
      <c r="I87" s="425"/>
      <c r="J87" s="426"/>
      <c r="K87" s="537">
        <f>'HVM-R'!R80</f>
        <v>0</v>
      </c>
      <c r="N87"/>
    </row>
    <row r="88" spans="1:14" ht="15" customHeight="1" outlineLevel="1">
      <c r="B88" s="79"/>
      <c r="C88" s="79"/>
      <c r="D88" s="79"/>
      <c r="E88" s="79"/>
      <c r="H88" s="150"/>
      <c r="I88" s="151"/>
      <c r="J88" s="132"/>
      <c r="K88" s="538"/>
      <c r="N88"/>
    </row>
    <row r="89" spans="1:14" ht="15" customHeight="1" outlineLevel="1">
      <c r="B89" s="79"/>
      <c r="C89" s="79"/>
      <c r="D89" s="79"/>
      <c r="E89" s="79"/>
      <c r="H89" s="177"/>
      <c r="I89" s="132"/>
      <c r="J89" s="132"/>
      <c r="K89" s="538"/>
      <c r="N89"/>
    </row>
    <row r="90" spans="1:14" ht="15" customHeight="1" outlineLevel="1">
      <c r="B90" s="225" t="s">
        <v>40</v>
      </c>
      <c r="C90" s="225"/>
      <c r="D90" s="225"/>
      <c r="E90" s="225"/>
      <c r="H90" s="516"/>
      <c r="I90" s="513">
        <v>74466</v>
      </c>
      <c r="J90" s="513">
        <v>80719</v>
      </c>
      <c r="K90" s="537">
        <f>'HVM-R'!R83</f>
        <v>0</v>
      </c>
      <c r="N90"/>
    </row>
    <row r="91" spans="1:14" ht="5.0999999999999996" customHeight="1" outlineLevel="1">
      <c r="B91" s="225"/>
      <c r="C91" s="225"/>
      <c r="D91" s="225"/>
      <c r="E91" s="225"/>
      <c r="H91" s="306" t="s">
        <v>0</v>
      </c>
      <c r="I91" s="319" t="s">
        <v>0</v>
      </c>
      <c r="J91" s="319" t="s">
        <v>0</v>
      </c>
      <c r="K91" s="537"/>
      <c r="N91"/>
    </row>
    <row r="92" spans="1:14" ht="15" customHeight="1" outlineLevel="1">
      <c r="B92" s="169" t="s">
        <v>90</v>
      </c>
      <c r="C92" s="169"/>
      <c r="D92" s="169"/>
      <c r="E92" s="169"/>
      <c r="H92" s="168"/>
      <c r="I92" s="427"/>
      <c r="J92" s="427"/>
      <c r="K92" s="537">
        <f>'HVM-R'!R84</f>
        <v>0</v>
      </c>
      <c r="N92" s="243"/>
    </row>
    <row r="93" spans="1:14" ht="15" customHeight="1" outlineLevel="1">
      <c r="B93" s="225"/>
      <c r="C93" s="225"/>
      <c r="D93" s="225"/>
      <c r="E93" s="225"/>
      <c r="H93" s="124"/>
      <c r="I93" s="133"/>
      <c r="J93" s="133"/>
      <c r="K93" s="539"/>
      <c r="N93" s="245"/>
    </row>
    <row r="94" spans="1:14" ht="15" customHeight="1" outlineLevel="1">
      <c r="B94" s="225" t="s">
        <v>30</v>
      </c>
      <c r="C94" s="225"/>
      <c r="D94" s="225"/>
      <c r="E94" s="225"/>
      <c r="H94" s="516"/>
      <c r="I94" s="513">
        <v>5036</v>
      </c>
      <c r="J94" s="513">
        <v>5496</v>
      </c>
      <c r="K94" s="537">
        <f>'HVM-R'!R86</f>
        <v>0</v>
      </c>
      <c r="N94" s="243"/>
    </row>
    <row r="95" spans="1:14" ht="5.0999999999999996" customHeight="1" outlineLevel="1">
      <c r="B95" s="225"/>
      <c r="C95" s="225"/>
      <c r="D95" s="225"/>
      <c r="E95" s="225"/>
      <c r="H95" s="306" t="s">
        <v>0</v>
      </c>
      <c r="I95" s="306" t="s">
        <v>0</v>
      </c>
      <c r="J95" s="306" t="s">
        <v>0</v>
      </c>
      <c r="K95" s="537"/>
      <c r="N95" s="243"/>
    </row>
    <row r="96" spans="1:14" ht="15" customHeight="1" outlineLevel="1">
      <c r="B96" s="169" t="s">
        <v>90</v>
      </c>
      <c r="C96" s="169"/>
      <c r="D96" s="169"/>
      <c r="E96" s="169"/>
      <c r="H96" s="168"/>
      <c r="I96" s="427"/>
      <c r="J96" s="427"/>
      <c r="K96" s="537">
        <f>'HVM-R'!R87</f>
        <v>0</v>
      </c>
      <c r="N96" s="243"/>
    </row>
    <row r="97" spans="2:14" ht="15" customHeight="1" outlineLevel="1">
      <c r="B97" s="225"/>
      <c r="C97" s="225"/>
      <c r="D97" s="225"/>
      <c r="E97" s="225"/>
      <c r="H97" s="124"/>
      <c r="I97" s="133"/>
      <c r="J97" s="133"/>
      <c r="K97" s="539"/>
      <c r="N97" s="245"/>
    </row>
    <row r="98" spans="2:14" ht="15" customHeight="1" outlineLevel="1">
      <c r="B98" s="225" t="s">
        <v>70</v>
      </c>
      <c r="C98" s="225"/>
      <c r="D98" s="225"/>
      <c r="E98" s="225"/>
      <c r="G98" s="117" t="s">
        <v>28</v>
      </c>
      <c r="H98" s="420"/>
      <c r="I98" s="134">
        <v>2.48</v>
      </c>
      <c r="J98" s="134">
        <v>2.69</v>
      </c>
      <c r="K98" s="537">
        <f>'HVM-R'!R89</f>
        <v>0</v>
      </c>
      <c r="L98" s="165"/>
      <c r="N98" s="245"/>
    </row>
    <row r="99" spans="2:14" ht="5.0999999999999996" customHeight="1" outlineLevel="1">
      <c r="B99" s="225"/>
      <c r="C99" s="225"/>
      <c r="D99" s="225"/>
      <c r="E99" s="225"/>
      <c r="G99" s="117"/>
      <c r="H99" s="320" t="s">
        <v>0</v>
      </c>
      <c r="I99" s="320" t="s">
        <v>0</v>
      </c>
      <c r="J99" s="320" t="s">
        <v>0</v>
      </c>
      <c r="K99" s="537"/>
      <c r="L99" s="165"/>
      <c r="N99" s="245"/>
    </row>
    <row r="100" spans="2:14" ht="15" customHeight="1" outlineLevel="1">
      <c r="B100" s="169" t="s">
        <v>90</v>
      </c>
      <c r="C100" s="169"/>
      <c r="D100" s="169"/>
      <c r="E100" s="169"/>
      <c r="H100" s="168"/>
      <c r="I100" s="427"/>
      <c r="J100" s="427"/>
      <c r="K100" s="537">
        <f>'HVM-R'!R90</f>
        <v>0</v>
      </c>
      <c r="L100" s="166"/>
      <c r="N100" s="243"/>
    </row>
    <row r="101" spans="2:14" ht="15" customHeight="1" outlineLevel="1">
      <c r="B101" s="225"/>
      <c r="C101" s="225"/>
      <c r="D101" s="225"/>
      <c r="E101" s="225"/>
      <c r="H101" s="124"/>
      <c r="I101" s="133"/>
      <c r="J101" s="133"/>
      <c r="L101" s="166"/>
      <c r="N101"/>
    </row>
    <row r="102" spans="2:14" ht="15" customHeight="1" outlineLevel="1">
      <c r="B102" s="225"/>
      <c r="C102" s="225"/>
      <c r="D102" s="225"/>
      <c r="E102" s="225"/>
      <c r="H102" s="124"/>
      <c r="I102" s="133"/>
      <c r="J102" s="133"/>
      <c r="L102" s="166"/>
      <c r="N102"/>
    </row>
    <row r="103" spans="2:14" ht="15" customHeight="1" outlineLevel="1">
      <c r="B103" s="225"/>
      <c r="C103" s="225"/>
      <c r="D103" s="225"/>
      <c r="E103" s="225"/>
      <c r="H103" s="124"/>
      <c r="I103" s="133"/>
      <c r="J103" s="133"/>
      <c r="L103" s="166"/>
      <c r="N103"/>
    </row>
    <row r="104" spans="2:14" ht="15" customHeight="1" outlineLevel="1">
      <c r="B104" s="225"/>
      <c r="C104" s="225"/>
      <c r="D104" s="225"/>
      <c r="E104" s="225"/>
      <c r="H104" s="124"/>
      <c r="I104" s="133"/>
      <c r="J104" s="175" t="s">
        <v>97</v>
      </c>
      <c r="L104" s="166"/>
      <c r="N104"/>
    </row>
    <row r="105" spans="2:14" ht="15" customHeight="1" outlineLevel="1"/>
    <row r="106" spans="2:14" ht="15" customHeight="1" outlineLevel="1"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</row>
    <row r="107" spans="2:14" ht="15" customHeight="1">
      <c r="N107" s="532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colBreaks count="1" manualBreakCount="1">
    <brk id="1" max="1048575" man="1"/>
  </col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72B8-F8D2-4D0A-BF61-877B70BF03C2}">
  <sheetPr>
    <tabColor theme="1"/>
    <pageSetUpPr autoPageBreaks="0"/>
  </sheetPr>
  <dimension ref="A1:X104"/>
  <sheetViews>
    <sheetView showGridLines="0" zoomScaleNormal="100" zoomScaleSheetLayoutView="80" workbookViewId="0">
      <pane ySplit="1" topLeftCell="A2" activePane="bottomLeft" state="frozen"/>
      <selection pane="bottomLeft"/>
    </sheetView>
  </sheetViews>
  <sheetFormatPr defaultColWidth="11.7109375" defaultRowHeight="15" customHeight="1"/>
  <cols>
    <col min="1" max="1" width="5.5703125" style="223" customWidth="1"/>
    <col min="2" max="12" width="13.7109375" style="223" customWidth="1"/>
    <col min="13" max="13" width="1.7109375" style="223" customWidth="1"/>
    <col min="14" max="14" width="4.7109375" style="223" customWidth="1"/>
    <col min="15" max="15" width="35.7109375" style="223" bestFit="1" customWidth="1"/>
    <col min="16" max="17" width="12.140625" style="223" bestFit="1" customWidth="1"/>
    <col min="18" max="18" width="11.7109375" style="223"/>
    <col min="19" max="19" width="4.7109375" style="223" customWidth="1"/>
    <col min="20" max="20" width="32.140625" style="223" bestFit="1" customWidth="1"/>
    <col min="21" max="22" width="12.140625" style="223" bestFit="1" customWidth="1"/>
    <col min="23" max="16384" width="11.7109375" style="223"/>
  </cols>
  <sheetData>
    <row r="1" spans="1:23" ht="50.1" customHeight="1">
      <c r="A1" s="115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115"/>
    </row>
    <row r="3" spans="1:23" ht="15" customHeight="1">
      <c r="A3" s="223" t="s">
        <v>0</v>
      </c>
      <c r="B3" s="239" t="str">
        <f>CONCATENATE($F$10&amp;": Enterprise Value")</f>
        <v>Harvest Market: Enterprise Value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182"/>
    </row>
    <row r="5" spans="1:23" ht="15" customHeight="1">
      <c r="B5" s="33" t="s">
        <v>19</v>
      </c>
      <c r="C5" s="33"/>
      <c r="D5" s="33"/>
      <c r="E5" s="33"/>
      <c r="F5" s="33"/>
      <c r="H5" s="33"/>
    </row>
    <row r="8" spans="1:23" ht="15" customHeight="1" thickBot="1">
      <c r="B8" s="148" t="s">
        <v>43</v>
      </c>
      <c r="C8" s="148"/>
      <c r="D8" s="148"/>
      <c r="E8" s="148"/>
      <c r="F8" s="236"/>
      <c r="H8" s="79" t="s">
        <v>44</v>
      </c>
      <c r="N8"/>
      <c r="O8" s="428" t="s">
        <v>44</v>
      </c>
      <c r="P8" s="429" t="s">
        <v>142</v>
      </c>
      <c r="Q8" s="429" t="s">
        <v>143</v>
      </c>
      <c r="R8" s="430" t="s">
        <v>144</v>
      </c>
      <c r="S8"/>
      <c r="T8"/>
      <c r="U8"/>
    </row>
    <row r="9" spans="1:23" ht="15" customHeight="1">
      <c r="H9" s="234"/>
      <c r="I9" s="234"/>
      <c r="J9" s="234"/>
      <c r="K9" s="234"/>
      <c r="L9" s="234"/>
      <c r="N9"/>
      <c r="O9" s="431"/>
      <c r="P9" s="432"/>
      <c r="Q9" s="432"/>
      <c r="R9" s="433"/>
      <c r="S9"/>
      <c r="T9"/>
      <c r="U9"/>
    </row>
    <row r="10" spans="1:23" ht="15" customHeight="1">
      <c r="B10" s="225" t="s">
        <v>45</v>
      </c>
      <c r="C10" s="225"/>
      <c r="D10" s="225"/>
      <c r="E10" s="225"/>
      <c r="F10" s="116" t="s">
        <v>111</v>
      </c>
      <c r="H10" s="225" t="s">
        <v>32</v>
      </c>
      <c r="K10" s="117" t="s">
        <v>28</v>
      </c>
      <c r="L10" s="70">
        <v>24.9</v>
      </c>
      <c r="N10"/>
      <c r="O10" s="431"/>
      <c r="P10" s="432"/>
      <c r="Q10" s="432"/>
      <c r="R10" s="433"/>
      <c r="S10"/>
      <c r="T10"/>
      <c r="U10"/>
    </row>
    <row r="11" spans="1:23" ht="15" customHeight="1">
      <c r="B11" s="225" t="s">
        <v>46</v>
      </c>
      <c r="C11" s="225"/>
      <c r="D11" s="225"/>
      <c r="E11" s="117" t="s">
        <v>33</v>
      </c>
      <c r="F11" s="121">
        <v>45484</v>
      </c>
      <c r="H11" s="225" t="s">
        <v>42</v>
      </c>
      <c r="K11" s="117" t="s">
        <v>27</v>
      </c>
      <c r="L11" s="217">
        <v>788.6</v>
      </c>
      <c r="N11"/>
      <c r="O11" s="434"/>
      <c r="P11" s="435"/>
      <c r="Q11" s="435"/>
      <c r="R11" s="436"/>
      <c r="S11"/>
      <c r="T11"/>
      <c r="U11"/>
    </row>
    <row r="12" spans="1:23" ht="15" customHeight="1">
      <c r="H12" s="225" t="s">
        <v>44</v>
      </c>
      <c r="K12" s="117" t="s">
        <v>47</v>
      </c>
      <c r="L12" s="119">
        <f>L10*L11</f>
        <v>19636.14</v>
      </c>
      <c r="N12"/>
      <c r="O12" s="437" t="s">
        <v>44</v>
      </c>
      <c r="P12" s="438">
        <f>HVM!L13</f>
        <v>0</v>
      </c>
      <c r="Q12" s="438">
        <f>L11*L10</f>
        <v>19636.14</v>
      </c>
      <c r="R12" s="541">
        <f t="shared" ref="R12" si="0">IFERROR(IF(P12=0,0,IF(P12=Q12,1,0)),0)</f>
        <v>0</v>
      </c>
      <c r="S12"/>
      <c r="T12"/>
      <c r="U12"/>
    </row>
    <row r="13" spans="1:23" ht="15" customHeight="1">
      <c r="B13" s="225"/>
      <c r="C13" s="225"/>
      <c r="D13" s="225"/>
      <c r="E13" s="225"/>
      <c r="F13" s="118"/>
      <c r="H13" s="225"/>
      <c r="L13" s="119"/>
      <c r="N13"/>
      <c r="O13"/>
      <c r="P13"/>
      <c r="Q13"/>
      <c r="R13"/>
      <c r="S13"/>
      <c r="T13"/>
      <c r="U13"/>
    </row>
    <row r="14" spans="1:23" ht="15" customHeight="1">
      <c r="B14" s="225"/>
      <c r="C14" s="225"/>
      <c r="D14" s="225"/>
      <c r="E14" s="225"/>
      <c r="F14" s="118"/>
      <c r="H14" s="225"/>
      <c r="L14" s="119"/>
      <c r="N14"/>
      <c r="O14"/>
      <c r="P14"/>
      <c r="Q14"/>
      <c r="R14"/>
      <c r="S14"/>
      <c r="T14"/>
      <c r="U14"/>
    </row>
    <row r="15" spans="1:23" ht="15" customHeight="1">
      <c r="N15"/>
      <c r="O15"/>
      <c r="P15"/>
      <c r="Q15"/>
      <c r="R15"/>
      <c r="S15"/>
      <c r="T15"/>
      <c r="U15"/>
    </row>
    <row r="16" spans="1:23" ht="15" customHeight="1" thickBot="1">
      <c r="B16" s="148" t="s">
        <v>39</v>
      </c>
      <c r="C16" s="148"/>
      <c r="D16" s="148"/>
      <c r="E16" s="233"/>
      <c r="F16" s="233"/>
      <c r="H16" s="79" t="s">
        <v>21</v>
      </c>
      <c r="I16" s="79"/>
      <c r="L16" s="235"/>
      <c r="N16"/>
      <c r="O16" s="428" t="s">
        <v>39</v>
      </c>
      <c r="P16" s="429" t="s">
        <v>142</v>
      </c>
      <c r="Q16" s="429" t="s">
        <v>143</v>
      </c>
      <c r="R16" s="430" t="s">
        <v>144</v>
      </c>
      <c r="S16"/>
      <c r="T16" s="428" t="s">
        <v>21</v>
      </c>
      <c r="U16" s="429" t="s">
        <v>142</v>
      </c>
      <c r="V16" s="429" t="s">
        <v>143</v>
      </c>
      <c r="W16" s="430" t="s">
        <v>144</v>
      </c>
    </row>
    <row r="17" spans="1:23" ht="15" customHeight="1">
      <c r="H17" s="234"/>
      <c r="I17" s="234"/>
      <c r="J17" s="234"/>
      <c r="K17" s="234"/>
      <c r="L17" s="234"/>
      <c r="N17"/>
      <c r="O17" s="431"/>
      <c r="P17" s="432"/>
      <c r="Q17" s="432"/>
      <c r="R17" s="433"/>
      <c r="S17"/>
      <c r="T17" s="431"/>
      <c r="U17" s="432"/>
      <c r="V17" s="432"/>
      <c r="W17" s="433"/>
    </row>
    <row r="18" spans="1:23" ht="15" customHeight="1">
      <c r="H18" s="225" t="s">
        <v>44</v>
      </c>
      <c r="K18" s="117" t="s">
        <v>47</v>
      </c>
      <c r="L18" s="292">
        <f>L12</f>
        <v>19636.14</v>
      </c>
      <c r="N18"/>
      <c r="O18" s="431"/>
      <c r="P18" s="432"/>
      <c r="Q18" s="432"/>
      <c r="R18" s="433"/>
      <c r="S18"/>
      <c r="T18" s="439" t="s">
        <v>44</v>
      </c>
      <c r="U18" s="440">
        <f>HVM!L19</f>
        <v>0</v>
      </c>
      <c r="V18" s="440">
        <f>HVM!L13</f>
        <v>0</v>
      </c>
      <c r="W18" s="542">
        <f t="shared" ref="W18:W23" si="1">IFERROR(IF(U18=0,0,IF(U18=V18,1,0)),0)</f>
        <v>0</v>
      </c>
    </row>
    <row r="19" spans="1:23" ht="15" customHeight="1">
      <c r="B19" s="225"/>
      <c r="C19" s="225"/>
      <c r="D19" s="225"/>
      <c r="F19" s="119"/>
      <c r="H19" s="225" t="s">
        <v>51</v>
      </c>
      <c r="I19" s="225"/>
      <c r="L19" s="256">
        <v>25</v>
      </c>
      <c r="N19"/>
      <c r="O19" s="439"/>
      <c r="P19" s="440"/>
      <c r="Q19" s="440"/>
      <c r="R19" s="441"/>
      <c r="S19"/>
      <c r="T19" s="439" t="s">
        <v>51</v>
      </c>
      <c r="U19" s="440">
        <f>HVM!L20</f>
        <v>0</v>
      </c>
      <c r="V19" s="440">
        <f>L19</f>
        <v>25</v>
      </c>
      <c r="W19" s="542">
        <f t="shared" si="1"/>
        <v>0</v>
      </c>
    </row>
    <row r="20" spans="1:23" ht="15" customHeight="1">
      <c r="B20" s="225" t="s">
        <v>48</v>
      </c>
      <c r="C20" s="225"/>
      <c r="D20" s="225"/>
      <c r="F20" s="256">
        <v>2365</v>
      </c>
      <c r="H20" s="225" t="s">
        <v>49</v>
      </c>
      <c r="I20" s="225"/>
      <c r="L20" s="119">
        <f>F23</f>
        <v>10972</v>
      </c>
      <c r="N20"/>
      <c r="O20" s="439" t="s">
        <v>48</v>
      </c>
      <c r="P20" s="440">
        <f>HVM!F21</f>
        <v>0</v>
      </c>
      <c r="Q20" s="440">
        <f>F20</f>
        <v>2365</v>
      </c>
      <c r="R20" s="542">
        <f t="shared" ref="R20" si="2">IFERROR(IF(P20=0,0,IF(P20=Q20,1,0)),0)</f>
        <v>0</v>
      </c>
      <c r="S20"/>
      <c r="T20" s="439" t="s">
        <v>49</v>
      </c>
      <c r="U20" s="440">
        <f>HVM!L21</f>
        <v>0</v>
      </c>
      <c r="V20" s="440">
        <f>HVM!F25</f>
        <v>0</v>
      </c>
      <c r="W20" s="542">
        <f t="shared" si="1"/>
        <v>0</v>
      </c>
    </row>
    <row r="21" spans="1:23" ht="15" customHeight="1">
      <c r="B21" s="225" t="s">
        <v>50</v>
      </c>
      <c r="C21" s="225"/>
      <c r="D21" s="225"/>
      <c r="F21" s="256">
        <v>11959</v>
      </c>
      <c r="H21" s="225" t="s">
        <v>52</v>
      </c>
      <c r="I21" s="225"/>
      <c r="L21" s="256">
        <v>22</v>
      </c>
      <c r="N21"/>
      <c r="O21" s="439" t="s">
        <v>50</v>
      </c>
      <c r="P21" s="440">
        <f>HVM!F22</f>
        <v>0</v>
      </c>
      <c r="Q21" s="440">
        <f>F21</f>
        <v>11959</v>
      </c>
      <c r="R21" s="542">
        <f t="shared" ref="R21" si="3">IFERROR(IF(P21=0,0,IF(P21=Q21,1,0)),0)</f>
        <v>0</v>
      </c>
      <c r="S21"/>
      <c r="T21" s="439" t="s">
        <v>52</v>
      </c>
      <c r="U21" s="440">
        <f>HVM!L22</f>
        <v>0</v>
      </c>
      <c r="V21" s="440">
        <f>L21</f>
        <v>22</v>
      </c>
      <c r="W21" s="542">
        <f t="shared" si="1"/>
        <v>0</v>
      </c>
    </row>
    <row r="22" spans="1:23" ht="15" customHeight="1">
      <c r="B22" s="225" t="s">
        <v>54</v>
      </c>
      <c r="C22" s="225"/>
      <c r="D22" s="225"/>
      <c r="F22" s="256">
        <v>-3352</v>
      </c>
      <c r="H22" s="225" t="s">
        <v>53</v>
      </c>
      <c r="I22" s="225"/>
      <c r="L22" s="256">
        <v>-92</v>
      </c>
      <c r="N22"/>
      <c r="O22" s="439" t="s">
        <v>54</v>
      </c>
      <c r="P22" s="440">
        <f>HVM!F23</f>
        <v>0</v>
      </c>
      <c r="Q22" s="440">
        <f>F22</f>
        <v>-3352</v>
      </c>
      <c r="R22" s="542">
        <f t="shared" ref="R22" si="4">IFERROR(IF(P22=0,0,IF(P22=Q22,1,0)),0)</f>
        <v>0</v>
      </c>
      <c r="S22"/>
      <c r="T22" s="439" t="s">
        <v>53</v>
      </c>
      <c r="U22" s="440">
        <f>HVM!L23</f>
        <v>0</v>
      </c>
      <c r="V22" s="440">
        <f>L22</f>
        <v>-92</v>
      </c>
      <c r="W22" s="542">
        <f t="shared" si="1"/>
        <v>0</v>
      </c>
    </row>
    <row r="23" spans="1:23" ht="15" customHeight="1">
      <c r="B23" s="112" t="s">
        <v>39</v>
      </c>
      <c r="C23" s="112"/>
      <c r="D23" s="112"/>
      <c r="F23" s="293">
        <f>SUM(F20:F22)</f>
        <v>10972</v>
      </c>
      <c r="H23" s="108" t="s">
        <v>21</v>
      </c>
      <c r="I23" s="108"/>
      <c r="L23" s="293">
        <f>SUM(L18:L22)</f>
        <v>30563.14</v>
      </c>
      <c r="N23"/>
      <c r="O23" s="442" t="s">
        <v>39</v>
      </c>
      <c r="P23" s="438">
        <f>HVM!F25</f>
        <v>0</v>
      </c>
      <c r="Q23" s="438">
        <f>SUM(HVM!F21:F23)</f>
        <v>0</v>
      </c>
      <c r="R23" s="541">
        <f>IFERROR(IF(P23=0,0,IF(P23=Q23,1,0)),0)</f>
        <v>0</v>
      </c>
      <c r="S23"/>
      <c r="T23" s="442" t="s">
        <v>21</v>
      </c>
      <c r="U23" s="438">
        <f>HVM!L25</f>
        <v>0</v>
      </c>
      <c r="V23" s="438">
        <f>SUM(HVM!L19:L23)</f>
        <v>0</v>
      </c>
      <c r="W23" s="541">
        <f t="shared" si="1"/>
        <v>0</v>
      </c>
    </row>
    <row r="24" spans="1:23" ht="15" customHeight="1">
      <c r="H24"/>
      <c r="I24"/>
      <c r="M24" s="120"/>
    </row>
    <row r="25" spans="1:23" ht="15" customHeight="1"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7" spans="1:23" ht="15" customHeight="1">
      <c r="A27" s="223" t="s">
        <v>0</v>
      </c>
      <c r="B27" s="239" t="str">
        <f>CONCATENATE($F$10&amp;": Income Statement")</f>
        <v>Harvest Market: Income Statement</v>
      </c>
      <c r="C27" s="240"/>
      <c r="D27" s="241"/>
      <c r="E27" s="241"/>
      <c r="F27" s="241"/>
      <c r="G27" s="241"/>
      <c r="H27" s="241"/>
      <c r="I27" s="241"/>
      <c r="J27" s="241"/>
      <c r="K27" s="241"/>
      <c r="L27" s="241"/>
      <c r="M27" s="182"/>
    </row>
    <row r="28" spans="1:23" customFormat="1" ht="15" customHeight="1"/>
    <row r="29" spans="1:23" customFormat="1" ht="15" customHeight="1">
      <c r="B29" s="33" t="s">
        <v>19</v>
      </c>
      <c r="C29" s="33"/>
      <c r="D29" s="33"/>
      <c r="E29" s="33"/>
    </row>
    <row r="30" spans="1:23" customFormat="1" ht="15" customHeight="1">
      <c r="B30" s="33"/>
      <c r="C30" s="33"/>
      <c r="D30" s="33"/>
      <c r="E30" s="33"/>
      <c r="F30" s="223"/>
    </row>
    <row r="31" spans="1:23" ht="15" customHeight="1" thickBot="1">
      <c r="H31" s="145" t="s">
        <v>55</v>
      </c>
      <c r="I31" s="131" t="s">
        <v>56</v>
      </c>
      <c r="J31" s="146" t="s">
        <v>57</v>
      </c>
      <c r="K31" s="178"/>
      <c r="O31" s="428" t="s">
        <v>38</v>
      </c>
      <c r="P31" s="429" t="s">
        <v>142</v>
      </c>
      <c r="Q31" s="429" t="s">
        <v>143</v>
      </c>
      <c r="R31" s="430" t="s">
        <v>144</v>
      </c>
    </row>
    <row r="32" spans="1:23" ht="15" customHeight="1">
      <c r="G32" s="122"/>
      <c r="H32" s="142" t="s">
        <v>58</v>
      </c>
      <c r="I32" s="140" t="s">
        <v>59</v>
      </c>
      <c r="J32" s="140" t="s">
        <v>59</v>
      </c>
      <c r="K32" s="179" t="s">
        <v>60</v>
      </c>
      <c r="N32"/>
      <c r="O32" s="431"/>
      <c r="P32" s="432"/>
      <c r="Q32" s="432"/>
      <c r="R32" s="433"/>
    </row>
    <row r="33" spans="2:18" ht="15" customHeight="1" thickBot="1">
      <c r="B33" s="148" t="s">
        <v>38</v>
      </c>
      <c r="C33" s="148"/>
      <c r="D33" s="148"/>
      <c r="E33" s="79"/>
      <c r="H33" s="263">
        <v>45291</v>
      </c>
      <c r="I33" s="264">
        <v>45473</v>
      </c>
      <c r="J33" s="141">
        <f>IFERROR(EDATE(I33,-12),"")</f>
        <v>45107</v>
      </c>
      <c r="K33" s="265">
        <f>IF(I33,I33,H33)</f>
        <v>45473</v>
      </c>
      <c r="O33" s="443" t="s">
        <v>145</v>
      </c>
      <c r="P33" s="440">
        <f>SUM(HVM!H34:K34)</f>
        <v>90580</v>
      </c>
      <c r="Q33" s="440">
        <f>SUM(H33:K33)</f>
        <v>181344</v>
      </c>
      <c r="R33" s="542">
        <f t="shared" ref="R33" si="5">IFERROR(IF(P33=0,0,IF(P33=Q33,1,0)),0)</f>
        <v>0</v>
      </c>
    </row>
    <row r="34" spans="2:18" ht="15" customHeight="1">
      <c r="B34" s="79"/>
      <c r="C34" s="79"/>
      <c r="D34" s="79"/>
      <c r="E34" s="79"/>
      <c r="H34" s="143"/>
      <c r="I34" s="143"/>
      <c r="J34" s="143"/>
      <c r="K34" s="121"/>
      <c r="O34" s="431"/>
      <c r="P34" s="432"/>
      <c r="Q34" s="432"/>
      <c r="R34" s="543"/>
    </row>
    <row r="35" spans="2:18" ht="15" customHeight="1">
      <c r="B35" s="79"/>
      <c r="C35" s="79"/>
      <c r="D35" s="79"/>
      <c r="E35" s="79"/>
      <c r="H35" s="121"/>
      <c r="I35" s="121"/>
      <c r="J35" s="121"/>
      <c r="K35" s="121"/>
      <c r="O35" s="431"/>
      <c r="P35" s="432"/>
      <c r="Q35" s="432"/>
      <c r="R35" s="543"/>
    </row>
    <row r="36" spans="2:18" ht="15" customHeight="1">
      <c r="B36" s="225" t="s">
        <v>40</v>
      </c>
      <c r="C36" s="225"/>
      <c r="D36" s="225"/>
      <c r="E36" s="225"/>
      <c r="H36" s="123">
        <v>68187</v>
      </c>
      <c r="I36" s="123">
        <v>36139</v>
      </c>
      <c r="J36" s="123">
        <v>32048</v>
      </c>
      <c r="K36" s="266">
        <f>H36+I36-J36</f>
        <v>72278</v>
      </c>
      <c r="L36"/>
      <c r="M36"/>
      <c r="N36"/>
      <c r="O36" s="439" t="str">
        <f>B36</f>
        <v>Revenue</v>
      </c>
      <c r="P36" s="440">
        <f>SUM(HVM!H37:K37)</f>
        <v>0</v>
      </c>
      <c r="Q36" s="440">
        <f>SUM(H36:K36)</f>
        <v>208652</v>
      </c>
      <c r="R36" s="542">
        <f t="shared" ref="R36" si="6">IFERROR(IF(P36=0,0,IF(P36=Q36,1,0)),0)</f>
        <v>0</v>
      </c>
    </row>
    <row r="37" spans="2:18" ht="15" customHeight="1">
      <c r="B37" s="225" t="s">
        <v>61</v>
      </c>
      <c r="C37" s="225"/>
      <c r="D37" s="225"/>
      <c r="E37" s="225"/>
      <c r="H37" s="123">
        <v>-63338</v>
      </c>
      <c r="I37" s="267">
        <v>-33569</v>
      </c>
      <c r="J37" s="267">
        <v>-29769</v>
      </c>
      <c r="K37" s="268">
        <f>H37+I37-J37</f>
        <v>-67138</v>
      </c>
      <c r="L37"/>
      <c r="M37"/>
      <c r="N37"/>
      <c r="O37" s="439" t="str">
        <f t="shared" ref="O37:O38" si="7">B37</f>
        <v>Cost of Sales</v>
      </c>
      <c r="P37" s="440">
        <f>SUM(HVM!H38:K38)</f>
        <v>0</v>
      </c>
      <c r="Q37" s="440">
        <f>SUM(H37:K37)</f>
        <v>-193814</v>
      </c>
      <c r="R37" s="542">
        <f t="shared" ref="R37" si="8">IFERROR(IF(P37=0,0,IF(P37=Q37,1,0)),0)</f>
        <v>0</v>
      </c>
    </row>
    <row r="38" spans="2:18" ht="15" customHeight="1">
      <c r="B38" s="225" t="s">
        <v>41</v>
      </c>
      <c r="C38" s="225"/>
      <c r="D38" s="225"/>
      <c r="E38" s="225"/>
      <c r="H38" s="232">
        <f>SUM(H36:H37)</f>
        <v>4849</v>
      </c>
      <c r="I38" s="124">
        <f>SUM(I36:I37)</f>
        <v>2570</v>
      </c>
      <c r="J38" s="124">
        <f>SUM(J36:J37)</f>
        <v>2279</v>
      </c>
      <c r="K38" s="266">
        <f>H38+I38-J38</f>
        <v>5140</v>
      </c>
      <c r="L38"/>
      <c r="M38"/>
      <c r="N38"/>
      <c r="O38" s="439" t="str">
        <f t="shared" si="7"/>
        <v>Gross Profit</v>
      </c>
      <c r="P38" s="444">
        <f>HVM!K40</f>
        <v>0</v>
      </c>
      <c r="Q38" s="444">
        <f>HVM!H40+HVM!I40-HVM!J40</f>
        <v>0</v>
      </c>
      <c r="R38" s="544">
        <f t="shared" ref="R38" si="9">IFERROR(IF(P38=0,0,IF(P38=Q38,1,0)),0)</f>
        <v>0</v>
      </c>
    </row>
    <row r="39" spans="2:18" ht="15" customHeight="1">
      <c r="B39" s="225"/>
      <c r="C39" s="225"/>
      <c r="D39" s="225"/>
      <c r="E39" s="225"/>
      <c r="H39" s="124"/>
      <c r="I39" s="124"/>
      <c r="J39" s="124"/>
      <c r="K39" s="124"/>
      <c r="L39"/>
      <c r="M39"/>
      <c r="N39"/>
      <c r="O39" s="434"/>
      <c r="P39" s="435"/>
      <c r="Q39" s="432"/>
      <c r="R39" s="543"/>
    </row>
    <row r="40" spans="2:18" ht="15" customHeight="1">
      <c r="B40" s="225" t="s">
        <v>62</v>
      </c>
      <c r="C40" s="225"/>
      <c r="D40" s="225"/>
      <c r="E40" s="225"/>
      <c r="H40" s="267">
        <v>-2028</v>
      </c>
      <c r="I40" s="267">
        <v>-1075</v>
      </c>
      <c r="J40" s="267">
        <v>-953</v>
      </c>
      <c r="K40" s="268">
        <f>H40+I40-J40</f>
        <v>-2150</v>
      </c>
      <c r="L40"/>
      <c r="M40"/>
      <c r="N40"/>
      <c r="O40" s="439" t="str">
        <f t="shared" ref="O40" si="10">B40</f>
        <v>Selling, General &amp; Administrative</v>
      </c>
      <c r="P40" s="440">
        <f>SUM(HVM!H42:K42)</f>
        <v>0</v>
      </c>
      <c r="Q40" s="440">
        <f>SUM(H40:K40)</f>
        <v>-6206</v>
      </c>
      <c r="R40" s="542">
        <f t="shared" ref="R40" si="11">IFERROR(IF(P40=0,0,IF(P40=Q40,1,0)),0)</f>
        <v>0</v>
      </c>
    </row>
    <row r="41" spans="2:18" ht="15" customHeight="1">
      <c r="B41" s="225" t="s">
        <v>63</v>
      </c>
      <c r="C41" s="225"/>
      <c r="D41" s="225"/>
      <c r="E41" s="225"/>
      <c r="H41" s="124">
        <f>H38+H40</f>
        <v>2821</v>
      </c>
      <c r="I41" s="124">
        <f>I38+I40</f>
        <v>1495</v>
      </c>
      <c r="J41" s="124">
        <f>J38+J40</f>
        <v>1326</v>
      </c>
      <c r="K41" s="266">
        <f>H41+I41-J41</f>
        <v>2990</v>
      </c>
      <c r="L41"/>
      <c r="M41"/>
      <c r="N41"/>
      <c r="O41" s="439" t="str">
        <f t="shared" ref="O41" si="12">B41</f>
        <v>Operating Income (EBIT)</v>
      </c>
      <c r="P41" s="444">
        <f>HVM!K44</f>
        <v>0</v>
      </c>
      <c r="Q41" s="444">
        <f>HVM!H44+HVM!I44-HVM!J44</f>
        <v>0</v>
      </c>
      <c r="R41" s="544">
        <f t="shared" ref="R41" si="13">IFERROR(IF(P41=0,0,IF(P41=Q41,1,0)),0)</f>
        <v>0</v>
      </c>
    </row>
    <row r="42" spans="2:18" ht="15" customHeight="1">
      <c r="B42" s="112"/>
      <c r="C42" s="112"/>
      <c r="D42" s="112"/>
      <c r="E42" s="112"/>
      <c r="G42" s="79"/>
      <c r="H42" s="125"/>
      <c r="I42" s="125"/>
      <c r="J42" s="125"/>
      <c r="K42" s="125"/>
      <c r="L42"/>
      <c r="M42"/>
      <c r="N42"/>
      <c r="O42" s="434"/>
      <c r="P42" s="435"/>
      <c r="Q42" s="432"/>
      <c r="R42" s="543"/>
    </row>
    <row r="43" spans="2:18" ht="15" customHeight="1">
      <c r="B43" s="225" t="s">
        <v>135</v>
      </c>
      <c r="C43" s="225"/>
      <c r="D43" s="225"/>
      <c r="E43" s="225"/>
      <c r="H43" s="123">
        <v>-805</v>
      </c>
      <c r="I43" s="123">
        <v>-427</v>
      </c>
      <c r="J43" s="123">
        <v>-378</v>
      </c>
      <c r="K43" s="266">
        <f>H43+I43-J43</f>
        <v>-854</v>
      </c>
      <c r="L43"/>
      <c r="M43"/>
      <c r="N43"/>
      <c r="O43" s="439" t="str">
        <f t="shared" ref="O43" si="14">B43</f>
        <v>Interest Expense</v>
      </c>
      <c r="P43" s="440">
        <f>SUM(HVM!H46:K46)</f>
        <v>0</v>
      </c>
      <c r="Q43" s="440">
        <f>SUM(H43:K43)</f>
        <v>-2464</v>
      </c>
      <c r="R43" s="542">
        <f t="shared" ref="R43" si="15">IFERROR(IF(P43=0,0,IF(P43=Q43,1,0)),0)</f>
        <v>0</v>
      </c>
    </row>
    <row r="44" spans="2:18" ht="15" customHeight="1">
      <c r="B44" s="225" t="s">
        <v>134</v>
      </c>
      <c r="C44" s="225"/>
      <c r="D44" s="225"/>
      <c r="E44" s="225"/>
      <c r="H44" s="123">
        <v>267</v>
      </c>
      <c r="I44" s="123">
        <v>142</v>
      </c>
      <c r="J44" s="123">
        <v>125</v>
      </c>
      <c r="K44" s="266">
        <f>H44+I44-J44</f>
        <v>284</v>
      </c>
      <c r="L44"/>
      <c r="M44"/>
      <c r="N44"/>
      <c r="O44" s="439" t="str">
        <f t="shared" ref="O44:O45" si="16">B44</f>
        <v>Interest Income</v>
      </c>
      <c r="P44" s="440">
        <f>SUM(HVM!H47:K47)</f>
        <v>0</v>
      </c>
      <c r="Q44" s="440">
        <f t="shared" ref="Q44:Q45" si="17">SUM(H44:K44)</f>
        <v>818</v>
      </c>
      <c r="R44" s="542">
        <f t="shared" ref="R44" si="18">IFERROR(IF(P44=0,0,IF(P44=Q44,1,0)),0)</f>
        <v>0</v>
      </c>
    </row>
    <row r="45" spans="2:18" ht="15" customHeight="1">
      <c r="B45" s="225" t="s">
        <v>64</v>
      </c>
      <c r="C45" s="225"/>
      <c r="D45" s="225"/>
      <c r="E45" s="225"/>
      <c r="H45" s="267">
        <v>6</v>
      </c>
      <c r="I45" s="267">
        <v>3</v>
      </c>
      <c r="J45" s="267">
        <v>3</v>
      </c>
      <c r="K45" s="268">
        <f>H45+I45-J45</f>
        <v>6</v>
      </c>
      <c r="L45"/>
      <c r="M45"/>
      <c r="N45"/>
      <c r="O45" s="443" t="str">
        <f t="shared" si="16"/>
        <v>Income from Equity Investments 2</v>
      </c>
      <c r="P45" s="440">
        <f>SUM(HVM!H48:K48)</f>
        <v>0</v>
      </c>
      <c r="Q45" s="440">
        <f t="shared" si="17"/>
        <v>18</v>
      </c>
      <c r="R45" s="542">
        <f t="shared" ref="R45" si="19">IFERROR(IF(P45=0,0,IF(P45=Q45,1,0)),0)</f>
        <v>0</v>
      </c>
    </row>
    <row r="46" spans="2:18" ht="15" customHeight="1">
      <c r="B46" s="225" t="s">
        <v>65</v>
      </c>
      <c r="C46" s="225"/>
      <c r="D46" s="225"/>
      <c r="E46" s="225"/>
      <c r="H46" s="124">
        <f>SUM(H41:H45)</f>
        <v>2289</v>
      </c>
      <c r="I46" s="124">
        <f>SUM(I41:I45)</f>
        <v>1213</v>
      </c>
      <c r="J46" s="124">
        <f>SUM(J41:J45)</f>
        <v>1076</v>
      </c>
      <c r="K46" s="266">
        <f>H46+I46-J46</f>
        <v>2426</v>
      </c>
      <c r="L46"/>
      <c r="M46"/>
      <c r="O46" s="443" t="str">
        <f t="shared" ref="O46" si="20">B46</f>
        <v>Earnings Before Tax (EBT)</v>
      </c>
      <c r="P46" s="444">
        <f>HVM!K50</f>
        <v>0</v>
      </c>
      <c r="Q46" s="444">
        <f>HVM!H50+HVM!I50-HVM!J50</f>
        <v>0</v>
      </c>
      <c r="R46" s="544">
        <f t="shared" ref="R46" si="21">IFERROR(IF(P46=0,0,IF(P46=Q46,1,0)),0)</f>
        <v>0</v>
      </c>
    </row>
    <row r="47" spans="2:18" ht="15" customHeight="1">
      <c r="B47" s="225"/>
      <c r="C47" s="225"/>
      <c r="D47" s="225"/>
      <c r="E47" s="225"/>
      <c r="H47" s="124"/>
      <c r="I47" s="124"/>
      <c r="J47" s="124"/>
      <c r="K47" s="124"/>
      <c r="L47"/>
      <c r="M47"/>
      <c r="O47" s="431"/>
      <c r="P47" s="432"/>
      <c r="Q47" s="432"/>
      <c r="R47" s="543"/>
    </row>
    <row r="48" spans="2:18" ht="15" customHeight="1">
      <c r="B48" s="225" t="s">
        <v>66</v>
      </c>
      <c r="C48" s="225"/>
      <c r="D48" s="225"/>
      <c r="E48" s="225"/>
      <c r="H48" s="267">
        <v>-568</v>
      </c>
      <c r="I48" s="267">
        <v>-278</v>
      </c>
      <c r="J48" s="267">
        <v>-267</v>
      </c>
      <c r="K48" s="268">
        <f>H48+I48-J48</f>
        <v>-579</v>
      </c>
      <c r="L48"/>
      <c r="M48"/>
      <c r="N48"/>
      <c r="O48" s="439" t="str">
        <f t="shared" ref="O48:O49" si="22">B48</f>
        <v>Taxes</v>
      </c>
      <c r="P48" s="440">
        <f>SUM(HVM!H52:K52)</f>
        <v>0</v>
      </c>
      <c r="Q48" s="440">
        <f>SUM(H48:K48)</f>
        <v>-1692</v>
      </c>
      <c r="R48" s="542">
        <f t="shared" ref="R48" si="23">IFERROR(IF(P48=0,0,IF(P48=Q48,1,0)),0)</f>
        <v>0</v>
      </c>
    </row>
    <row r="49" spans="2:18" ht="15" customHeight="1">
      <c r="B49" s="225" t="s">
        <v>67</v>
      </c>
      <c r="C49" s="225"/>
      <c r="D49" s="225"/>
      <c r="E49" s="225"/>
      <c r="H49" s="124">
        <f>H46+H48</f>
        <v>1721</v>
      </c>
      <c r="I49" s="124">
        <f>I46+I48</f>
        <v>935</v>
      </c>
      <c r="J49" s="124">
        <f>J46+J48</f>
        <v>809</v>
      </c>
      <c r="K49" s="266">
        <f>H49+I49-J49</f>
        <v>1847</v>
      </c>
      <c r="L49" s="126"/>
      <c r="M49"/>
      <c r="O49" s="439" t="str">
        <f t="shared" si="22"/>
        <v>Consolidated Net Income</v>
      </c>
      <c r="P49" s="444">
        <f>HVM!K54</f>
        <v>0</v>
      </c>
      <c r="Q49" s="444">
        <f>HVM!H54+HVM!I54-HVM!J54</f>
        <v>0</v>
      </c>
      <c r="R49" s="544">
        <f t="shared" ref="R49" si="24">IFERROR(IF(P49=0,0,IF(P49=Q49,1,0)),0)</f>
        <v>0</v>
      </c>
    </row>
    <row r="50" spans="2:18" ht="15" customHeight="1">
      <c r="B50" s="225"/>
      <c r="C50" s="225"/>
      <c r="D50" s="225"/>
      <c r="E50" s="225"/>
      <c r="H50" s="124"/>
      <c r="I50" s="124"/>
      <c r="J50" s="124"/>
      <c r="K50" s="124"/>
      <c r="L50" s="126"/>
      <c r="M50"/>
      <c r="O50" s="431"/>
      <c r="P50" s="432"/>
      <c r="Q50" s="432"/>
      <c r="R50" s="543"/>
    </row>
    <row r="51" spans="2:18" ht="15" customHeight="1">
      <c r="B51" s="225" t="s">
        <v>68</v>
      </c>
      <c r="C51" s="225"/>
      <c r="D51" s="225"/>
      <c r="E51" s="225"/>
      <c r="H51" s="123">
        <v>-3</v>
      </c>
      <c r="I51" s="123">
        <v>-2</v>
      </c>
      <c r="J51" s="123">
        <v>-1</v>
      </c>
      <c r="K51" s="266">
        <f>H51+I51-J51</f>
        <v>-4</v>
      </c>
      <c r="L51"/>
      <c r="M51"/>
      <c r="O51" s="439" t="str">
        <f t="shared" ref="O51:O52" si="25">B51</f>
        <v>Non-Controlling Interest</v>
      </c>
      <c r="P51" s="440">
        <f>SUM(HVM!H56:K56)</f>
        <v>0</v>
      </c>
      <c r="Q51" s="440">
        <f>SUM(H51:K51)</f>
        <v>-10</v>
      </c>
      <c r="R51" s="542">
        <f t="shared" ref="R51" si="26">IFERROR(IF(P51=0,0,IF(P51=Q51,1,0)),0)</f>
        <v>0</v>
      </c>
    </row>
    <row r="52" spans="2:18" ht="15" customHeight="1" thickBot="1">
      <c r="B52" s="112" t="s">
        <v>69</v>
      </c>
      <c r="C52" s="112"/>
      <c r="D52" s="112"/>
      <c r="E52" s="112"/>
      <c r="G52" s="79"/>
      <c r="H52" s="127">
        <f>H49+H51</f>
        <v>1718</v>
      </c>
      <c r="I52" s="127">
        <f>I49+I51</f>
        <v>933</v>
      </c>
      <c r="J52" s="127">
        <f>J49+J51</f>
        <v>808</v>
      </c>
      <c r="K52" s="269">
        <f>H52+I52-J52</f>
        <v>1843</v>
      </c>
      <c r="L52"/>
      <c r="M52"/>
      <c r="O52" s="439" t="str">
        <f t="shared" si="25"/>
        <v>Net Income to Company</v>
      </c>
      <c r="P52" s="444">
        <f>HVM!K58</f>
        <v>0</v>
      </c>
      <c r="Q52" s="444">
        <f>HVM!H58+HVM!I58-HVM!J58</f>
        <v>0</v>
      </c>
      <c r="R52" s="544">
        <f t="shared" ref="R52" si="27">IFERROR(IF(P52=0,0,IF(P52=Q52,1,0)),0)</f>
        <v>0</v>
      </c>
    </row>
    <row r="53" spans="2:18" ht="15" customHeight="1">
      <c r="B53" s="225"/>
      <c r="C53" s="225"/>
      <c r="D53" s="225"/>
      <c r="E53" s="225"/>
      <c r="H53" s="128"/>
      <c r="I53" s="129"/>
      <c r="J53" s="129"/>
      <c r="K53" s="129"/>
      <c r="L53" s="129"/>
      <c r="M53" s="105"/>
      <c r="O53" s="431"/>
      <c r="P53" s="432"/>
      <c r="Q53" s="432"/>
      <c r="R53" s="543"/>
    </row>
    <row r="54" spans="2:18" ht="15" customHeight="1">
      <c r="B54" s="225"/>
      <c r="C54" s="225"/>
      <c r="D54" s="225"/>
      <c r="E54" s="225"/>
      <c r="H54" s="128"/>
      <c r="I54" s="129"/>
      <c r="J54" s="129"/>
      <c r="K54" s="129"/>
      <c r="L54" s="129"/>
      <c r="M54" s="105"/>
      <c r="O54" s="431"/>
      <c r="P54" s="432"/>
      <c r="Q54" s="432"/>
      <c r="R54" s="543"/>
    </row>
    <row r="55" spans="2:18" ht="15" customHeight="1">
      <c r="B55" s="225" t="s">
        <v>71</v>
      </c>
      <c r="C55" s="225"/>
      <c r="D55" s="225"/>
      <c r="E55" s="225"/>
      <c r="G55" s="117" t="s">
        <v>72</v>
      </c>
      <c r="H55" s="123">
        <v>764.2</v>
      </c>
      <c r="I55" s="123">
        <v>773.2</v>
      </c>
      <c r="J55" s="123">
        <v>752.8</v>
      </c>
      <c r="K55" s="124">
        <f>K52/K57</f>
        <v>773.89828559052739</v>
      </c>
      <c r="M55" s="105"/>
      <c r="N55" s="243"/>
      <c r="O55" s="439" t="str">
        <f t="shared" ref="O55" si="28">B55</f>
        <v>Weighted Average Diluted Shares</v>
      </c>
      <c r="P55" s="444">
        <f>SUM(HVM!H61:K61)</f>
        <v>0</v>
      </c>
      <c r="Q55" s="444">
        <f>SUM(H55:K55)</f>
        <v>3064.0982855905272</v>
      </c>
      <c r="R55" s="544">
        <f t="shared" ref="R55" si="29">IFERROR(IF(P55=0,0,IF(P55=Q55,1,0)),0)</f>
        <v>0</v>
      </c>
    </row>
    <row r="56" spans="2:18" ht="15" customHeight="1">
      <c r="B56" s="225"/>
      <c r="C56" s="225"/>
      <c r="D56" s="225"/>
      <c r="E56" s="225"/>
      <c r="G56" s="117"/>
      <c r="H56" s="123"/>
      <c r="I56" s="123"/>
      <c r="J56" s="123"/>
      <c r="K56" s="124"/>
      <c r="M56" s="105"/>
      <c r="O56" s="431"/>
      <c r="P56" s="432"/>
      <c r="Q56" s="432"/>
      <c r="R56" s="543"/>
    </row>
    <row r="57" spans="2:18" ht="15" customHeight="1">
      <c r="B57" s="225" t="s">
        <v>70</v>
      </c>
      <c r="C57" s="225"/>
      <c r="D57" s="225"/>
      <c r="E57" s="225"/>
      <c r="G57" s="117" t="s">
        <v>28</v>
      </c>
      <c r="H57" s="147">
        <f>H52/H55</f>
        <v>2.2481025909447787</v>
      </c>
      <c r="I57" s="147">
        <f>I52/I55</f>
        <v>1.2066735644076565</v>
      </c>
      <c r="J57" s="147">
        <f>J52/J55</f>
        <v>1.073326248671626</v>
      </c>
      <c r="K57" s="147">
        <f>H57+I57-J57</f>
        <v>2.3814499066808095</v>
      </c>
      <c r="L57"/>
      <c r="M57"/>
      <c r="O57" s="437" t="str">
        <f t="shared" ref="O57" si="30">B57</f>
        <v>Diluted EPS</v>
      </c>
      <c r="P57" s="445">
        <f>HVM!K63</f>
        <v>0</v>
      </c>
      <c r="Q57" s="445" t="e">
        <f>HVM!H63+HVM!I63-HVM!J63</f>
        <v>#DIV/0!</v>
      </c>
      <c r="R57" s="545">
        <f t="shared" ref="R57" si="31">IFERROR(IF(P57=0,0,IF(P57=Q57,1,0)),0)</f>
        <v>0</v>
      </c>
    </row>
    <row r="58" spans="2:18" ht="15" customHeight="1">
      <c r="B58" s="225"/>
      <c r="C58" s="225"/>
      <c r="D58" s="225"/>
      <c r="E58" s="225"/>
      <c r="H58"/>
      <c r="I58" s="129"/>
      <c r="J58" s="129"/>
      <c r="K58" s="176"/>
      <c r="L58"/>
      <c r="M58"/>
    </row>
    <row r="59" spans="2:18" ht="15" customHeight="1">
      <c r="B59" s="225"/>
      <c r="C59" s="225"/>
      <c r="D59" s="225"/>
      <c r="E59" s="225"/>
      <c r="H59"/>
      <c r="I59" s="129"/>
      <c r="J59" s="129"/>
      <c r="K59" s="176"/>
      <c r="L59"/>
      <c r="M59"/>
    </row>
    <row r="60" spans="2:18" ht="15" customHeight="1">
      <c r="H60" s="123"/>
      <c r="I60" s="123"/>
      <c r="J60" s="123"/>
    </row>
    <row r="61" spans="2:18" ht="15" customHeight="1" thickBot="1">
      <c r="B61" s="148" t="s">
        <v>139</v>
      </c>
      <c r="C61" s="233"/>
      <c r="D61" s="233"/>
      <c r="H61" s="123"/>
      <c r="I61" s="123"/>
      <c r="J61" s="123"/>
      <c r="O61" s="446" t="s">
        <v>139</v>
      </c>
      <c r="P61" s="429" t="s">
        <v>142</v>
      </c>
      <c r="Q61" s="429" t="s">
        <v>143</v>
      </c>
      <c r="R61" s="430" t="s">
        <v>144</v>
      </c>
    </row>
    <row r="62" spans="2:18" ht="15" customHeight="1">
      <c r="B62" s="253" t="s">
        <v>67</v>
      </c>
      <c r="H62" s="124">
        <f>H49</f>
        <v>1721</v>
      </c>
      <c r="I62" s="124">
        <f t="shared" ref="I62:J62" si="32">I49</f>
        <v>935</v>
      </c>
      <c r="J62" s="124">
        <f t="shared" si="32"/>
        <v>809</v>
      </c>
      <c r="K62" s="266">
        <f>H62+I62-J62</f>
        <v>1847</v>
      </c>
      <c r="O62" s="443" t="str">
        <f>B62</f>
        <v>Consolidated Net Income</v>
      </c>
      <c r="P62" s="440">
        <f>SUM(HVM!H68:K68)</f>
        <v>0</v>
      </c>
      <c r="Q62" s="440">
        <f>SUM(HVM!H54:K54)</f>
        <v>0</v>
      </c>
      <c r="R62" s="542">
        <f t="shared" ref="R62:R67" si="33">IFERROR(IF(P62=0,0,IF(P62=Q62,1,0)),0)</f>
        <v>0</v>
      </c>
    </row>
    <row r="63" spans="2:18" ht="15" customHeight="1">
      <c r="B63" s="257" t="s">
        <v>147</v>
      </c>
      <c r="H63" s="124">
        <f>-H48</f>
        <v>568</v>
      </c>
      <c r="I63" s="124">
        <f>-I48</f>
        <v>278</v>
      </c>
      <c r="J63" s="124">
        <f>-J48</f>
        <v>267</v>
      </c>
      <c r="K63" s="266">
        <f>H63+I63-J63</f>
        <v>579</v>
      </c>
      <c r="O63" s="443" t="str">
        <f>B63</f>
        <v>Plus: Taxes</v>
      </c>
      <c r="P63" s="440">
        <f>SUM(HVM!H69:K69)</f>
        <v>0</v>
      </c>
      <c r="Q63" s="440">
        <f>-SUM(HVM!H52:K52)</f>
        <v>0</v>
      </c>
      <c r="R63" s="542">
        <f>IFERROR(IF(P63=0,0,IF(P63=Q63,1,0)),0)</f>
        <v>0</v>
      </c>
    </row>
    <row r="64" spans="2:18" ht="15" customHeight="1">
      <c r="B64" s="369" t="s">
        <v>158</v>
      </c>
      <c r="H64" s="124">
        <f>-H45</f>
        <v>-6</v>
      </c>
      <c r="I64" s="124">
        <f t="shared" ref="I64:J64" si="34">-I45</f>
        <v>-3</v>
      </c>
      <c r="J64" s="124">
        <f t="shared" si="34"/>
        <v>-3</v>
      </c>
      <c r="K64" s="266">
        <f>H64+I64-J64</f>
        <v>-6</v>
      </c>
      <c r="O64" s="443" t="str">
        <f>B64</f>
        <v>Less: Income from Equity Investments</v>
      </c>
      <c r="P64" s="440">
        <f>SUM(HVM!H70:K70)</f>
        <v>0</v>
      </c>
      <c r="Q64" s="440">
        <f>-SUM(HVM!H48:K48)</f>
        <v>0</v>
      </c>
      <c r="R64" s="542">
        <f>IFERROR(IF(P64=0,0,IF(P64=Q64,1,0)),0)</f>
        <v>0</v>
      </c>
    </row>
    <row r="65" spans="1:18" ht="15" customHeight="1">
      <c r="B65" s="257" t="s">
        <v>146</v>
      </c>
      <c r="H65" s="124">
        <f>-SUM(H43:H44)</f>
        <v>538</v>
      </c>
      <c r="I65" s="124">
        <f>-SUM(I43:I44)</f>
        <v>285</v>
      </c>
      <c r="J65" s="124">
        <f>-SUM(J43:J44)</f>
        <v>253</v>
      </c>
      <c r="K65" s="266">
        <f t="shared" ref="K65:K66" si="35">H65+I65-J65</f>
        <v>570</v>
      </c>
      <c r="O65" s="443" t="str">
        <f t="shared" ref="O65:O66" si="36">B65</f>
        <v>Plus: Net Interest</v>
      </c>
      <c r="P65" s="440">
        <f>SUM(HVM!H71:K71)</f>
        <v>0</v>
      </c>
      <c r="Q65" s="440">
        <f>-SUM(HVM!H46:K47)</f>
        <v>0</v>
      </c>
      <c r="R65" s="542">
        <f t="shared" si="33"/>
        <v>0</v>
      </c>
    </row>
    <row r="66" spans="1:18" ht="15" customHeight="1">
      <c r="B66" s="257" t="s">
        <v>148</v>
      </c>
      <c r="H66" s="123">
        <v>1744</v>
      </c>
      <c r="I66" s="123">
        <v>451</v>
      </c>
      <c r="J66" s="123">
        <v>872</v>
      </c>
      <c r="K66" s="266">
        <f t="shared" si="35"/>
        <v>1323</v>
      </c>
      <c r="O66" s="443" t="str">
        <f t="shared" si="36"/>
        <v>Plus: Depreciation</v>
      </c>
      <c r="P66" s="440">
        <f>SUM(HVM!H72:K72)</f>
        <v>0</v>
      </c>
      <c r="Q66" s="440">
        <f>SUM(H66:K66)</f>
        <v>4390</v>
      </c>
      <c r="R66" s="542">
        <f t="shared" si="33"/>
        <v>0</v>
      </c>
    </row>
    <row r="67" spans="1:18" ht="15" customHeight="1">
      <c r="B67" s="253" t="s">
        <v>30</v>
      </c>
      <c r="H67" s="232">
        <f>SUM(H62:H66)</f>
        <v>4565</v>
      </c>
      <c r="I67" s="232">
        <f>SUM(I62:I66)</f>
        <v>1946</v>
      </c>
      <c r="J67" s="232">
        <f>SUM(J62:J66)</f>
        <v>2198</v>
      </c>
      <c r="K67" s="232">
        <f>SUM(K62:K66)</f>
        <v>4313</v>
      </c>
      <c r="O67" s="447" t="str">
        <f t="shared" ref="O67" si="37">B67</f>
        <v>EBITDA</v>
      </c>
      <c r="P67" s="448">
        <f>SUM(HVM!H74:K74)</f>
        <v>0</v>
      </c>
      <c r="Q67" s="448">
        <f>SUM(HVM!H68:K72)</f>
        <v>0</v>
      </c>
      <c r="R67" s="545">
        <f t="shared" si="33"/>
        <v>0</v>
      </c>
    </row>
    <row r="68" spans="1:18" ht="15" customHeight="1">
      <c r="H68" s="123"/>
      <c r="I68" s="123"/>
      <c r="J68" s="123"/>
      <c r="K68" s="123"/>
    </row>
    <row r="69" spans="1:18" ht="15" customHeight="1">
      <c r="H69" s="123"/>
      <c r="I69" s="123"/>
      <c r="J69" s="123"/>
    </row>
    <row r="70" spans="1:18" ht="15" customHeight="1">
      <c r="H70" s="123"/>
      <c r="I70" s="123"/>
      <c r="J70" s="123"/>
      <c r="K70" s="230" t="s">
        <v>95</v>
      </c>
    </row>
    <row r="71" spans="1:18" ht="15" customHeight="1">
      <c r="H71" s="123"/>
      <c r="I71" s="123"/>
      <c r="J71" s="123"/>
      <c r="K71" s="229" t="s">
        <v>73</v>
      </c>
    </row>
    <row r="72" spans="1:18" ht="15" customHeight="1">
      <c r="G72" s="129"/>
      <c r="H72" s="129"/>
      <c r="I72" s="129"/>
      <c r="J72" s="227"/>
    </row>
    <row r="73" spans="1:18" ht="15" customHeight="1">
      <c r="B73" s="224"/>
      <c r="C73" s="224"/>
      <c r="D73" s="224"/>
      <c r="E73" s="224"/>
      <c r="F73" s="224"/>
      <c r="G73" s="130"/>
      <c r="H73" s="130"/>
      <c r="I73" s="130"/>
      <c r="J73" s="228"/>
      <c r="K73" s="224"/>
      <c r="L73" s="231"/>
      <c r="M73" s="230"/>
    </row>
    <row r="74" spans="1:18" ht="15" customHeight="1">
      <c r="G74" s="129"/>
      <c r="H74" s="129"/>
      <c r="I74" s="129"/>
      <c r="J74" s="227"/>
      <c r="L74" s="230"/>
      <c r="M74" s="230"/>
    </row>
    <row r="75" spans="1:18" ht="15" customHeight="1">
      <c r="A75" s="223" t="s">
        <v>0</v>
      </c>
      <c r="B75" s="239" t="str">
        <f>CONCATENATE($F$10&amp;": Forward Growth Estimates")</f>
        <v>Harvest Market: Forward Growth Estimates</v>
      </c>
      <c r="C75" s="240"/>
      <c r="D75" s="241"/>
      <c r="E75" s="241"/>
      <c r="F75" s="241"/>
      <c r="G75" s="241"/>
      <c r="H75" s="241"/>
      <c r="I75" s="241"/>
      <c r="J75" s="241"/>
      <c r="K75" s="241"/>
      <c r="L75" s="241"/>
      <c r="M75" s="182"/>
    </row>
    <row r="76" spans="1:18" ht="15" customHeight="1">
      <c r="G76" s="129"/>
      <c r="H76" s="129"/>
      <c r="I76" s="129"/>
      <c r="J76" s="227"/>
    </row>
    <row r="77" spans="1:18" ht="15" customHeight="1">
      <c r="B77" s="33" t="s">
        <v>19</v>
      </c>
      <c r="C77" s="33"/>
      <c r="D77" s="33"/>
      <c r="E77" s="33"/>
      <c r="G77" s="129"/>
      <c r="H77" s="129"/>
      <c r="I77" s="129"/>
      <c r="J77" s="227"/>
    </row>
    <row r="78" spans="1:18" ht="15" customHeight="1" thickBot="1">
      <c r="B78" s="33"/>
      <c r="C78" s="33"/>
      <c r="D78" s="33"/>
      <c r="E78" s="33"/>
      <c r="H78" s="129"/>
      <c r="I78" s="129"/>
      <c r="J78" s="129"/>
      <c r="K78" s="227"/>
      <c r="O78" s="446" t="s">
        <v>149</v>
      </c>
      <c r="P78" s="429" t="s">
        <v>142</v>
      </c>
      <c r="Q78" s="429" t="s">
        <v>143</v>
      </c>
      <c r="R78" s="430" t="s">
        <v>144</v>
      </c>
    </row>
    <row r="79" spans="1:18" ht="15" customHeight="1">
      <c r="H79" s="259">
        <v>2023</v>
      </c>
      <c r="I79" s="260">
        <f>H79+1</f>
        <v>2024</v>
      </c>
      <c r="J79" s="261">
        <f>I79+1</f>
        <v>2025</v>
      </c>
      <c r="N79"/>
      <c r="O79" s="443" t="s">
        <v>145</v>
      </c>
      <c r="P79" s="440">
        <f>SUM(HVM!I86:J86)</f>
        <v>0</v>
      </c>
      <c r="Q79" s="440">
        <f>SUM(I79:J79)</f>
        <v>4049</v>
      </c>
      <c r="R79" s="542">
        <f>IFERROR(IF(P79=0,0,IF(P79=Q79,1,0)),0)</f>
        <v>0</v>
      </c>
    </row>
    <row r="80" spans="1:18" ht="15" customHeight="1" thickBot="1">
      <c r="B80" s="148" t="s">
        <v>96</v>
      </c>
      <c r="C80" s="148"/>
      <c r="D80" s="148"/>
      <c r="E80" s="79"/>
      <c r="G80" s="79"/>
      <c r="H80" s="144">
        <f>H$33</f>
        <v>45291</v>
      </c>
      <c r="I80" s="141">
        <f>EOMONTH(H80,12)</f>
        <v>45657</v>
      </c>
      <c r="J80" s="141">
        <f t="shared" ref="J80" si="38">EOMONTH(I80,12)</f>
        <v>46022</v>
      </c>
      <c r="K80" s="226"/>
      <c r="N80"/>
      <c r="O80" s="443" t="s">
        <v>145</v>
      </c>
      <c r="P80" s="440">
        <f>SUM(HVM!I87:J87)</f>
        <v>0</v>
      </c>
      <c r="Q80" s="440">
        <f>SUM(I80:J80)</f>
        <v>91679</v>
      </c>
      <c r="R80" s="542">
        <f t="shared" ref="R80:R90" si="39">IFERROR(IF(P80=0,0,IF(P80=Q80,1,0)),0)</f>
        <v>0</v>
      </c>
    </row>
    <row r="81" spans="2:18" ht="15" customHeight="1">
      <c r="B81" s="79"/>
      <c r="C81" s="79"/>
      <c r="D81" s="79"/>
      <c r="E81" s="79"/>
      <c r="G81" s="79"/>
      <c r="H81" s="150"/>
      <c r="I81" s="151"/>
      <c r="J81" s="151"/>
      <c r="N81"/>
      <c r="O81" s="434"/>
      <c r="P81" s="435"/>
      <c r="Q81" s="435"/>
      <c r="R81" s="542"/>
    </row>
    <row r="82" spans="2:18" ht="15" customHeight="1">
      <c r="B82" s="79"/>
      <c r="C82" s="79"/>
      <c r="D82" s="79"/>
      <c r="E82" s="79"/>
      <c r="G82" s="79"/>
      <c r="H82" s="177"/>
      <c r="I82" s="132"/>
      <c r="J82" s="132"/>
      <c r="N82"/>
      <c r="O82" s="434"/>
      <c r="P82" s="435"/>
      <c r="Q82" s="435"/>
      <c r="R82" s="542"/>
    </row>
    <row r="83" spans="2:18" ht="15" customHeight="1">
      <c r="B83" s="225" t="s">
        <v>40</v>
      </c>
      <c r="C83" s="225"/>
      <c r="D83" s="225"/>
      <c r="E83" s="225"/>
      <c r="H83" s="124">
        <f>H36</f>
        <v>68187</v>
      </c>
      <c r="I83" s="133">
        <v>74466</v>
      </c>
      <c r="J83" s="133">
        <v>80719</v>
      </c>
      <c r="N83"/>
      <c r="O83" s="443" t="str">
        <f>B83</f>
        <v>Revenue</v>
      </c>
      <c r="P83" s="440">
        <f>HVM!H90</f>
        <v>0</v>
      </c>
      <c r="Q83" s="440">
        <f>HVM!H37</f>
        <v>0</v>
      </c>
      <c r="R83" s="542">
        <f t="shared" si="39"/>
        <v>0</v>
      </c>
    </row>
    <row r="84" spans="2:18" ht="15" customHeight="1">
      <c r="B84" s="169" t="s">
        <v>90</v>
      </c>
      <c r="C84" s="169"/>
      <c r="D84" s="169"/>
      <c r="E84" s="169"/>
      <c r="G84" s="167"/>
      <c r="H84" s="168"/>
      <c r="I84" s="262">
        <f>I83/H83-1</f>
        <v>9.208500153988286E-2</v>
      </c>
      <c r="J84" s="262">
        <f>J83/I83-1</f>
        <v>8.3971208336690584E-2</v>
      </c>
      <c r="O84" s="449" t="str">
        <f>B84</f>
        <v>YoY Growth</v>
      </c>
      <c r="P84" s="450">
        <f>SUM(HVM!I92:J92)</f>
        <v>0</v>
      </c>
      <c r="Q84" s="450">
        <f>SUM(I84:J84)</f>
        <v>0.17605620987657344</v>
      </c>
      <c r="R84" s="542">
        <f t="shared" si="39"/>
        <v>0</v>
      </c>
    </row>
    <row r="85" spans="2:18" ht="15" customHeight="1">
      <c r="B85" s="225"/>
      <c r="C85" s="225"/>
      <c r="D85" s="225"/>
      <c r="E85" s="225"/>
      <c r="H85" s="124"/>
      <c r="I85" s="133"/>
      <c r="J85" s="133"/>
      <c r="O85" s="434"/>
      <c r="P85" s="435"/>
      <c r="Q85" s="432"/>
      <c r="R85" s="542"/>
    </row>
    <row r="86" spans="2:18" ht="15" customHeight="1">
      <c r="B86" s="225" t="s">
        <v>30</v>
      </c>
      <c r="C86" s="225"/>
      <c r="D86" s="225"/>
      <c r="E86" s="225"/>
      <c r="H86" s="124">
        <f>H67</f>
        <v>4565</v>
      </c>
      <c r="I86" s="123">
        <v>5036</v>
      </c>
      <c r="J86" s="123">
        <v>5496</v>
      </c>
      <c r="O86" s="443" t="str">
        <f>B86</f>
        <v>EBITDA</v>
      </c>
      <c r="P86" s="440">
        <f>HVM!H94</f>
        <v>0</v>
      </c>
      <c r="Q86" s="440">
        <f>HVM!H74</f>
        <v>0</v>
      </c>
      <c r="R86" s="542">
        <f t="shared" si="39"/>
        <v>0</v>
      </c>
    </row>
    <row r="87" spans="2:18" ht="15" customHeight="1">
      <c r="B87" s="169" t="s">
        <v>90</v>
      </c>
      <c r="C87" s="169"/>
      <c r="D87" s="169"/>
      <c r="E87" s="169"/>
      <c r="G87" s="167"/>
      <c r="H87" s="168"/>
      <c r="I87" s="262">
        <f>I86/H86-1</f>
        <v>0.10317634173055867</v>
      </c>
      <c r="J87" s="262">
        <f>J86/I86-1</f>
        <v>9.1342335186656021E-2</v>
      </c>
      <c r="O87" s="449" t="str">
        <f>B87</f>
        <v>YoY Growth</v>
      </c>
      <c r="P87" s="450">
        <f>SUM(HVM!I96:J96)</f>
        <v>0</v>
      </c>
      <c r="Q87" s="450">
        <f>SUM(I87:J87)</f>
        <v>0.19451867691721469</v>
      </c>
      <c r="R87" s="542">
        <f t="shared" si="39"/>
        <v>0</v>
      </c>
    </row>
    <row r="88" spans="2:18" ht="15" customHeight="1">
      <c r="B88" s="225"/>
      <c r="C88" s="225"/>
      <c r="D88" s="225"/>
      <c r="E88" s="225"/>
      <c r="H88" s="124"/>
      <c r="I88" s="133"/>
      <c r="J88" s="133"/>
      <c r="O88" s="434"/>
      <c r="P88" s="435"/>
      <c r="Q88" s="432"/>
      <c r="R88" s="542"/>
    </row>
    <row r="89" spans="2:18" ht="15" customHeight="1">
      <c r="B89" s="225" t="s">
        <v>70</v>
      </c>
      <c r="C89" s="225"/>
      <c r="D89" s="225"/>
      <c r="E89" s="225"/>
      <c r="G89" s="117" t="s">
        <v>28</v>
      </c>
      <c r="H89" s="147">
        <f>H57</f>
        <v>2.2481025909447787</v>
      </c>
      <c r="I89" s="134">
        <v>2.48</v>
      </c>
      <c r="J89" s="134">
        <v>2.69</v>
      </c>
      <c r="L89" s="165"/>
      <c r="O89" s="443" t="str">
        <f>B89</f>
        <v>Diluted EPS</v>
      </c>
      <c r="P89" s="451">
        <f>HVM!H98</f>
        <v>0</v>
      </c>
      <c r="Q89" s="451" t="e">
        <f>HVM!H63</f>
        <v>#DIV/0!</v>
      </c>
      <c r="R89" s="542">
        <f t="shared" si="39"/>
        <v>0</v>
      </c>
    </row>
    <row r="90" spans="2:18" ht="15" customHeight="1">
      <c r="B90" s="169" t="s">
        <v>90</v>
      </c>
      <c r="C90" s="169"/>
      <c r="D90" s="169"/>
      <c r="E90" s="169"/>
      <c r="G90" s="167"/>
      <c r="H90" s="168"/>
      <c r="I90" s="262">
        <f>I89/H89-1</f>
        <v>0.10315250291036104</v>
      </c>
      <c r="J90" s="262">
        <f>J89/I89-1</f>
        <v>8.4677419354838745E-2</v>
      </c>
      <c r="L90" s="166"/>
      <c r="O90" s="452" t="str">
        <f>B90</f>
        <v>YoY Growth</v>
      </c>
      <c r="P90" s="453">
        <f>SUM(HVM!I100:J100)</f>
        <v>0</v>
      </c>
      <c r="Q90" s="453">
        <f>SUM(I90:J90)</f>
        <v>0.18782992226519979</v>
      </c>
      <c r="R90" s="541">
        <f t="shared" si="39"/>
        <v>0</v>
      </c>
    </row>
    <row r="91" spans="2:18" ht="15" customHeight="1">
      <c r="B91" s="225"/>
      <c r="C91" s="225"/>
      <c r="D91" s="225"/>
      <c r="E91" s="225"/>
      <c r="H91" s="124"/>
      <c r="I91" s="133"/>
      <c r="J91" s="133"/>
      <c r="L91" s="166"/>
      <c r="N91"/>
      <c r="O91"/>
      <c r="P91"/>
      <c r="R91" s="534"/>
    </row>
    <row r="92" spans="2:18" ht="15" customHeight="1">
      <c r="B92" s="225"/>
      <c r="C92" s="225"/>
      <c r="D92" s="225"/>
      <c r="E92" s="225"/>
      <c r="H92" s="124"/>
      <c r="I92" s="133"/>
      <c r="J92" s="133"/>
      <c r="L92" s="166"/>
      <c r="N92"/>
      <c r="O92"/>
      <c r="P92"/>
      <c r="R92" s="534"/>
    </row>
    <row r="93" spans="2:18" ht="15" customHeight="1">
      <c r="B93" s="225"/>
      <c r="C93" s="225"/>
      <c r="D93" s="225"/>
      <c r="E93" s="225"/>
      <c r="H93" s="124"/>
      <c r="I93" s="133"/>
      <c r="J93" s="133"/>
      <c r="L93" s="166"/>
      <c r="N93"/>
      <c r="O93"/>
      <c r="P93"/>
      <c r="R93" s="534"/>
    </row>
    <row r="94" spans="2:18" ht="15" customHeight="1">
      <c r="B94" s="225"/>
      <c r="C94" s="225"/>
      <c r="D94" s="225"/>
      <c r="E94" s="225"/>
      <c r="H94" s="124"/>
      <c r="I94" s="133"/>
      <c r="J94" s="175" t="s">
        <v>97</v>
      </c>
      <c r="L94" s="166"/>
      <c r="N94"/>
      <c r="O94"/>
      <c r="P94"/>
      <c r="R94" s="534"/>
    </row>
    <row r="95" spans="2:18" ht="15" customHeight="1">
      <c r="R95" s="534"/>
    </row>
    <row r="96" spans="2:18" ht="15" customHeight="1"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R96" s="534"/>
    </row>
    <row r="97" spans="18:24" ht="15" customHeight="1">
      <c r="R97" s="534"/>
      <c r="X97" s="532" t="s">
        <v>0</v>
      </c>
    </row>
    <row r="98" spans="18:24" ht="15" customHeight="1">
      <c r="R98" s="534"/>
    </row>
    <row r="99" spans="18:24" ht="15" customHeight="1">
      <c r="R99" s="534"/>
    </row>
    <row r="100" spans="18:24" ht="15" customHeight="1">
      <c r="R100" s="534"/>
    </row>
    <row r="101" spans="18:24" ht="15" customHeight="1">
      <c r="R101" s="534"/>
    </row>
    <row r="102" spans="18:24" ht="15" customHeight="1">
      <c r="R102" s="534"/>
    </row>
    <row r="103" spans="18:24" ht="15" customHeight="1">
      <c r="R103" s="534"/>
    </row>
    <row r="104" spans="18:24" ht="15" customHeight="1">
      <c r="R104" s="534"/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colBreaks count="1" manualBreakCount="1">
    <brk id="1" max="1048575" man="1"/>
  </col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40A4-76E0-467F-A59D-CF92B3F73A4E}">
  <sheetPr>
    <pageSetUpPr autoPageBreaks="0"/>
  </sheetPr>
  <dimension ref="A1:O41"/>
  <sheetViews>
    <sheetView showGridLines="0" zoomScaleNormal="100" zoomScaleSheetLayoutView="145" workbookViewId="0">
      <pane ySplit="1" topLeftCell="A2" activePane="bottomLeft" state="frozen"/>
      <selection pane="bottomLeft"/>
    </sheetView>
  </sheetViews>
  <sheetFormatPr defaultColWidth="11.7109375" defaultRowHeight="15" customHeight="1" outlineLevelRow="1"/>
  <cols>
    <col min="1" max="1" width="5.7109375" style="1" customWidth="1"/>
    <col min="2" max="2" width="29.28515625" style="1" bestFit="1" customWidth="1"/>
    <col min="3" max="3" width="17.5703125" style="1" bestFit="1" customWidth="1"/>
    <col min="4" max="4" width="16.85546875" style="1" bestFit="1" customWidth="1"/>
    <col min="5" max="6" width="10.7109375" style="1" customWidth="1"/>
    <col min="7" max="7" width="8.7109375" style="1" customWidth="1"/>
    <col min="8" max="8" width="13.5703125" style="1" bestFit="1" customWidth="1"/>
    <col min="9" max="9" width="11.7109375" style="1" customWidth="1"/>
    <col min="10" max="11" width="10.7109375" style="1" customWidth="1"/>
    <col min="12" max="13" width="6.7109375" style="1" customWidth="1"/>
    <col min="14" max="14" width="7.140625" style="1" bestFit="1" customWidth="1"/>
    <col min="15" max="15" width="6.7109375" style="1" customWidth="1"/>
    <col min="16" max="16384" width="11.7109375" style="1"/>
  </cols>
  <sheetData>
    <row r="1" spans="1:15" s="104" customFormat="1" ht="50.1" customHeight="1"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194"/>
    </row>
    <row r="2" spans="1:15" ht="15" customHeight="1">
      <c r="B2" s="51"/>
    </row>
    <row r="3" spans="1:15" ht="15" customHeight="1">
      <c r="A3" s="1" t="s">
        <v>0</v>
      </c>
      <c r="B3" s="239" t="s">
        <v>8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195"/>
    </row>
    <row r="4" spans="1:15" ht="15" customHeight="1" outlineLevel="1"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1:15" ht="15" customHeight="1" outlineLevel="1">
      <c r="A5" s="103"/>
      <c r="B5" s="35" t="s">
        <v>19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</row>
    <row r="6" spans="1:15" ht="15" customHeight="1" outlineLevel="1">
      <c r="B6" s="102"/>
      <c r="C6" s="82"/>
      <c r="D6" s="82"/>
      <c r="E6" s="82"/>
      <c r="F6" s="82"/>
      <c r="G6" s="82"/>
      <c r="H6" s="82"/>
      <c r="I6" s="82"/>
      <c r="J6" s="82"/>
      <c r="K6" s="82"/>
    </row>
    <row r="7" spans="1:15" s="96" customFormat="1" ht="15" customHeight="1" outlineLevel="1">
      <c r="B7" s="101"/>
      <c r="C7" s="101"/>
      <c r="D7" s="101"/>
      <c r="E7" s="100" t="s">
        <v>108</v>
      </c>
      <c r="F7" s="100" t="s">
        <v>34</v>
      </c>
      <c r="G7" s="100" t="s">
        <v>108</v>
      </c>
      <c r="H7" s="100" t="s">
        <v>107</v>
      </c>
      <c r="I7" s="155"/>
      <c r="J7" s="210" t="s">
        <v>89</v>
      </c>
      <c r="K7" s="71"/>
      <c r="L7" s="152"/>
      <c r="M7" s="155"/>
      <c r="N7" s="158"/>
      <c r="O7" s="196"/>
    </row>
    <row r="8" spans="1:15" s="96" customFormat="1" ht="15" customHeight="1" outlineLevel="1">
      <c r="B8" s="328" t="s">
        <v>157</v>
      </c>
      <c r="C8" s="328" t="s">
        <v>36</v>
      </c>
      <c r="D8" s="328" t="s">
        <v>35</v>
      </c>
      <c r="E8" s="153" t="s">
        <v>75</v>
      </c>
      <c r="F8" s="177" t="s">
        <v>106</v>
      </c>
      <c r="G8" s="153" t="s">
        <v>109</v>
      </c>
      <c r="H8" s="153" t="s">
        <v>85</v>
      </c>
      <c r="I8" s="201" t="s">
        <v>30</v>
      </c>
      <c r="J8" s="202" t="s">
        <v>30</v>
      </c>
      <c r="K8" s="71" t="s">
        <v>91</v>
      </c>
      <c r="L8" s="152"/>
      <c r="M8" s="201" t="s">
        <v>86</v>
      </c>
      <c r="N8" s="202" t="s">
        <v>87</v>
      </c>
      <c r="O8" s="153"/>
    </row>
    <row r="9" spans="1:15" s="96" customFormat="1" ht="5.0999999999999996" customHeight="1" outlineLevel="1">
      <c r="B9" s="313" t="s">
        <v>0</v>
      </c>
      <c r="C9" s="313" t="s">
        <v>0</v>
      </c>
      <c r="D9" s="313" t="s">
        <v>0</v>
      </c>
      <c r="E9" s="309" t="s">
        <v>0</v>
      </c>
      <c r="F9" s="329" t="s">
        <v>0</v>
      </c>
      <c r="G9" s="309" t="s">
        <v>0</v>
      </c>
      <c r="H9" s="309" t="s">
        <v>0</v>
      </c>
      <c r="I9" s="321" t="s">
        <v>0</v>
      </c>
      <c r="J9" s="310" t="s">
        <v>0</v>
      </c>
      <c r="K9" s="322" t="s">
        <v>0</v>
      </c>
      <c r="L9" s="312" t="s">
        <v>0</v>
      </c>
      <c r="M9" s="321" t="s">
        <v>0</v>
      </c>
      <c r="N9" s="310" t="s">
        <v>0</v>
      </c>
      <c r="O9" s="153"/>
    </row>
    <row r="10" spans="1:15" s="92" customFormat="1" ht="15" customHeight="1" outlineLevel="1">
      <c r="B10" s="95" t="s">
        <v>33</v>
      </c>
      <c r="C10" s="93"/>
      <c r="D10" s="93"/>
      <c r="E10" s="170" t="s">
        <v>28</v>
      </c>
      <c r="F10" s="93"/>
      <c r="G10" s="94"/>
      <c r="H10" s="94"/>
      <c r="I10" s="323" t="s">
        <v>88</v>
      </c>
      <c r="J10" s="214" t="s">
        <v>88</v>
      </c>
      <c r="K10" s="323" t="s">
        <v>92</v>
      </c>
      <c r="L10" s="214" t="s">
        <v>98</v>
      </c>
      <c r="M10" s="323" t="s">
        <v>88</v>
      </c>
      <c r="N10" s="214" t="s">
        <v>88</v>
      </c>
      <c r="O10" s="93"/>
    </row>
    <row r="11" spans="1:15" s="92" customFormat="1" ht="15" customHeight="1" outlineLevel="1">
      <c r="B11" s="95"/>
      <c r="C11" s="93"/>
      <c r="D11" s="93"/>
      <c r="E11" s="93"/>
      <c r="F11" s="93"/>
      <c r="G11" s="94"/>
      <c r="H11" s="94"/>
      <c r="I11" s="323"/>
      <c r="J11" s="214"/>
      <c r="K11" s="323"/>
      <c r="L11" s="214"/>
      <c r="M11" s="323"/>
      <c r="N11" s="214"/>
      <c r="O11" s="93"/>
    </row>
    <row r="12" spans="1:15" s="85" customFormat="1" ht="15" customHeight="1" outlineLevel="1">
      <c r="B12" s="342">
        <f>GPT!F12</f>
        <v>45112</v>
      </c>
      <c r="C12" s="454"/>
      <c r="D12" s="454"/>
      <c r="E12" s="455"/>
      <c r="F12" s="456"/>
      <c r="G12" s="395"/>
      <c r="H12" s="457"/>
      <c r="I12" s="382"/>
      <c r="J12" s="383"/>
      <c r="K12" s="384"/>
      <c r="L12" s="458"/>
      <c r="M12" s="386"/>
      <c r="N12" s="383"/>
      <c r="O12" s="61"/>
    </row>
    <row r="13" spans="1:15" s="85" customFormat="1" ht="15" customHeight="1" outlineLevel="1">
      <c r="B13" s="220">
        <v>45357</v>
      </c>
      <c r="C13" s="219" t="s">
        <v>124</v>
      </c>
      <c r="D13" s="219" t="s">
        <v>123</v>
      </c>
      <c r="E13" s="91">
        <v>43.12</v>
      </c>
      <c r="F13" s="221">
        <v>0.25600000000000001</v>
      </c>
      <c r="G13" s="222" t="s">
        <v>132</v>
      </c>
      <c r="H13" s="330">
        <v>34621</v>
      </c>
      <c r="I13" s="206">
        <v>6355</v>
      </c>
      <c r="J13" s="383"/>
      <c r="K13" s="208">
        <v>0.09</v>
      </c>
      <c r="L13" s="209">
        <v>0.08</v>
      </c>
      <c r="M13" s="218">
        <v>4.5599999999999996</v>
      </c>
      <c r="N13" s="383"/>
      <c r="O13" s="61"/>
    </row>
    <row r="14" spans="1:15" s="85" customFormat="1" ht="15" customHeight="1" outlineLevel="1">
      <c r="B14" s="220">
        <v>45277</v>
      </c>
      <c r="C14" s="219" t="s">
        <v>126</v>
      </c>
      <c r="D14" s="219" t="s">
        <v>125</v>
      </c>
      <c r="E14" s="91">
        <v>19.8</v>
      </c>
      <c r="F14" s="221">
        <v>0.22</v>
      </c>
      <c r="G14" s="222" t="s">
        <v>133</v>
      </c>
      <c r="H14" s="330">
        <v>32671</v>
      </c>
      <c r="I14" s="206">
        <v>4521</v>
      </c>
      <c r="J14" s="383"/>
      <c r="K14" s="208">
        <v>0.1</v>
      </c>
      <c r="L14" s="209">
        <v>0.09</v>
      </c>
      <c r="M14" s="218">
        <v>1.94</v>
      </c>
      <c r="N14" s="383"/>
      <c r="O14" s="61"/>
    </row>
    <row r="15" spans="1:15" s="85" customFormat="1" ht="15" customHeight="1" outlineLevel="1">
      <c r="B15" s="220">
        <v>45243</v>
      </c>
      <c r="C15" s="219" t="s">
        <v>128</v>
      </c>
      <c r="D15" s="219" t="s">
        <v>127</v>
      </c>
      <c r="E15" s="91">
        <v>48.97</v>
      </c>
      <c r="F15" s="221">
        <v>0.28499999999999998</v>
      </c>
      <c r="G15" s="222" t="s">
        <v>131</v>
      </c>
      <c r="H15" s="330">
        <v>37543</v>
      </c>
      <c r="I15" s="206">
        <v>7124</v>
      </c>
      <c r="J15" s="383"/>
      <c r="K15" s="208">
        <v>0.12</v>
      </c>
      <c r="L15" s="209">
        <v>0.11</v>
      </c>
      <c r="M15" s="218">
        <v>4.5199999999999996</v>
      </c>
      <c r="N15" s="383"/>
      <c r="O15" s="61"/>
    </row>
    <row r="16" spans="1:15" s="85" customFormat="1" ht="15" customHeight="1" outlineLevel="1">
      <c r="B16" s="220">
        <v>43879</v>
      </c>
      <c r="C16" s="219" t="s">
        <v>130</v>
      </c>
      <c r="D16" s="219" t="s">
        <v>129</v>
      </c>
      <c r="E16" s="91">
        <v>16.75</v>
      </c>
      <c r="F16" s="221">
        <v>0.20499999999999999</v>
      </c>
      <c r="G16" s="222" t="s">
        <v>132</v>
      </c>
      <c r="H16" s="330">
        <v>25876</v>
      </c>
      <c r="I16" s="206">
        <v>3566</v>
      </c>
      <c r="J16" s="383"/>
      <c r="K16" s="208">
        <v>7.0000000000000007E-2</v>
      </c>
      <c r="L16" s="209">
        <v>7.0000000000000007E-2</v>
      </c>
      <c r="M16" s="218">
        <v>1.2</v>
      </c>
      <c r="N16" s="383"/>
      <c r="O16" s="61"/>
    </row>
    <row r="17" spans="1:15" s="59" customFormat="1" ht="15" customHeight="1" outlineLevel="1"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6"/>
      <c r="O17" s="64"/>
    </row>
    <row r="18" spans="1:15" s="59" customFormat="1" ht="15" customHeight="1" outlineLevel="1">
      <c r="B18" s="547" t="str">
        <f>IF(SUM(C18:N18)=12,"COMPLETE","")</f>
        <v/>
      </c>
      <c r="C18" s="548">
        <f>'Transactions-R'!C19</f>
        <v>0</v>
      </c>
      <c r="D18" s="548">
        <f>'Transactions-R'!D19</f>
        <v>0</v>
      </c>
      <c r="E18" s="540">
        <f>'Transactions-R'!E19</f>
        <v>0</v>
      </c>
      <c r="F18" s="540">
        <f>'Transactions-R'!F19</f>
        <v>0</v>
      </c>
      <c r="G18" s="540">
        <f>'Transactions-R'!G19</f>
        <v>0</v>
      </c>
      <c r="H18" s="540">
        <f>'Transactions-R'!H19</f>
        <v>0</v>
      </c>
      <c r="I18" s="537">
        <f>'Transactions-R'!I19</f>
        <v>0</v>
      </c>
      <c r="J18" s="537">
        <f>'Transactions-R'!J19</f>
        <v>0</v>
      </c>
      <c r="K18" s="537">
        <f>'Transactions-R'!K19</f>
        <v>0</v>
      </c>
      <c r="L18" s="537">
        <f>'Transactions-R'!L19</f>
        <v>0</v>
      </c>
      <c r="M18" s="537">
        <f>'Transactions-R'!M19</f>
        <v>0</v>
      </c>
      <c r="N18" s="537">
        <f>'Transactions-R'!N19</f>
        <v>0</v>
      </c>
      <c r="O18"/>
    </row>
    <row r="19" spans="1:15" s="59" customFormat="1" ht="15" customHeight="1" outlineLevel="1"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O19" s="64"/>
    </row>
    <row r="20" spans="1:15" s="59" customFormat="1" ht="15" customHeight="1"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64"/>
      <c r="O20" s="64"/>
    </row>
    <row r="21" spans="1:15" ht="15" customHeight="1">
      <c r="A21" s="1" t="s">
        <v>0</v>
      </c>
      <c r="B21" s="239" t="s">
        <v>93</v>
      </c>
      <c r="C21" s="240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195"/>
    </row>
    <row r="22" spans="1:15" ht="15" customHeight="1" outlineLevel="1"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</row>
    <row r="23" spans="1:15" ht="15" customHeight="1" outlineLevel="1">
      <c r="A23" s="103"/>
      <c r="B23" s="35" t="s">
        <v>19</v>
      </c>
      <c r="C23" s="82"/>
      <c r="D23" s="82"/>
      <c r="E23" s="82"/>
      <c r="F23" s="82"/>
      <c r="G23" s="82"/>
      <c r="H23" s="82"/>
      <c r="I23" s="82"/>
      <c r="J23" s="82"/>
      <c r="K23" s="82"/>
      <c r="M23" s="82"/>
      <c r="N23" s="82"/>
    </row>
    <row r="24" spans="1:15" ht="15" customHeight="1" outlineLevel="1">
      <c r="B24" s="102"/>
      <c r="C24" s="82"/>
      <c r="D24" s="82"/>
      <c r="E24" s="82"/>
      <c r="F24" s="82"/>
      <c r="G24" s="82"/>
      <c r="H24" s="82"/>
      <c r="I24" s="82"/>
      <c r="J24" s="82"/>
      <c r="K24" s="82"/>
    </row>
    <row r="25" spans="1:15" s="59" customFormat="1" ht="15" customHeight="1" outlineLevel="1">
      <c r="B25" s="58"/>
      <c r="C25" s="58"/>
      <c r="D25" s="58"/>
      <c r="E25" s="58"/>
      <c r="G25" s="58"/>
      <c r="H25" s="72" t="s">
        <v>31</v>
      </c>
      <c r="I25" s="201"/>
      <c r="J25" s="210" t="s">
        <v>89</v>
      </c>
      <c r="K25" s="71"/>
      <c r="L25" s="152"/>
      <c r="M25" s="58"/>
      <c r="N25" s="64"/>
      <c r="O25" s="64"/>
    </row>
    <row r="26" spans="1:15" s="85" customFormat="1" ht="15" customHeight="1" outlineLevel="1">
      <c r="B26" s="87" t="s">
        <v>137</v>
      </c>
      <c r="D26" s="83"/>
      <c r="E26" s="83"/>
      <c r="G26" s="83"/>
      <c r="H26" s="153" t="s">
        <v>85</v>
      </c>
      <c r="I26" s="201" t="s">
        <v>30</v>
      </c>
      <c r="J26" s="202" t="s">
        <v>30</v>
      </c>
      <c r="K26" s="71" t="s">
        <v>91</v>
      </c>
      <c r="L26" s="152"/>
      <c r="M26" s="83"/>
      <c r="N26" s="86"/>
      <c r="O26" s="61"/>
    </row>
    <row r="27" spans="1:15" s="85" customFormat="1" ht="5.0999999999999996" customHeight="1" outlineLevel="1">
      <c r="B27" s="331" t="s">
        <v>0</v>
      </c>
      <c r="C27" s="332"/>
      <c r="D27" s="332"/>
      <c r="E27" s="332"/>
      <c r="F27" s="332"/>
      <c r="G27" s="332"/>
      <c r="H27" s="309" t="s">
        <v>0</v>
      </c>
      <c r="I27" s="321" t="s">
        <v>0</v>
      </c>
      <c r="J27" s="310" t="s">
        <v>0</v>
      </c>
      <c r="K27" s="322" t="s">
        <v>0</v>
      </c>
      <c r="L27" s="312" t="s">
        <v>0</v>
      </c>
      <c r="M27" s="83"/>
      <c r="N27" s="86"/>
      <c r="O27" s="61"/>
    </row>
    <row r="28" spans="1:15" s="85" customFormat="1" ht="15" customHeight="1" outlineLevel="1">
      <c r="B28" s="87"/>
      <c r="D28" s="83"/>
      <c r="E28" s="83"/>
      <c r="G28" s="83"/>
      <c r="H28" s="189"/>
      <c r="I28" s="323" t="s">
        <v>88</v>
      </c>
      <c r="J28" s="214" t="s">
        <v>88</v>
      </c>
      <c r="K28" s="323" t="s">
        <v>92</v>
      </c>
      <c r="L28" s="214" t="s">
        <v>98</v>
      </c>
      <c r="M28" s="83"/>
      <c r="N28" s="86"/>
      <c r="O28" s="61"/>
    </row>
    <row r="29" spans="1:15" s="85" customFormat="1" ht="15" customHeight="1" outlineLevel="1">
      <c r="B29" s="87"/>
      <c r="D29" s="83"/>
      <c r="E29" s="83"/>
      <c r="G29" s="83"/>
      <c r="H29" s="189"/>
      <c r="I29" s="323"/>
      <c r="J29" s="214"/>
      <c r="K29" s="323"/>
      <c r="L29" s="214"/>
      <c r="M29" s="83"/>
      <c r="N29" s="86"/>
      <c r="O29" s="61"/>
    </row>
    <row r="30" spans="1:15" s="85" customFormat="1" ht="15" customHeight="1" outlineLevel="1">
      <c r="B30" s="63" t="s">
        <v>26</v>
      </c>
      <c r="D30" s="83"/>
      <c r="E30" s="83"/>
      <c r="G30" s="83"/>
      <c r="H30" s="395"/>
      <c r="I30" s="533">
        <f>Trading!F29</f>
        <v>3754</v>
      </c>
      <c r="J30" s="396"/>
      <c r="K30" s="368">
        <f>Trading!H29</f>
        <v>7.0000000000000007E-2</v>
      </c>
      <c r="L30" s="270">
        <f>Trading!I29</f>
        <v>0.06</v>
      </c>
      <c r="N30" s="61"/>
      <c r="O30" s="61"/>
    </row>
    <row r="31" spans="1:15" s="85" customFormat="1" ht="15" customHeight="1" outlineLevel="1">
      <c r="B31" s="63" t="s">
        <v>25</v>
      </c>
      <c r="D31" s="83"/>
      <c r="E31" s="83"/>
      <c r="G31" s="83"/>
      <c r="H31" s="395"/>
      <c r="I31" s="533">
        <f>Trading!F30</f>
        <v>3754</v>
      </c>
      <c r="J31" s="396"/>
      <c r="K31" s="368">
        <f>Trading!H30</f>
        <v>7.0000000000000007E-2</v>
      </c>
      <c r="L31" s="270">
        <f>Trading!I30</f>
        <v>0.06</v>
      </c>
      <c r="N31" s="61"/>
      <c r="O31" s="61"/>
    </row>
    <row r="32" spans="1:15" ht="15" customHeight="1" outlineLevel="1">
      <c r="B32" s="84" t="s">
        <v>24</v>
      </c>
      <c r="D32" s="83"/>
      <c r="E32" s="83"/>
      <c r="G32" s="83"/>
      <c r="H32" s="395"/>
      <c r="I32" s="533">
        <f>Trading!F31</f>
        <v>3754</v>
      </c>
      <c r="J32" s="396"/>
      <c r="K32" s="368">
        <f>Trading!H31</f>
        <v>7.0000000000000007E-2</v>
      </c>
      <c r="L32" s="270">
        <f>Trading!I31</f>
        <v>0.06</v>
      </c>
      <c r="N32" s="61"/>
      <c r="O32" s="61"/>
    </row>
    <row r="33" spans="1:15" ht="15" customHeight="1" outlineLevel="1">
      <c r="B33" s="84" t="s">
        <v>23</v>
      </c>
      <c r="D33" s="83"/>
      <c r="E33" s="83"/>
      <c r="G33" s="83"/>
      <c r="H33" s="395"/>
      <c r="I33" s="533">
        <f>Trading!F32</f>
        <v>3754</v>
      </c>
      <c r="J33" s="396"/>
      <c r="K33" s="368">
        <f>Trading!H32</f>
        <v>7.0000000000000007E-2</v>
      </c>
      <c r="L33" s="270">
        <f>Trading!I32</f>
        <v>0.06</v>
      </c>
      <c r="N33" s="61"/>
      <c r="O33" s="61"/>
    </row>
    <row r="34" spans="1:15" ht="15" customHeight="1" outlineLevel="1">
      <c r="B34" s="333"/>
      <c r="C34" s="333"/>
      <c r="D34" s="333"/>
      <c r="E34" s="333"/>
      <c r="F34" s="333"/>
      <c r="G34" s="333"/>
      <c r="H34" s="333"/>
      <c r="I34" s="333"/>
      <c r="J34" s="333"/>
      <c r="K34" s="333"/>
      <c r="L34" s="333"/>
      <c r="M34" s="82"/>
      <c r="N34" s="82"/>
      <c r="O34" s="82"/>
    </row>
    <row r="35" spans="1:15" s="59" customFormat="1" ht="15" customHeight="1" outlineLevel="1">
      <c r="B35" s="547" t="str">
        <f>IF(SUM(H35:J35)=2,"COMPLETE","")</f>
        <v/>
      </c>
      <c r="C35" s="548"/>
      <c r="D35" s="548"/>
      <c r="E35" s="540"/>
      <c r="F35" s="540"/>
      <c r="G35" s="540"/>
      <c r="H35" s="540">
        <f>'Transactions-R'!H37</f>
        <v>0</v>
      </c>
      <c r="I35" s="537"/>
      <c r="J35" s="537">
        <f>'Transactions-R'!J37</f>
        <v>0</v>
      </c>
      <c r="K35" s="273"/>
      <c r="L35" s="273"/>
      <c r="M35" s="82"/>
      <c r="N35" s="82"/>
      <c r="O35"/>
    </row>
    <row r="36" spans="1:15" ht="15" customHeight="1" outlineLevel="1">
      <c r="A36" s="6"/>
      <c r="B36" s="82"/>
      <c r="M36" s="82"/>
      <c r="N36" s="82"/>
      <c r="O36" s="82"/>
    </row>
    <row r="37" spans="1:15" ht="15" customHeight="1" outlineLevel="1">
      <c r="A37" s="6"/>
      <c r="B37" s="82"/>
      <c r="M37" s="82"/>
      <c r="N37" s="82"/>
      <c r="O37" s="82"/>
    </row>
    <row r="38" spans="1:15" ht="15" customHeight="1" outlineLevel="1">
      <c r="L38" s="175" t="s">
        <v>94</v>
      </c>
      <c r="O38" s="200"/>
    </row>
    <row r="39" spans="1:15" ht="15" customHeight="1" outlineLevel="1">
      <c r="L39" s="280" t="s">
        <v>138</v>
      </c>
      <c r="O39" s="200"/>
    </row>
    <row r="40" spans="1:15" ht="15" customHeight="1" outlineLevel="1"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</row>
    <row r="41" spans="1:15" ht="15" customHeight="1">
      <c r="O41" s="1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CB38-3930-4049-BA0E-739D59A15FDD}">
  <sheetPr>
    <tabColor theme="1"/>
    <pageSetUpPr autoPageBreaks="0"/>
  </sheetPr>
  <dimension ref="A1:P43"/>
  <sheetViews>
    <sheetView showGridLines="0" zoomScaleNormal="100" zoomScaleSheetLayoutView="145" workbookViewId="0">
      <pane ySplit="1" topLeftCell="A2" activePane="bottomLeft" state="frozen"/>
      <selection pane="bottomLeft"/>
    </sheetView>
  </sheetViews>
  <sheetFormatPr defaultColWidth="11.7109375" defaultRowHeight="15" customHeight="1"/>
  <cols>
    <col min="1" max="1" width="5.7109375" style="1" customWidth="1"/>
    <col min="2" max="2" width="12.7109375" style="1" customWidth="1"/>
    <col min="3" max="3" width="17.5703125" style="1" bestFit="1" customWidth="1"/>
    <col min="4" max="4" width="16.85546875" style="1" bestFit="1" customWidth="1"/>
    <col min="5" max="6" width="10.7109375" style="1" customWidth="1"/>
    <col min="7" max="7" width="8.7109375" style="1" customWidth="1"/>
    <col min="8" max="8" width="13.5703125" style="1" bestFit="1" customWidth="1"/>
    <col min="9" max="9" width="11.7109375" style="1" customWidth="1"/>
    <col min="10" max="11" width="10.7109375" style="1" customWidth="1"/>
    <col min="12" max="13" width="6.7109375" style="1" customWidth="1"/>
    <col min="14" max="14" width="7.140625" style="1" bestFit="1" customWidth="1"/>
    <col min="15" max="15" width="9.7109375" style="1" bestFit="1" customWidth="1"/>
    <col min="16" max="16" width="6.7109375" style="1" customWidth="1"/>
    <col min="17" max="16384" width="11.7109375" style="1"/>
  </cols>
  <sheetData>
    <row r="1" spans="1:16" s="104" customFormat="1" ht="50.1" customHeight="1"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194"/>
      <c r="P1" s="194"/>
    </row>
    <row r="2" spans="1:16" ht="15" customHeight="1">
      <c r="B2" s="51"/>
    </row>
    <row r="3" spans="1:16" ht="15" customHeight="1">
      <c r="A3" s="1" t="s">
        <v>0</v>
      </c>
      <c r="B3" s="239" t="s">
        <v>8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195"/>
      <c r="P3" s="195"/>
    </row>
    <row r="4" spans="1:16" ht="15" customHeight="1"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15" customHeight="1">
      <c r="A5" s="103"/>
      <c r="B5" s="35" t="s">
        <v>19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303"/>
    </row>
    <row r="6" spans="1:16" ht="15" customHeight="1">
      <c r="B6" s="102"/>
      <c r="C6" s="82"/>
      <c r="D6" s="82"/>
      <c r="E6" s="82"/>
      <c r="F6" s="82"/>
      <c r="G6" s="82"/>
      <c r="H6" s="82"/>
      <c r="I6" s="82"/>
      <c r="J6" s="82"/>
      <c r="K6" s="82"/>
    </row>
    <row r="7" spans="1:16" s="96" customFormat="1" ht="15" customHeight="1">
      <c r="B7" s="101"/>
      <c r="C7" s="101"/>
      <c r="D7" s="101"/>
      <c r="E7" s="100" t="s">
        <v>108</v>
      </c>
      <c r="F7" s="100" t="s">
        <v>34</v>
      </c>
      <c r="G7" s="100" t="s">
        <v>108</v>
      </c>
      <c r="H7" s="100" t="s">
        <v>107</v>
      </c>
      <c r="I7" s="187"/>
      <c r="J7" s="210" t="s">
        <v>89</v>
      </c>
      <c r="K7" s="188"/>
      <c r="L7" s="152"/>
      <c r="M7" s="187"/>
      <c r="N7" s="158"/>
      <c r="O7" s="196"/>
      <c r="P7" s="197"/>
    </row>
    <row r="8" spans="1:16" s="96" customFormat="1" ht="15" customHeight="1" thickBot="1">
      <c r="B8" s="99" t="s">
        <v>37</v>
      </c>
      <c r="C8" s="99" t="s">
        <v>36</v>
      </c>
      <c r="D8" s="99" t="s">
        <v>35</v>
      </c>
      <c r="E8" s="97" t="s">
        <v>75</v>
      </c>
      <c r="F8" s="98" t="s">
        <v>106</v>
      </c>
      <c r="G8" s="97" t="s">
        <v>109</v>
      </c>
      <c r="H8" s="97" t="s">
        <v>85</v>
      </c>
      <c r="I8" s="211" t="s">
        <v>30</v>
      </c>
      <c r="J8" s="202" t="s">
        <v>30</v>
      </c>
      <c r="K8" s="188" t="s">
        <v>91</v>
      </c>
      <c r="L8" s="152"/>
      <c r="M8" s="211" t="s">
        <v>86</v>
      </c>
      <c r="N8" s="202" t="s">
        <v>87</v>
      </c>
      <c r="O8" s="153"/>
      <c r="P8" s="198"/>
    </row>
    <row r="9" spans="1:16" s="92" customFormat="1" ht="15" customHeight="1">
      <c r="B9" s="95" t="s">
        <v>33</v>
      </c>
      <c r="C9" s="93"/>
      <c r="D9" s="93"/>
      <c r="E9" s="163" t="s">
        <v>28</v>
      </c>
      <c r="F9" s="93"/>
      <c r="G9" s="94"/>
      <c r="H9" s="94"/>
      <c r="I9" s="212" t="s">
        <v>88</v>
      </c>
      <c r="J9" s="204" t="s">
        <v>88</v>
      </c>
      <c r="K9" s="212" t="s">
        <v>92</v>
      </c>
      <c r="L9" s="204" t="s">
        <v>98</v>
      </c>
      <c r="M9" s="212" t="s">
        <v>88</v>
      </c>
      <c r="N9" s="204" t="s">
        <v>88</v>
      </c>
      <c r="O9" s="93"/>
      <c r="P9" s="93"/>
    </row>
    <row r="10" spans="1:16" s="92" customFormat="1" ht="15" customHeight="1">
      <c r="B10" s="95"/>
      <c r="C10" s="93"/>
      <c r="D10" s="93"/>
      <c r="E10" s="93"/>
      <c r="F10" s="93"/>
      <c r="G10" s="94"/>
      <c r="H10" s="94"/>
      <c r="I10" s="213"/>
      <c r="J10" s="214"/>
      <c r="K10" s="213"/>
      <c r="L10" s="214"/>
      <c r="M10" s="213"/>
      <c r="N10" s="214"/>
      <c r="O10" s="93"/>
      <c r="P10" s="93"/>
    </row>
    <row r="11" spans="1:16" s="85" customFormat="1" ht="15" customHeight="1">
      <c r="B11" s="342">
        <f>GPT!F12</f>
        <v>45112</v>
      </c>
      <c r="C11" s="343" t="str">
        <f>GPT!F9</f>
        <v>Nature’s Choice</v>
      </c>
      <c r="D11" s="343" t="str">
        <f>GPT!L9</f>
        <v>Golden Pantry</v>
      </c>
      <c r="E11" s="344">
        <f>GPT!F24</f>
        <v>0</v>
      </c>
      <c r="F11" s="345">
        <f>GPT!F25</f>
        <v>0</v>
      </c>
      <c r="G11" s="62" t="e">
        <f>GPT!F26</f>
        <v>#VALUE!</v>
      </c>
      <c r="H11" s="346">
        <f>GPT!L37</f>
        <v>0</v>
      </c>
      <c r="I11" s="347">
        <f>GPT!K95</f>
        <v>3450</v>
      </c>
      <c r="J11" s="205">
        <f>H11/I11</f>
        <v>0</v>
      </c>
      <c r="K11" s="348">
        <f>GPT!I116</f>
        <v>7.7470572132493754E-2</v>
      </c>
      <c r="L11" s="270">
        <f>GPT!J116</f>
        <v>9.171747967479682E-2</v>
      </c>
      <c r="M11" s="349">
        <f>GPT!K84</f>
        <v>0.54624305651493477</v>
      </c>
      <c r="N11" s="205">
        <f>E11/M11</f>
        <v>0</v>
      </c>
      <c r="O11" s="61"/>
      <c r="P11" s="244"/>
    </row>
    <row r="12" spans="1:16" s="85" customFormat="1" ht="15" customHeight="1">
      <c r="B12" s="220">
        <v>45357</v>
      </c>
      <c r="C12" s="219" t="s">
        <v>124</v>
      </c>
      <c r="D12" s="219" t="s">
        <v>123</v>
      </c>
      <c r="E12" s="91">
        <v>43.12</v>
      </c>
      <c r="F12" s="221">
        <v>0.25600000000000001</v>
      </c>
      <c r="G12" s="222" t="s">
        <v>132</v>
      </c>
      <c r="H12" s="330">
        <v>34621</v>
      </c>
      <c r="I12" s="350">
        <v>6355</v>
      </c>
      <c r="J12" s="205">
        <f t="shared" ref="J12:J15" si="0">H12/I12</f>
        <v>5.4478363493312356</v>
      </c>
      <c r="K12" s="351">
        <v>0.09</v>
      </c>
      <c r="L12" s="209">
        <v>0.08</v>
      </c>
      <c r="M12" s="352">
        <v>4.5599999999999996</v>
      </c>
      <c r="N12" s="205">
        <f t="shared" ref="N12:N15" si="1">E12/M12</f>
        <v>9.4561403508771935</v>
      </c>
      <c r="O12" s="61"/>
      <c r="P12" s="199"/>
    </row>
    <row r="13" spans="1:16" s="85" customFormat="1" ht="15" customHeight="1">
      <c r="B13" s="220">
        <v>45277</v>
      </c>
      <c r="C13" s="219" t="s">
        <v>126</v>
      </c>
      <c r="D13" s="219" t="s">
        <v>125</v>
      </c>
      <c r="E13" s="91">
        <v>19.8</v>
      </c>
      <c r="F13" s="221">
        <v>0.22</v>
      </c>
      <c r="G13" s="222" t="s">
        <v>133</v>
      </c>
      <c r="H13" s="330">
        <v>32671</v>
      </c>
      <c r="I13" s="350">
        <v>4521</v>
      </c>
      <c r="J13" s="205">
        <f t="shared" si="0"/>
        <v>7.226498562264986</v>
      </c>
      <c r="K13" s="351">
        <v>0.1</v>
      </c>
      <c r="L13" s="209">
        <v>0.09</v>
      </c>
      <c r="M13" s="352">
        <v>1.94</v>
      </c>
      <c r="N13" s="205">
        <f t="shared" si="1"/>
        <v>10.20618556701031</v>
      </c>
      <c r="O13" s="61"/>
      <c r="P13" s="199"/>
    </row>
    <row r="14" spans="1:16" s="85" customFormat="1" ht="15" customHeight="1">
      <c r="B14" s="220">
        <v>45243</v>
      </c>
      <c r="C14" s="219" t="s">
        <v>128</v>
      </c>
      <c r="D14" s="219" t="s">
        <v>127</v>
      </c>
      <c r="E14" s="91">
        <v>48.97</v>
      </c>
      <c r="F14" s="221">
        <v>0.28499999999999998</v>
      </c>
      <c r="G14" s="222" t="s">
        <v>131</v>
      </c>
      <c r="H14" s="330">
        <v>37543</v>
      </c>
      <c r="I14" s="350">
        <v>7124</v>
      </c>
      <c r="J14" s="205">
        <f t="shared" si="0"/>
        <v>5.2699326221224032</v>
      </c>
      <c r="K14" s="351">
        <v>0.12</v>
      </c>
      <c r="L14" s="209">
        <v>0.11</v>
      </c>
      <c r="M14" s="352">
        <v>4.5199999999999996</v>
      </c>
      <c r="N14" s="205">
        <f t="shared" si="1"/>
        <v>10.834070796460178</v>
      </c>
      <c r="O14" s="61"/>
    </row>
    <row r="15" spans="1:16" s="85" customFormat="1" ht="15" customHeight="1">
      <c r="B15" s="353">
        <v>43879</v>
      </c>
      <c r="C15" s="354" t="s">
        <v>130</v>
      </c>
      <c r="D15" s="354" t="s">
        <v>129</v>
      </c>
      <c r="E15" s="355">
        <v>16.75</v>
      </c>
      <c r="F15" s="356">
        <v>0.20499999999999999</v>
      </c>
      <c r="G15" s="357" t="s">
        <v>132</v>
      </c>
      <c r="H15" s="358">
        <v>25876</v>
      </c>
      <c r="I15" s="359">
        <v>3566</v>
      </c>
      <c r="J15" s="360">
        <f t="shared" si="0"/>
        <v>7.2563095905776782</v>
      </c>
      <c r="K15" s="361">
        <v>7.0000000000000007E-2</v>
      </c>
      <c r="L15" s="362">
        <v>7.0000000000000007E-2</v>
      </c>
      <c r="M15" s="363">
        <v>1.2</v>
      </c>
      <c r="N15" s="360">
        <f t="shared" si="1"/>
        <v>13.958333333333334</v>
      </c>
      <c r="O15" s="61"/>
    </row>
    <row r="16" spans="1:16" s="59" customFormat="1" ht="15" customHeight="1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64"/>
      <c r="O16" s="64"/>
      <c r="P16" s="64"/>
    </row>
    <row r="17" spans="1:16" s="59" customFormat="1" ht="15" customHeight="1">
      <c r="B17" s="459">
        <f>Transactions!B12</f>
        <v>45112</v>
      </c>
      <c r="C17" s="460">
        <f>Transactions!C12</f>
        <v>0</v>
      </c>
      <c r="D17" s="460">
        <f>Transactions!D12</f>
        <v>0</v>
      </c>
      <c r="E17" s="461">
        <f>Transactions!E12</f>
        <v>0</v>
      </c>
      <c r="F17" s="462">
        <f>Transactions!F12</f>
        <v>0</v>
      </c>
      <c r="G17" s="463">
        <f>Transactions!G12</f>
        <v>0</v>
      </c>
      <c r="H17" s="464">
        <f>Transactions!H12</f>
        <v>0</v>
      </c>
      <c r="I17" s="465">
        <f>Transactions!I12</f>
        <v>0</v>
      </c>
      <c r="J17" s="402">
        <f>SUM(Transactions!J12:J16)</f>
        <v>0</v>
      </c>
      <c r="K17" s="466">
        <f>Transactions!K12</f>
        <v>0</v>
      </c>
      <c r="L17" s="467">
        <f>Transactions!L12</f>
        <v>0</v>
      </c>
      <c r="M17" s="468">
        <f>Transactions!M12</f>
        <v>0</v>
      </c>
      <c r="N17" s="402">
        <f>SUM(Transactions!N12:N16)</f>
        <v>0</v>
      </c>
      <c r="O17" s="469" t="s">
        <v>142</v>
      </c>
      <c r="P17" s="60"/>
    </row>
    <row r="18" spans="1:16" s="59" customFormat="1" ht="15" customHeight="1">
      <c r="B18" s="470">
        <f>GPT!F12</f>
        <v>45112</v>
      </c>
      <c r="C18" s="454" t="str">
        <f>GPT!F9</f>
        <v>Nature’s Choice</v>
      </c>
      <c r="D18" s="454" t="str">
        <f>GPT!L9</f>
        <v>Golden Pantry</v>
      </c>
      <c r="E18" s="455">
        <f>GPT!F24</f>
        <v>0</v>
      </c>
      <c r="F18" s="456">
        <f>GPT!F25</f>
        <v>0</v>
      </c>
      <c r="G18" s="395" t="e">
        <f>GPT!F26</f>
        <v>#VALUE!</v>
      </c>
      <c r="H18" s="457">
        <f>GPT!L37</f>
        <v>0</v>
      </c>
      <c r="I18" s="471">
        <f>GPT!K95</f>
        <v>3450</v>
      </c>
      <c r="J18" s="383" t="e" cm="1">
        <f t="array" ref="J18">SUMPRODUCT(Transactions!H12:H16,1/Transactions!I12:I16)</f>
        <v>#DIV/0!</v>
      </c>
      <c r="K18" s="472">
        <f>GPT!I116</f>
        <v>7.7470572132493754E-2</v>
      </c>
      <c r="L18" s="458">
        <f>GPT!J116</f>
        <v>9.171747967479682E-2</v>
      </c>
      <c r="M18" s="473">
        <f>GPT!K84</f>
        <v>0.54624305651493477</v>
      </c>
      <c r="N18" s="383" t="e" cm="1">
        <f t="array" ref="N18">SUMPRODUCT(Transactions!E12:E16,1/Transactions!M12:M16)</f>
        <v>#DIV/0!</v>
      </c>
      <c r="O18" s="474" t="s">
        <v>143</v>
      </c>
      <c r="P18" s="60"/>
    </row>
    <row r="19" spans="1:16" s="59" customFormat="1" ht="15" customHeight="1">
      <c r="B19" s="413"/>
      <c r="C19" s="554">
        <f t="shared" ref="C19:N19" si="2">IFERROR(IF(C17=0,0,IF(C17=C18,1,0)),0)</f>
        <v>0</v>
      </c>
      <c r="D19" s="554">
        <f t="shared" si="2"/>
        <v>0</v>
      </c>
      <c r="E19" s="552">
        <f t="shared" si="2"/>
        <v>0</v>
      </c>
      <c r="F19" s="552">
        <f t="shared" si="2"/>
        <v>0</v>
      </c>
      <c r="G19" s="552">
        <f t="shared" si="2"/>
        <v>0</v>
      </c>
      <c r="H19" s="552">
        <f t="shared" si="2"/>
        <v>0</v>
      </c>
      <c r="I19" s="555">
        <f t="shared" si="2"/>
        <v>0</v>
      </c>
      <c r="J19" s="551">
        <f t="shared" si="2"/>
        <v>0</v>
      </c>
      <c r="K19" s="555">
        <f t="shared" si="2"/>
        <v>0</v>
      </c>
      <c r="L19" s="551">
        <f t="shared" si="2"/>
        <v>0</v>
      </c>
      <c r="M19" s="555">
        <f t="shared" si="2"/>
        <v>0</v>
      </c>
      <c r="N19" s="551">
        <f t="shared" si="2"/>
        <v>0</v>
      </c>
      <c r="O19" s="475" t="s">
        <v>144</v>
      </c>
      <c r="P19" s="60"/>
    </row>
    <row r="20" spans="1:16" s="59" customFormat="1" ht="15" customHeight="1"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O20" s="64"/>
      <c r="P20" s="64"/>
    </row>
    <row r="21" spans="1:16" s="59" customFormat="1" ht="15" customHeight="1"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64"/>
      <c r="O21" s="64"/>
      <c r="P21" s="64"/>
    </row>
    <row r="22" spans="1:16" ht="15" customHeight="1">
      <c r="A22" s="1" t="s">
        <v>0</v>
      </c>
      <c r="B22" s="239" t="s">
        <v>93</v>
      </c>
      <c r="C22" s="240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195"/>
      <c r="P22" s="195"/>
    </row>
    <row r="23" spans="1:16" ht="15" customHeight="1"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</row>
    <row r="24" spans="1:16" ht="15" customHeight="1">
      <c r="A24" s="103"/>
      <c r="B24" s="35" t="s">
        <v>19</v>
      </c>
      <c r="C24" s="82"/>
      <c r="D24" s="82"/>
      <c r="E24" s="82"/>
      <c r="F24" s="82"/>
      <c r="G24" s="82"/>
      <c r="H24" s="82"/>
      <c r="I24" s="82"/>
      <c r="J24" s="82"/>
      <c r="K24" s="82"/>
      <c r="L24" s="303"/>
      <c r="M24" s="82"/>
      <c r="N24" s="82"/>
    </row>
    <row r="25" spans="1:16" ht="15" customHeight="1">
      <c r="B25" s="102"/>
      <c r="C25" s="82"/>
      <c r="D25" s="82"/>
      <c r="E25" s="82"/>
      <c r="F25" s="82"/>
      <c r="G25" s="82"/>
      <c r="H25" s="82"/>
      <c r="I25" s="82"/>
      <c r="J25" s="82"/>
      <c r="K25" s="82"/>
    </row>
    <row r="26" spans="1:16" s="59" customFormat="1" ht="15" customHeight="1">
      <c r="B26" s="58"/>
      <c r="C26" s="58"/>
      <c r="D26" s="58"/>
      <c r="E26" s="58"/>
      <c r="G26" s="58"/>
      <c r="H26" s="72" t="s">
        <v>31</v>
      </c>
      <c r="I26" s="211"/>
      <c r="J26" s="210" t="s">
        <v>89</v>
      </c>
      <c r="K26" s="188"/>
      <c r="L26" s="152"/>
      <c r="M26" s="58"/>
      <c r="N26" s="64"/>
      <c r="O26" s="64"/>
      <c r="P26" s="64"/>
    </row>
    <row r="27" spans="1:16" s="85" customFormat="1" ht="15" customHeight="1" thickBot="1">
      <c r="B27" s="90" t="s">
        <v>137</v>
      </c>
      <c r="C27" s="89"/>
      <c r="D27" s="88"/>
      <c r="E27" s="88"/>
      <c r="F27" s="89"/>
      <c r="G27" s="88"/>
      <c r="H27" s="97" t="s">
        <v>85</v>
      </c>
      <c r="I27" s="215" t="s">
        <v>30</v>
      </c>
      <c r="J27" s="216" t="s">
        <v>30</v>
      </c>
      <c r="K27" s="191" t="s">
        <v>91</v>
      </c>
      <c r="L27" s="192"/>
      <c r="M27" s="83"/>
      <c r="N27" s="86"/>
      <c r="O27" s="61"/>
      <c r="P27" s="61"/>
    </row>
    <row r="28" spans="1:16" s="85" customFormat="1" ht="15" customHeight="1">
      <c r="B28" s="87"/>
      <c r="D28" s="83"/>
      <c r="E28" s="83"/>
      <c r="G28" s="83"/>
      <c r="H28" s="189"/>
      <c r="I28" s="213" t="s">
        <v>88</v>
      </c>
      <c r="J28" s="214" t="s">
        <v>88</v>
      </c>
      <c r="K28" s="213" t="s">
        <v>92</v>
      </c>
      <c r="L28" s="214" t="s">
        <v>98</v>
      </c>
      <c r="M28" s="83"/>
      <c r="N28" s="86"/>
      <c r="O28" s="61"/>
      <c r="P28" s="61"/>
    </row>
    <row r="29" spans="1:16" s="85" customFormat="1" ht="15" customHeight="1">
      <c r="B29" s="87"/>
      <c r="D29" s="83"/>
      <c r="E29" s="83"/>
      <c r="G29" s="83"/>
      <c r="H29" s="189"/>
      <c r="I29" s="213"/>
      <c r="J29" s="214"/>
      <c r="K29" s="213"/>
      <c r="L29" s="214"/>
      <c r="M29" s="83"/>
      <c r="N29" s="86"/>
      <c r="O29" s="61"/>
      <c r="P29" s="61"/>
    </row>
    <row r="30" spans="1:16" s="85" customFormat="1" ht="15" customHeight="1">
      <c r="B30" s="63" t="s">
        <v>26</v>
      </c>
      <c r="D30" s="83"/>
      <c r="E30" s="83"/>
      <c r="G30" s="83"/>
      <c r="H30" s="62">
        <f>I30*J30</f>
        <v>16840.695080394929</v>
      </c>
      <c r="I30" s="364">
        <f>Trading!F29</f>
        <v>3754</v>
      </c>
      <c r="J30" s="283">
        <f>AVERAGE(J$11:J$14)</f>
        <v>4.4860668834296566</v>
      </c>
      <c r="K30" s="365">
        <f>Trading!H29</f>
        <v>7.0000000000000007E-2</v>
      </c>
      <c r="L30" s="270">
        <f>Trading!I29</f>
        <v>0.06</v>
      </c>
      <c r="N30" s="61"/>
      <c r="O30" s="61"/>
      <c r="P30" s="61"/>
    </row>
    <row r="31" spans="1:16" s="85" customFormat="1" ht="15" customHeight="1">
      <c r="B31" s="63" t="s">
        <v>25</v>
      </c>
      <c r="D31" s="83"/>
      <c r="E31" s="83"/>
      <c r="G31" s="83"/>
      <c r="H31" s="62">
        <f>I31*J31</f>
        <v>20117.252359418479</v>
      </c>
      <c r="I31" s="364">
        <f>I$30</f>
        <v>3754</v>
      </c>
      <c r="J31" s="283">
        <f>MEDIAN(J$11:J$14)</f>
        <v>5.3588844857268194</v>
      </c>
      <c r="K31" s="365">
        <f>K$30</f>
        <v>7.0000000000000007E-2</v>
      </c>
      <c r="L31" s="270">
        <f t="shared" ref="L31:L33" si="3">L$30</f>
        <v>0.06</v>
      </c>
      <c r="N31" s="61"/>
      <c r="O31" s="61"/>
      <c r="P31" s="61"/>
    </row>
    <row r="32" spans="1:16" ht="15" customHeight="1">
      <c r="B32" s="84" t="s">
        <v>24</v>
      </c>
      <c r="D32" s="83"/>
      <c r="E32" s="83"/>
      <c r="G32" s="83"/>
      <c r="H32" s="62">
        <f>I32*J32</f>
        <v>27128.275602742757</v>
      </c>
      <c r="I32" s="364">
        <f t="shared" ref="I32:I33" si="4">I$30</f>
        <v>3754</v>
      </c>
      <c r="J32" s="283">
        <f>MAX(J$11:J$14)</f>
        <v>7.226498562264986</v>
      </c>
      <c r="K32" s="365">
        <f t="shared" ref="K32:K33" si="5">K$30</f>
        <v>7.0000000000000007E-2</v>
      </c>
      <c r="L32" s="270">
        <f t="shared" si="3"/>
        <v>0.06</v>
      </c>
      <c r="N32" s="61"/>
      <c r="O32" s="61"/>
      <c r="P32" s="61"/>
    </row>
    <row r="33" spans="1:16" ht="15" customHeight="1">
      <c r="B33" s="193" t="s">
        <v>23</v>
      </c>
      <c r="C33" s="81"/>
      <c r="D33" s="190"/>
      <c r="E33" s="190"/>
      <c r="F33" s="81"/>
      <c r="G33" s="190"/>
      <c r="H33" s="284">
        <f>I33*J33</f>
        <v>0</v>
      </c>
      <c r="I33" s="366">
        <f t="shared" si="4"/>
        <v>3754</v>
      </c>
      <c r="J33" s="286">
        <f>MIN(J$11:J$14)</f>
        <v>0</v>
      </c>
      <c r="K33" s="367">
        <f t="shared" si="5"/>
        <v>7.0000000000000007E-2</v>
      </c>
      <c r="L33" s="288">
        <f t="shared" si="3"/>
        <v>0.06</v>
      </c>
      <c r="N33" s="61"/>
      <c r="O33" s="61"/>
      <c r="P33" s="61"/>
    </row>
    <row r="34" spans="1:16" ht="15" customHeight="1"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</row>
    <row r="35" spans="1:16" s="59" customFormat="1" ht="15" customHeight="1">
      <c r="G35" s="476" t="s">
        <v>142</v>
      </c>
      <c r="H35" s="464">
        <f>SUM(Transactions!H30:H33)</f>
        <v>0</v>
      </c>
      <c r="I35" s="465"/>
      <c r="J35" s="477">
        <f>SUM(Transactions!J30:J33)</f>
        <v>0</v>
      </c>
      <c r="K35" s="82"/>
      <c r="L35" s="82"/>
      <c r="N35" s="82"/>
      <c r="O35" s="82"/>
      <c r="P35" s="60"/>
    </row>
    <row r="36" spans="1:16" s="59" customFormat="1" ht="15" customHeight="1">
      <c r="G36" s="478" t="s">
        <v>143</v>
      </c>
      <c r="H36" s="457">
        <f>SUMPRODUCT(Transactions!I30:I33,Transactions!J30:J33)</f>
        <v>0</v>
      </c>
      <c r="I36" s="471"/>
      <c r="J36" s="479" t="e">
        <f>AVERAGE(Transactions!J12:J15)+MEDIAN(Transactions!J12:J15)+MAX(Transactions!J12:J15)+MIN(Transactions!J12:J15)</f>
        <v>#DIV/0!</v>
      </c>
      <c r="K36" s="82"/>
      <c r="L36" s="82"/>
      <c r="N36" s="82"/>
      <c r="O36" s="82"/>
      <c r="P36" s="60"/>
    </row>
    <row r="37" spans="1:16" s="59" customFormat="1" ht="15" customHeight="1">
      <c r="B37" s="276"/>
      <c r="C37" s="276"/>
      <c r="D37" s="276"/>
      <c r="E37" s="274"/>
      <c r="G37" s="480" t="s">
        <v>144</v>
      </c>
      <c r="H37" s="552">
        <f>IFERROR(IF(H35=0,0,IF(H35=H36,1,0)),0)</f>
        <v>0</v>
      </c>
      <c r="I37" s="555"/>
      <c r="J37" s="541">
        <f t="shared" ref="J37" si="6">IFERROR(IF(J35=0,0,IF(J35=J36,1,0)),0)</f>
        <v>0</v>
      </c>
      <c r="K37" s="82"/>
      <c r="L37" s="82"/>
      <c r="N37" s="82"/>
      <c r="O37"/>
      <c r="P37" s="60"/>
    </row>
    <row r="38" spans="1:16" ht="15" customHeight="1">
      <c r="A38" s="6"/>
      <c r="B38" s="82"/>
      <c r="K38" s="82"/>
      <c r="L38" s="82"/>
      <c r="M38" s="82"/>
      <c r="N38" s="82"/>
      <c r="O38" s="82"/>
      <c r="P38" s="82"/>
    </row>
    <row r="39" spans="1:16" ht="15" customHeight="1">
      <c r="A39" s="6"/>
      <c r="B39" s="82"/>
      <c r="M39" s="82"/>
      <c r="N39" s="82"/>
      <c r="O39" s="82"/>
      <c r="P39" s="82"/>
    </row>
    <row r="40" spans="1:16" ht="15" customHeight="1">
      <c r="L40" s="175" t="s">
        <v>94</v>
      </c>
      <c r="O40" s="200"/>
      <c r="P40" s="200"/>
    </row>
    <row r="41" spans="1:16" ht="15" customHeight="1">
      <c r="L41" s="280" t="s">
        <v>138</v>
      </c>
      <c r="O41" s="200"/>
      <c r="P41" s="200"/>
    </row>
    <row r="42" spans="1:16" ht="15" customHeight="1"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</row>
    <row r="43" spans="1:16" ht="15" customHeight="1">
      <c r="P43" s="1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DBD4-C346-4F17-8972-6CAD7BAF8630}">
  <sheetPr>
    <pageSetUpPr autoPageBreaks="0"/>
  </sheetPr>
  <dimension ref="A1:M127"/>
  <sheetViews>
    <sheetView showGridLines="0" zoomScaleNormal="100" zoomScaleSheetLayoutView="80" workbookViewId="0">
      <pane ySplit="1" topLeftCell="A2" activePane="bottomLeft" state="frozen"/>
      <selection pane="bottomLeft"/>
    </sheetView>
  </sheetViews>
  <sheetFormatPr defaultColWidth="11.7109375" defaultRowHeight="15" customHeight="1" outlineLevelRow="1"/>
  <cols>
    <col min="1" max="1" width="5.5703125" style="109" customWidth="1"/>
    <col min="2" max="12" width="13.7109375" style="109" customWidth="1"/>
    <col min="14" max="16384" width="11.7109375" style="109"/>
  </cols>
  <sheetData>
    <row r="1" spans="1:13" ht="50.1" customHeight="1">
      <c r="A1" s="115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57"/>
    </row>
    <row r="3" spans="1:13" ht="15" customHeight="1">
      <c r="A3" s="109" t="s">
        <v>0</v>
      </c>
      <c r="B3" s="239" t="str">
        <f>CONCATENATE($L$9&amp;": Transaction Value")</f>
        <v>Golden Pantry: Transaction Value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</row>
    <row r="4" spans="1:13" ht="15" customHeight="1" outlineLevel="1"/>
    <row r="5" spans="1:13" ht="15" customHeight="1" outlineLevel="1">
      <c r="B5" s="33" t="s">
        <v>19</v>
      </c>
      <c r="C5" s="33"/>
      <c r="D5" s="33"/>
      <c r="F5" s="33"/>
    </row>
    <row r="6" spans="1:13" ht="15" customHeight="1" outlineLevel="1"/>
    <row r="7" spans="1:13" ht="15" customHeight="1" outlineLevel="1">
      <c r="B7" s="79" t="s">
        <v>36</v>
      </c>
      <c r="E7" s="79"/>
      <c r="F7" s="275" t="str">
        <f>IF(E12=1,"COMPLETE","")</f>
        <v/>
      </c>
      <c r="H7" s="148" t="s">
        <v>35</v>
      </c>
      <c r="I7" s="149"/>
      <c r="J7" s="149"/>
      <c r="K7" s="149"/>
      <c r="L7" s="535" t="str">
        <f>IF(K10=1,"COMPLETE","")</f>
        <v/>
      </c>
    </row>
    <row r="8" spans="1:13" ht="15" customHeight="1" outlineLevel="1">
      <c r="B8" s="185"/>
      <c r="C8" s="185"/>
      <c r="D8" s="185"/>
      <c r="E8" s="185"/>
      <c r="F8" s="185"/>
    </row>
    <row r="9" spans="1:13" ht="15" customHeight="1" outlineLevel="1">
      <c r="B9" s="183" t="s">
        <v>99</v>
      </c>
      <c r="E9" s="274"/>
      <c r="F9" s="116" t="s">
        <v>122</v>
      </c>
      <c r="H9" s="183" t="s">
        <v>99</v>
      </c>
      <c r="K9" s="274"/>
      <c r="L9" s="116" t="s">
        <v>121</v>
      </c>
    </row>
    <row r="10" spans="1:13" ht="15" customHeight="1" outlineLevel="1">
      <c r="B10" s="183" t="s">
        <v>100</v>
      </c>
      <c r="D10" s="117" t="s">
        <v>28</v>
      </c>
      <c r="F10" s="70">
        <v>5</v>
      </c>
      <c r="H10" s="183" t="s">
        <v>100</v>
      </c>
      <c r="J10" s="117" t="s">
        <v>28</v>
      </c>
      <c r="K10" s="540">
        <f>'GPT-R'!X10</f>
        <v>0</v>
      </c>
      <c r="L10" s="481"/>
    </row>
    <row r="11" spans="1:13" ht="15" customHeight="1" outlineLevel="1">
      <c r="H11" s="184"/>
    </row>
    <row r="12" spans="1:13" ht="15" customHeight="1" outlineLevel="1">
      <c r="B12" s="369" t="s">
        <v>157</v>
      </c>
      <c r="D12" s="117" t="s">
        <v>33</v>
      </c>
      <c r="E12" s="274"/>
      <c r="F12" s="258">
        <v>45112</v>
      </c>
    </row>
    <row r="13" spans="1:13" ht="15" customHeight="1" outlineLevel="1">
      <c r="F13" s="135"/>
      <c r="H13" s="135"/>
      <c r="I13" s="135"/>
    </row>
    <row r="14" spans="1:13" ht="15" customHeight="1" outlineLevel="1"/>
    <row r="15" spans="1:13" ht="15" customHeight="1" outlineLevel="1"/>
    <row r="16" spans="1:13" ht="15" customHeight="1" outlineLevel="1">
      <c r="B16" s="148" t="s">
        <v>76</v>
      </c>
      <c r="C16" s="149"/>
      <c r="D16" s="149"/>
      <c r="E16" s="149"/>
      <c r="F16" s="535" t="str">
        <f>IF(SUM(E18:E25)=5,"COMPLETE","")</f>
        <v/>
      </c>
      <c r="H16" s="148" t="s">
        <v>82</v>
      </c>
      <c r="I16" s="148"/>
      <c r="J16" s="149"/>
      <c r="K16" s="148"/>
      <c r="L16" s="535" t="str">
        <f>IF(SUM(K18:K21)=2,"COMPLETE","")</f>
        <v/>
      </c>
    </row>
    <row r="17" spans="2:12" ht="15" customHeight="1" outlineLevel="1">
      <c r="B17" s="79"/>
    </row>
    <row r="18" spans="2:12" ht="15" customHeight="1" outlineLevel="1">
      <c r="B18" s="183" t="s">
        <v>101</v>
      </c>
      <c r="D18" s="117" t="s">
        <v>28</v>
      </c>
      <c r="E18" s="540">
        <f>'GPT-R'!S18</f>
        <v>0</v>
      </c>
      <c r="F18" s="482"/>
      <c r="H18" s="110" t="s">
        <v>77</v>
      </c>
      <c r="I18" s="110"/>
      <c r="J18" s="117" t="s">
        <v>28</v>
      </c>
      <c r="K18" s="540">
        <f>'GPT-R'!X18</f>
        <v>0</v>
      </c>
      <c r="L18" s="380"/>
    </row>
    <row r="19" spans="2:12" ht="15" customHeight="1" outlineLevel="1">
      <c r="E19" s="534"/>
      <c r="H19" s="257" t="s">
        <v>42</v>
      </c>
      <c r="I19" s="110"/>
      <c r="J19" s="117" t="s">
        <v>27</v>
      </c>
      <c r="K19" s="534"/>
      <c r="L19" s="217">
        <v>2781.5</v>
      </c>
    </row>
    <row r="20" spans="2:12" ht="5.0999999999999996" customHeight="1" outlineLevel="1">
      <c r="E20" s="534"/>
      <c r="H20" s="257"/>
      <c r="I20" s="110"/>
      <c r="J20" s="117"/>
      <c r="K20" s="534"/>
      <c r="L20" s="305" t="s">
        <v>0</v>
      </c>
    </row>
    <row r="21" spans="2:12" ht="15" customHeight="1" outlineLevel="1">
      <c r="B21" s="183" t="s">
        <v>102</v>
      </c>
      <c r="D21" s="117"/>
      <c r="E21" s="540">
        <f>'GPT-R'!S20</f>
        <v>0</v>
      </c>
      <c r="F21" s="483"/>
      <c r="H21" s="110" t="s">
        <v>82</v>
      </c>
      <c r="I21" s="110"/>
      <c r="J21" s="117" t="s">
        <v>47</v>
      </c>
      <c r="K21" s="540">
        <f>'GPT-R'!X20</f>
        <v>0</v>
      </c>
      <c r="L21" s="516"/>
    </row>
    <row r="22" spans="2:12" ht="15" customHeight="1" outlineLevel="1">
      <c r="B22" s="183" t="s">
        <v>103</v>
      </c>
      <c r="D22" s="117" t="s">
        <v>28</v>
      </c>
      <c r="E22" s="540">
        <f>'GPT-R'!S21</f>
        <v>0</v>
      </c>
      <c r="F22" s="380"/>
    </row>
    <row r="23" spans="2:12" ht="15" customHeight="1" outlineLevel="1">
      <c r="E23" s="534"/>
      <c r="H23" s="183"/>
      <c r="I23" s="110"/>
      <c r="L23" s="254"/>
    </row>
    <row r="24" spans="2:12" ht="15" customHeight="1" outlineLevel="1">
      <c r="B24" s="183" t="s">
        <v>104</v>
      </c>
      <c r="D24" s="117" t="s">
        <v>28</v>
      </c>
      <c r="E24" s="540">
        <f>'GPT-R'!S23</f>
        <v>0</v>
      </c>
      <c r="F24" s="484"/>
      <c r="H24" s="112"/>
      <c r="I24" s="112"/>
      <c r="K24" s="79"/>
      <c r="L24" s="255"/>
    </row>
    <row r="25" spans="2:12" ht="15" customHeight="1" outlineLevel="1">
      <c r="B25" s="183" t="s">
        <v>105</v>
      </c>
      <c r="E25" s="540">
        <f>'GPT-R'!S24</f>
        <v>0</v>
      </c>
      <c r="F25" s="485"/>
    </row>
    <row r="26" spans="2:12" ht="15" customHeight="1" outlineLevel="1" thickBot="1">
      <c r="B26" s="257" t="s">
        <v>156</v>
      </c>
      <c r="F26" s="299" t="e" cm="1">
        <f t="array" ref="F26">_xlfn.IFS(AND(F18,F21),"Mix",F18,"Cash",F21,"Stock")</f>
        <v>#VALUE!</v>
      </c>
    </row>
    <row r="27" spans="2:12" ht="15" customHeight="1" outlineLevel="1">
      <c r="F27" s="300"/>
    </row>
    <row r="28" spans="2:12" ht="15" customHeight="1" outlineLevel="1"/>
    <row r="29" spans="2:12" ht="15" customHeight="1" outlineLevel="1">
      <c r="B29" s="148" t="s">
        <v>39</v>
      </c>
      <c r="C29" s="149"/>
      <c r="D29" s="149"/>
      <c r="E29" s="149"/>
      <c r="F29" s="535" t="str">
        <f>IF(E37=1,"COMPLETE","")</f>
        <v/>
      </c>
      <c r="H29" s="148" t="s">
        <v>80</v>
      </c>
      <c r="I29" s="148"/>
      <c r="J29" s="149"/>
      <c r="K29" s="148"/>
      <c r="L29" s="535" t="str">
        <f>IF(SUM(K31:K41)=5,"COMPLETE","")</f>
        <v/>
      </c>
    </row>
    <row r="30" spans="2:12" ht="15" customHeight="1" outlineLevel="1"/>
    <row r="31" spans="2:12" ht="15" customHeight="1" outlineLevel="1">
      <c r="H31" s="110" t="s">
        <v>82</v>
      </c>
      <c r="I31" s="110"/>
      <c r="J31" s="117" t="s">
        <v>47</v>
      </c>
      <c r="K31" s="540">
        <f>'GPT-R'!X30</f>
        <v>0</v>
      </c>
      <c r="L31" s="518"/>
    </row>
    <row r="32" spans="2:12" ht="15" customHeight="1" outlineLevel="1">
      <c r="H32" s="110" t="s">
        <v>51</v>
      </c>
      <c r="I32" s="110"/>
      <c r="K32" s="546"/>
      <c r="L32" s="513">
        <v>0</v>
      </c>
    </row>
    <row r="33" spans="2:12" ht="15" customHeight="1" outlineLevel="1">
      <c r="B33" s="110" t="s">
        <v>48</v>
      </c>
      <c r="F33" s="513">
        <v>96</v>
      </c>
      <c r="H33" s="110" t="s">
        <v>49</v>
      </c>
      <c r="I33" s="110"/>
      <c r="K33" s="540">
        <f>'GPT-R'!X32</f>
        <v>0</v>
      </c>
      <c r="L33" s="516"/>
    </row>
    <row r="34" spans="2:12" ht="15" customHeight="1" outlineLevel="1">
      <c r="B34" s="110" t="s">
        <v>50</v>
      </c>
      <c r="F34" s="513">
        <v>1885</v>
      </c>
      <c r="H34" s="110" t="s">
        <v>52</v>
      </c>
      <c r="I34" s="110"/>
      <c r="K34" s="546"/>
      <c r="L34" s="513">
        <v>0</v>
      </c>
    </row>
    <row r="35" spans="2:12" ht="15" customHeight="1" outlineLevel="1">
      <c r="B35" s="110" t="s">
        <v>54</v>
      </c>
      <c r="C35" s="79"/>
      <c r="F35" s="513">
        <v>-274</v>
      </c>
      <c r="H35" s="110" t="s">
        <v>83</v>
      </c>
      <c r="I35" s="110"/>
      <c r="K35" s="546"/>
      <c r="L35" s="513">
        <v>-31</v>
      </c>
    </row>
    <row r="36" spans="2:12" ht="5.0999999999999996" customHeight="1" outlineLevel="1">
      <c r="B36" s="110"/>
      <c r="C36" s="79"/>
      <c r="F36" s="509" t="s">
        <v>0</v>
      </c>
      <c r="G36" s="334"/>
      <c r="H36" s="335"/>
      <c r="I36" s="335"/>
      <c r="J36" s="334"/>
      <c r="K36" s="546"/>
      <c r="L36" s="509" t="s">
        <v>0</v>
      </c>
    </row>
    <row r="37" spans="2:12" ht="15" customHeight="1" outlineLevel="1">
      <c r="B37" s="112" t="s">
        <v>39</v>
      </c>
      <c r="C37" s="79"/>
      <c r="E37" s="540">
        <f>'GPT-R'!S36</f>
        <v>0</v>
      </c>
      <c r="F37" s="517"/>
      <c r="H37" s="106" t="s">
        <v>80</v>
      </c>
      <c r="I37" s="106"/>
      <c r="K37" s="540">
        <f>'GPT-R'!X35</f>
        <v>0</v>
      </c>
      <c r="L37" s="516"/>
    </row>
    <row r="38" spans="2:12" ht="15" customHeight="1" outlineLevel="1">
      <c r="K38" s="534"/>
      <c r="L38" s="527"/>
    </row>
    <row r="39" spans="2:12" ht="15" customHeight="1" outlineLevel="1">
      <c r="H39" s="110" t="s">
        <v>78</v>
      </c>
      <c r="K39" s="540">
        <f>'GPT-R'!X37</f>
        <v>0</v>
      </c>
      <c r="L39" s="526"/>
    </row>
    <row r="40" spans="2:12" ht="5.0999999999999996" customHeight="1" outlineLevel="1">
      <c r="H40" s="110"/>
      <c r="K40" s="540"/>
      <c r="L40" s="305" t="s">
        <v>0</v>
      </c>
    </row>
    <row r="41" spans="2:12" ht="15" customHeight="1" outlineLevel="1">
      <c r="H41" s="257" t="s">
        <v>141</v>
      </c>
      <c r="I41" s="112"/>
      <c r="K41" s="540">
        <f>'GPT-R'!X38</f>
        <v>0</v>
      </c>
      <c r="L41" s="486"/>
    </row>
    <row r="42" spans="2:12" ht="15" customHeight="1" outlineLevel="1">
      <c r="H42"/>
      <c r="I42"/>
    </row>
    <row r="43" spans="2:12" ht="15" customHeight="1" outlineLevel="1"/>
    <row r="44" spans="2:12" ht="15" customHeight="1" outlineLevel="1">
      <c r="F44"/>
      <c r="G44"/>
      <c r="K44" s="120"/>
    </row>
    <row r="45" spans="2:12" ht="15" customHeight="1" outlineLevel="1">
      <c r="F45" s="135"/>
      <c r="G45" s="135"/>
      <c r="H45" s="135"/>
      <c r="I45" s="135"/>
      <c r="L45" s="186" t="s">
        <v>79</v>
      </c>
    </row>
    <row r="46" spans="2:12" ht="15" customHeight="1" outlineLevel="1">
      <c r="F46"/>
      <c r="G46"/>
      <c r="K46" s="113"/>
      <c r="L46" s="113"/>
    </row>
    <row r="47" spans="2:12" ht="15" customHeight="1" outlineLevel="1">
      <c r="B47" s="111"/>
      <c r="C47" s="111"/>
      <c r="D47" s="111"/>
      <c r="E47" s="111"/>
      <c r="F47" s="19"/>
      <c r="G47" s="19"/>
      <c r="H47" s="111"/>
      <c r="I47" s="111"/>
      <c r="J47" s="114"/>
      <c r="K47" s="114"/>
      <c r="L47" s="114"/>
    </row>
    <row r="48" spans="2:12" ht="15" customHeight="1">
      <c r="F48"/>
      <c r="G48"/>
      <c r="J48" s="113"/>
      <c r="K48" s="113"/>
      <c r="L48" s="113"/>
    </row>
    <row r="49" spans="1:12" s="223" customFormat="1" ht="15" customHeight="1">
      <c r="A49" s="223" t="s">
        <v>0</v>
      </c>
      <c r="B49" s="239" t="str">
        <f>CONCATENATE($L$9&amp;": Income Statement")</f>
        <v>Golden Pantry: Income Statement</v>
      </c>
      <c r="C49" s="240"/>
      <c r="D49" s="241"/>
      <c r="E49" s="241"/>
      <c r="F49" s="241"/>
      <c r="G49" s="241"/>
      <c r="H49" s="241"/>
      <c r="I49" s="241"/>
      <c r="J49" s="241"/>
      <c r="K49" s="241"/>
      <c r="L49" s="241"/>
    </row>
    <row r="50" spans="1:12" customFormat="1" ht="15" customHeight="1" outlineLevel="1"/>
    <row r="51" spans="1:12" customFormat="1" ht="15" customHeight="1" outlineLevel="1">
      <c r="B51" s="33" t="s">
        <v>19</v>
      </c>
      <c r="C51" s="33"/>
      <c r="D51" s="33"/>
      <c r="E51" s="33"/>
    </row>
    <row r="52" spans="1:12" customFormat="1" ht="15" customHeight="1" outlineLevel="1">
      <c r="B52" s="33"/>
      <c r="C52" s="33"/>
      <c r="D52" s="33"/>
      <c r="E52" s="33"/>
      <c r="F52" s="223"/>
    </row>
    <row r="53" spans="1:12" s="223" customFormat="1" ht="15" customHeight="1" outlineLevel="1">
      <c r="H53" s="145" t="s">
        <v>55</v>
      </c>
      <c r="I53" s="131" t="s">
        <v>56</v>
      </c>
      <c r="J53" s="146" t="s">
        <v>57</v>
      </c>
      <c r="K53" s="178"/>
    </row>
    <row r="54" spans="1:12" s="223" customFormat="1" ht="15" customHeight="1" outlineLevel="1">
      <c r="G54" s="122"/>
      <c r="H54" s="142" t="s">
        <v>58</v>
      </c>
      <c r="I54" s="140" t="s">
        <v>59</v>
      </c>
      <c r="J54" s="140" t="s">
        <v>59</v>
      </c>
      <c r="K54" s="179" t="s">
        <v>60</v>
      </c>
    </row>
    <row r="55" spans="1:12" s="223" customFormat="1" ht="15" customHeight="1" outlineLevel="1" thickBot="1">
      <c r="B55" s="148" t="s">
        <v>38</v>
      </c>
      <c r="C55" s="148"/>
      <c r="D55" s="148"/>
      <c r="E55" s="79"/>
      <c r="H55" s="263">
        <v>44926</v>
      </c>
      <c r="I55" s="264">
        <v>45107</v>
      </c>
      <c r="J55" s="141">
        <f>IFERROR(EDATE(I55,-12),"")</f>
        <v>44742</v>
      </c>
      <c r="K55" s="265">
        <f>IF(I55,I55,H55)</f>
        <v>45107</v>
      </c>
    </row>
    <row r="56" spans="1:12" s="223" customFormat="1" ht="15" customHeight="1" outlineLevel="1">
      <c r="B56" s="79"/>
      <c r="C56" s="79"/>
      <c r="D56" s="79"/>
      <c r="E56" s="79"/>
      <c r="H56" s="143"/>
      <c r="I56" s="143"/>
      <c r="J56" s="143"/>
      <c r="K56" s="121"/>
    </row>
    <row r="57" spans="1:12" s="223" customFormat="1" ht="15" customHeight="1" outlineLevel="1">
      <c r="B57" s="79"/>
      <c r="C57" s="79"/>
      <c r="D57" s="79"/>
      <c r="E57" s="79"/>
      <c r="H57" s="121"/>
      <c r="I57" s="121"/>
      <c r="J57" s="121"/>
      <c r="K57" s="121"/>
    </row>
    <row r="58" spans="1:12" s="223" customFormat="1" ht="15" customHeight="1" outlineLevel="1">
      <c r="B58" s="225" t="s">
        <v>40</v>
      </c>
      <c r="C58" s="225"/>
      <c r="D58" s="225"/>
      <c r="E58" s="225"/>
      <c r="H58" s="513">
        <v>54550</v>
      </c>
      <c r="I58" s="513">
        <v>28911</v>
      </c>
      <c r="J58" s="513">
        <v>25638</v>
      </c>
      <c r="K58" s="69">
        <f>H58+I58-J58</f>
        <v>57823</v>
      </c>
      <c r="L58"/>
    </row>
    <row r="59" spans="1:12" s="223" customFormat="1" ht="15" customHeight="1" outlineLevel="1">
      <c r="B59" s="225" t="s">
        <v>61</v>
      </c>
      <c r="C59" s="225"/>
      <c r="D59" s="225"/>
      <c r="E59" s="225"/>
      <c r="H59" s="513">
        <v>-50670</v>
      </c>
      <c r="I59" s="513">
        <v>-26855</v>
      </c>
      <c r="J59" s="513">
        <v>-23815</v>
      </c>
      <c r="K59" s="69">
        <f>H59+I59-J59</f>
        <v>-53710</v>
      </c>
      <c r="L59"/>
    </row>
    <row r="60" spans="1:12" s="223" customFormat="1" ht="5.0999999999999996" customHeight="1" outlineLevel="1">
      <c r="B60" s="225"/>
      <c r="C60" s="225"/>
      <c r="D60" s="225"/>
      <c r="E60" s="225"/>
      <c r="H60" s="509" t="s">
        <v>0</v>
      </c>
      <c r="I60" s="509" t="s">
        <v>0</v>
      </c>
      <c r="J60" s="509" t="s">
        <v>0</v>
      </c>
      <c r="K60" s="510" t="s">
        <v>0</v>
      </c>
      <c r="L60"/>
    </row>
    <row r="61" spans="1:12" s="223" customFormat="1" ht="15" customHeight="1" outlineLevel="1">
      <c r="B61" s="225" t="s">
        <v>41</v>
      </c>
      <c r="C61" s="225"/>
      <c r="D61" s="225"/>
      <c r="E61" s="225"/>
      <c r="H61" s="511">
        <f>SUM(H58:H59)</f>
        <v>3880</v>
      </c>
      <c r="I61" s="511">
        <f>SUM(I58:I59)</f>
        <v>2056</v>
      </c>
      <c r="J61" s="511">
        <f>SUM(J58:J59)</f>
        <v>1823</v>
      </c>
      <c r="K61" s="69">
        <f>H61+I61-J61</f>
        <v>4113</v>
      </c>
      <c r="L61"/>
    </row>
    <row r="62" spans="1:12" s="223" customFormat="1" ht="15" customHeight="1" outlineLevel="1">
      <c r="B62" s="225"/>
      <c r="C62" s="225"/>
      <c r="D62" s="225"/>
      <c r="E62" s="225"/>
      <c r="H62" s="511"/>
      <c r="I62" s="511"/>
      <c r="J62" s="511"/>
      <c r="K62" s="511"/>
      <c r="L62"/>
    </row>
    <row r="63" spans="1:12" s="223" customFormat="1" ht="15" customHeight="1" outlineLevel="1">
      <c r="B63" s="225" t="s">
        <v>62</v>
      </c>
      <c r="C63" s="225"/>
      <c r="D63" s="225"/>
      <c r="E63" s="225"/>
      <c r="H63" s="513">
        <v>-1622</v>
      </c>
      <c r="I63" s="513">
        <v>-860</v>
      </c>
      <c r="J63" s="513">
        <v>-762</v>
      </c>
      <c r="K63" s="69">
        <f>H63+I63-J63</f>
        <v>-1720</v>
      </c>
      <c r="L63"/>
    </row>
    <row r="64" spans="1:12" s="223" customFormat="1" ht="5.0999999999999996" customHeight="1" outlineLevel="1">
      <c r="B64" s="225"/>
      <c r="C64" s="225"/>
      <c r="D64" s="225"/>
      <c r="E64" s="225"/>
      <c r="H64" s="509" t="s">
        <v>0</v>
      </c>
      <c r="I64" s="509" t="s">
        <v>0</v>
      </c>
      <c r="J64" s="509" t="s">
        <v>0</v>
      </c>
      <c r="K64" s="510" t="s">
        <v>0</v>
      </c>
      <c r="L64"/>
    </row>
    <row r="65" spans="2:12" s="223" customFormat="1" ht="15" customHeight="1" outlineLevel="1">
      <c r="B65" s="225" t="s">
        <v>63</v>
      </c>
      <c r="C65" s="225"/>
      <c r="D65" s="225"/>
      <c r="E65" s="225"/>
      <c r="H65" s="511">
        <f>H61+H63</f>
        <v>2258</v>
      </c>
      <c r="I65" s="511">
        <f>I61+I63</f>
        <v>1196</v>
      </c>
      <c r="J65" s="511">
        <f>J61+J63</f>
        <v>1061</v>
      </c>
      <c r="K65" s="69">
        <f>H65+I65-J65</f>
        <v>2393</v>
      </c>
      <c r="L65"/>
    </row>
    <row r="66" spans="2:12" s="223" customFormat="1" ht="15" customHeight="1" outlineLevel="1">
      <c r="B66" s="112"/>
      <c r="C66" s="112"/>
      <c r="D66" s="112"/>
      <c r="E66" s="112"/>
      <c r="G66" s="79"/>
      <c r="H66" s="512"/>
      <c r="I66" s="512"/>
      <c r="J66" s="512"/>
      <c r="K66" s="512"/>
      <c r="L66"/>
    </row>
    <row r="67" spans="2:12" s="223" customFormat="1" ht="15" customHeight="1" outlineLevel="1">
      <c r="B67" s="225" t="s">
        <v>135</v>
      </c>
      <c r="C67" s="225"/>
      <c r="D67" s="225"/>
      <c r="E67" s="225"/>
      <c r="H67" s="513">
        <v>-644</v>
      </c>
      <c r="I67" s="513">
        <v>-342</v>
      </c>
      <c r="J67" s="513">
        <v>-302</v>
      </c>
      <c r="K67" s="69">
        <f>H67+I67-J67</f>
        <v>-684</v>
      </c>
      <c r="L67"/>
    </row>
    <row r="68" spans="2:12" s="223" customFormat="1" ht="15" customHeight="1" outlineLevel="1">
      <c r="B68" s="225" t="s">
        <v>134</v>
      </c>
      <c r="C68" s="225"/>
      <c r="D68" s="225"/>
      <c r="E68" s="225"/>
      <c r="H68" s="513">
        <v>214</v>
      </c>
      <c r="I68" s="513">
        <v>114</v>
      </c>
      <c r="J68" s="513">
        <v>100</v>
      </c>
      <c r="K68" s="69">
        <f>H68+I68-J68</f>
        <v>228</v>
      </c>
      <c r="L68"/>
    </row>
    <row r="69" spans="2:12" s="223" customFormat="1" ht="15" customHeight="1" outlineLevel="1">
      <c r="B69" s="225" t="s">
        <v>64</v>
      </c>
      <c r="C69" s="225"/>
      <c r="D69" s="225"/>
      <c r="E69" s="225"/>
      <c r="H69" s="513">
        <v>5</v>
      </c>
      <c r="I69" s="513">
        <v>2</v>
      </c>
      <c r="J69" s="513">
        <v>2</v>
      </c>
      <c r="K69" s="69">
        <f>H69+I69-J69</f>
        <v>5</v>
      </c>
      <c r="L69"/>
    </row>
    <row r="70" spans="2:12" s="223" customFormat="1" ht="5.0999999999999996" customHeight="1" outlineLevel="1">
      <c r="B70" s="225"/>
      <c r="C70" s="225"/>
      <c r="D70" s="225"/>
      <c r="E70" s="225"/>
      <c r="H70" s="509" t="s">
        <v>0</v>
      </c>
      <c r="I70" s="509" t="s">
        <v>0</v>
      </c>
      <c r="J70" s="509" t="s">
        <v>0</v>
      </c>
      <c r="K70" s="510" t="s">
        <v>0</v>
      </c>
      <c r="L70"/>
    </row>
    <row r="71" spans="2:12" s="223" customFormat="1" ht="15" customHeight="1" outlineLevel="1">
      <c r="B71" s="225" t="s">
        <v>65</v>
      </c>
      <c r="C71" s="225"/>
      <c r="D71" s="225"/>
      <c r="E71" s="225"/>
      <c r="H71" s="511">
        <f>SUM(H65:H69)</f>
        <v>1833</v>
      </c>
      <c r="I71" s="511">
        <f>SUM(I65:I69)</f>
        <v>970</v>
      </c>
      <c r="J71" s="511">
        <f>SUM(J65:J69)</f>
        <v>861</v>
      </c>
      <c r="K71" s="69">
        <f>H71+I71-J71</f>
        <v>1942</v>
      </c>
      <c r="L71"/>
    </row>
    <row r="72" spans="2:12" s="223" customFormat="1" ht="15" customHeight="1" outlineLevel="1">
      <c r="B72" s="225"/>
      <c r="C72" s="225"/>
      <c r="D72" s="225"/>
      <c r="E72" s="225"/>
      <c r="H72" s="511"/>
      <c r="I72" s="511"/>
      <c r="J72" s="511"/>
      <c r="K72" s="511"/>
      <c r="L72"/>
    </row>
    <row r="73" spans="2:12" s="223" customFormat="1" ht="15" customHeight="1" outlineLevel="1">
      <c r="B73" s="225" t="s">
        <v>66</v>
      </c>
      <c r="C73" s="225"/>
      <c r="D73" s="225"/>
      <c r="E73" s="225"/>
      <c r="H73" s="513">
        <v>-454</v>
      </c>
      <c r="I73" s="513">
        <v>-222</v>
      </c>
      <c r="J73" s="513">
        <v>-214</v>
      </c>
      <c r="K73" s="69">
        <f>H73+I73-J73</f>
        <v>-462</v>
      </c>
      <c r="L73"/>
    </row>
    <row r="74" spans="2:12" s="223" customFormat="1" ht="5.0999999999999996" customHeight="1" outlineLevel="1">
      <c r="B74" s="225"/>
      <c r="C74" s="225"/>
      <c r="D74" s="225"/>
      <c r="E74" s="225"/>
      <c r="H74" s="509" t="s">
        <v>0</v>
      </c>
      <c r="I74" s="509" t="s">
        <v>0</v>
      </c>
      <c r="J74" s="509" t="s">
        <v>0</v>
      </c>
      <c r="K74" s="510" t="s">
        <v>0</v>
      </c>
      <c r="L74"/>
    </row>
    <row r="75" spans="2:12" s="223" customFormat="1" ht="15" customHeight="1" outlineLevel="1">
      <c r="B75" s="225" t="s">
        <v>67</v>
      </c>
      <c r="C75" s="225"/>
      <c r="D75" s="225"/>
      <c r="E75" s="225"/>
      <c r="H75" s="511">
        <f>H71+H73</f>
        <v>1379</v>
      </c>
      <c r="I75" s="511">
        <f>I71+I73</f>
        <v>748</v>
      </c>
      <c r="J75" s="511">
        <f>J71+J73</f>
        <v>647</v>
      </c>
      <c r="K75" s="69">
        <f>H75+I75-J75</f>
        <v>1480</v>
      </c>
      <c r="L75" s="126"/>
    </row>
    <row r="76" spans="2:12" s="223" customFormat="1" ht="15" customHeight="1" outlineLevel="1">
      <c r="B76" s="225"/>
      <c r="C76" s="225"/>
      <c r="D76" s="225"/>
      <c r="E76" s="225"/>
      <c r="H76" s="511"/>
      <c r="I76" s="511"/>
      <c r="J76" s="511"/>
      <c r="K76" s="511"/>
      <c r="L76" s="126"/>
    </row>
    <row r="77" spans="2:12" s="223" customFormat="1" ht="15" customHeight="1" outlineLevel="1">
      <c r="B77" s="225" t="s">
        <v>68</v>
      </c>
      <c r="C77" s="225"/>
      <c r="D77" s="225"/>
      <c r="E77" s="225"/>
      <c r="H77" s="513">
        <v>-2</v>
      </c>
      <c r="I77" s="513">
        <v>-2</v>
      </c>
      <c r="J77" s="513">
        <v>-1</v>
      </c>
      <c r="K77" s="69">
        <f>H77+I77-J77</f>
        <v>-3</v>
      </c>
      <c r="L77"/>
    </row>
    <row r="78" spans="2:12" s="223" customFormat="1" ht="5.0999999999999996" customHeight="1" outlineLevel="1">
      <c r="B78" s="225"/>
      <c r="C78" s="225"/>
      <c r="D78" s="225"/>
      <c r="E78" s="225"/>
      <c r="H78" s="509"/>
      <c r="I78" s="509"/>
      <c r="J78" s="509"/>
      <c r="K78" s="510"/>
      <c r="L78"/>
    </row>
    <row r="79" spans="2:12" s="223" customFormat="1" ht="15" customHeight="1" outlineLevel="1" thickBot="1">
      <c r="B79" s="112" t="s">
        <v>69</v>
      </c>
      <c r="C79" s="112"/>
      <c r="D79" s="112"/>
      <c r="E79" s="112"/>
      <c r="G79" s="79"/>
      <c r="H79" s="519">
        <f>H75+H77</f>
        <v>1377</v>
      </c>
      <c r="I79" s="519">
        <f>I75+I77</f>
        <v>746</v>
      </c>
      <c r="J79" s="519">
        <f>J75+J77</f>
        <v>646</v>
      </c>
      <c r="K79" s="520">
        <f>H79+I79-J79</f>
        <v>1477</v>
      </c>
      <c r="L79"/>
    </row>
    <row r="80" spans="2:12" s="223" customFormat="1" ht="15" customHeight="1" outlineLevel="1">
      <c r="B80" s="225"/>
      <c r="C80" s="225"/>
      <c r="D80" s="225"/>
      <c r="E80" s="225"/>
      <c r="H80" s="128"/>
      <c r="I80" s="129"/>
      <c r="J80" s="129"/>
      <c r="K80" s="129"/>
      <c r="L80" s="129"/>
    </row>
    <row r="81" spans="2:12" s="223" customFormat="1" ht="15" customHeight="1" outlineLevel="1">
      <c r="B81" s="225"/>
      <c r="C81" s="225"/>
      <c r="D81" s="225"/>
      <c r="E81" s="225"/>
      <c r="H81" s="128"/>
      <c r="I81" s="129"/>
      <c r="J81" s="129"/>
      <c r="K81" s="129"/>
      <c r="L81" s="129"/>
    </row>
    <row r="82" spans="2:12" s="223" customFormat="1" ht="15" customHeight="1" outlineLevel="1">
      <c r="B82" s="225" t="s">
        <v>71</v>
      </c>
      <c r="C82" s="225"/>
      <c r="D82" s="225"/>
      <c r="E82" s="225"/>
      <c r="G82" s="117" t="s">
        <v>72</v>
      </c>
      <c r="H82" s="123">
        <v>2655.7</v>
      </c>
      <c r="I82" s="123">
        <v>2645.8</v>
      </c>
      <c r="J82" s="123">
        <v>2541.1</v>
      </c>
      <c r="K82" s="124">
        <f>K79/K84</f>
        <v>2703.9245302692784</v>
      </c>
    </row>
    <row r="83" spans="2:12" s="223" customFormat="1" ht="5.0999999999999996" customHeight="1" outlineLevel="1">
      <c r="B83" s="225"/>
      <c r="C83" s="225"/>
      <c r="D83" s="225"/>
      <c r="E83" s="225"/>
      <c r="G83" s="117"/>
      <c r="H83" s="306" t="s">
        <v>0</v>
      </c>
      <c r="I83" s="306" t="s">
        <v>0</v>
      </c>
      <c r="J83" s="306" t="s">
        <v>0</v>
      </c>
      <c r="K83" s="306" t="s">
        <v>0</v>
      </c>
    </row>
    <row r="84" spans="2:12" s="223" customFormat="1" ht="15" customHeight="1" outlineLevel="1">
      <c r="B84" s="225" t="s">
        <v>70</v>
      </c>
      <c r="C84" s="225"/>
      <c r="D84" s="225"/>
      <c r="E84" s="225"/>
      <c r="G84" s="117" t="s">
        <v>28</v>
      </c>
      <c r="H84" s="147">
        <f>H79/H82</f>
        <v>0.51850736152426857</v>
      </c>
      <c r="I84" s="147">
        <f>I79/I82</f>
        <v>0.28195630811096833</v>
      </c>
      <c r="J84" s="147">
        <f>J79/J82</f>
        <v>0.25422061312030225</v>
      </c>
      <c r="K84" s="147">
        <f>H84+I84-J84</f>
        <v>0.54624305651493477</v>
      </c>
      <c r="L84"/>
    </row>
    <row r="85" spans="2:12" s="223" customFormat="1" ht="15" customHeight="1" outlineLevel="1">
      <c r="B85" s="225"/>
      <c r="C85" s="225"/>
      <c r="D85" s="225"/>
      <c r="E85" s="225"/>
      <c r="H85"/>
      <c r="I85" s="129"/>
      <c r="J85" s="129"/>
      <c r="K85" s="176"/>
      <c r="L85"/>
    </row>
    <row r="86" spans="2:12" s="223" customFormat="1" ht="15" customHeight="1" outlineLevel="1">
      <c r="B86" s="225"/>
      <c r="C86" s="225"/>
      <c r="D86" s="225"/>
      <c r="E86" s="225"/>
      <c r="H86"/>
      <c r="I86" s="129"/>
      <c r="J86" s="129"/>
      <c r="K86" s="176"/>
      <c r="L86"/>
    </row>
    <row r="87" spans="2:12" s="223" customFormat="1" ht="15" customHeight="1" outlineLevel="1">
      <c r="H87" s="123"/>
      <c r="I87" s="123"/>
      <c r="J87" s="123"/>
    </row>
    <row r="88" spans="2:12" s="223" customFormat="1" ht="15" customHeight="1" outlineLevel="1">
      <c r="B88" s="148" t="s">
        <v>139</v>
      </c>
      <c r="C88" s="233"/>
      <c r="D88" s="233"/>
      <c r="H88" s="123"/>
      <c r="I88" s="123"/>
      <c r="J88" s="123"/>
    </row>
    <row r="89" spans="2:12" s="223" customFormat="1" ht="15" customHeight="1" outlineLevel="1">
      <c r="B89" s="253" t="s">
        <v>67</v>
      </c>
      <c r="H89" s="511">
        <f>H75</f>
        <v>1379</v>
      </c>
      <c r="I89" s="511">
        <f>I75</f>
        <v>748</v>
      </c>
      <c r="J89" s="511">
        <f>J75</f>
        <v>647</v>
      </c>
      <c r="K89" s="69">
        <f>H89+I89-J89</f>
        <v>1480</v>
      </c>
    </row>
    <row r="90" spans="2:12" s="223" customFormat="1" ht="15" customHeight="1" outlineLevel="1">
      <c r="B90" s="253" t="s">
        <v>147</v>
      </c>
      <c r="H90" s="511">
        <f>-H73</f>
        <v>454</v>
      </c>
      <c r="I90" s="511">
        <f>-I73</f>
        <v>222</v>
      </c>
      <c r="J90" s="511">
        <f>-J73</f>
        <v>214</v>
      </c>
      <c r="K90" s="69">
        <f>H90+I90-J90</f>
        <v>462</v>
      </c>
    </row>
    <row r="91" spans="2:12" s="223" customFormat="1" ht="15" customHeight="1" outlineLevel="1">
      <c r="B91" s="253" t="s">
        <v>158</v>
      </c>
      <c r="H91" s="511">
        <f>-H69</f>
        <v>-5</v>
      </c>
      <c r="I91" s="511">
        <f t="shared" ref="I91:J91" si="0">-I69</f>
        <v>-2</v>
      </c>
      <c r="J91" s="511">
        <f t="shared" si="0"/>
        <v>-2</v>
      </c>
      <c r="K91" s="69">
        <f>H91+I91-J91</f>
        <v>-5</v>
      </c>
    </row>
    <row r="92" spans="2:12" s="223" customFormat="1" ht="15" customHeight="1" outlineLevel="1">
      <c r="B92" s="253" t="s">
        <v>146</v>
      </c>
      <c r="H92" s="511">
        <f>-SUM(H67:H68)</f>
        <v>430</v>
      </c>
      <c r="I92" s="511">
        <f>-SUM(I67:I68)</f>
        <v>228</v>
      </c>
      <c r="J92" s="511">
        <f>-SUM(J67:J68)</f>
        <v>202</v>
      </c>
      <c r="K92" s="69">
        <f t="shared" ref="K92:K93" si="1">H92+I92-J92</f>
        <v>456</v>
      </c>
    </row>
    <row r="93" spans="2:12" s="223" customFormat="1" ht="15" customHeight="1" outlineLevel="1">
      <c r="B93" s="253" t="s">
        <v>148</v>
      </c>
      <c r="H93" s="513">
        <v>1395</v>
      </c>
      <c r="I93" s="513">
        <v>360</v>
      </c>
      <c r="J93" s="513">
        <v>698</v>
      </c>
      <c r="K93" s="69">
        <f t="shared" si="1"/>
        <v>1057</v>
      </c>
    </row>
    <row r="94" spans="2:12" s="223" customFormat="1" ht="5.0999999999999996" customHeight="1" outlineLevel="1">
      <c r="B94" s="253"/>
      <c r="H94" s="509" t="s">
        <v>0</v>
      </c>
      <c r="I94" s="509" t="s">
        <v>0</v>
      </c>
      <c r="J94" s="509" t="s">
        <v>0</v>
      </c>
      <c r="K94" s="510" t="s">
        <v>0</v>
      </c>
    </row>
    <row r="95" spans="2:12" s="223" customFormat="1" ht="15" customHeight="1" outlineLevel="1">
      <c r="B95" s="253" t="s">
        <v>30</v>
      </c>
      <c r="H95" s="511">
        <f>SUM(H89:H93)</f>
        <v>3653</v>
      </c>
      <c r="I95" s="511">
        <f>SUM(I89:I93)</f>
        <v>1556</v>
      </c>
      <c r="J95" s="511">
        <f>SUM(J89:J93)</f>
        <v>1759</v>
      </c>
      <c r="K95" s="511">
        <f>SUM(K89:K93)</f>
        <v>3450</v>
      </c>
    </row>
    <row r="96" spans="2:12" s="223" customFormat="1" ht="15" customHeight="1" outlineLevel="1">
      <c r="H96" s="123"/>
      <c r="I96" s="123"/>
      <c r="J96" s="123"/>
    </row>
    <row r="97" spans="1:12" s="223" customFormat="1" ht="15" customHeight="1" outlineLevel="1">
      <c r="H97" s="123"/>
      <c r="I97" s="123"/>
      <c r="J97" s="123"/>
      <c r="K97" s="230" t="s">
        <v>95</v>
      </c>
    </row>
    <row r="98" spans="1:12" s="223" customFormat="1" ht="15" customHeight="1" outlineLevel="1">
      <c r="H98" s="123"/>
      <c r="I98" s="123"/>
      <c r="J98" s="123"/>
      <c r="K98" s="229" t="s">
        <v>73</v>
      </c>
    </row>
    <row r="99" spans="1:12" s="223" customFormat="1" ht="15" customHeight="1" outlineLevel="1">
      <c r="G99" s="129"/>
      <c r="H99" s="129"/>
      <c r="I99" s="129"/>
      <c r="J99" s="227"/>
    </row>
    <row r="100" spans="1:12" s="223" customFormat="1" ht="15" customHeight="1" outlineLevel="1">
      <c r="B100" s="224"/>
      <c r="C100" s="224"/>
      <c r="D100" s="224"/>
      <c r="E100" s="224"/>
      <c r="F100" s="224"/>
      <c r="G100" s="130"/>
      <c r="H100" s="130"/>
      <c r="I100" s="130"/>
      <c r="J100" s="228"/>
      <c r="K100" s="224"/>
      <c r="L100" s="231"/>
    </row>
    <row r="101" spans="1:12" s="223" customFormat="1" ht="15" customHeight="1">
      <c r="G101" s="129"/>
      <c r="H101" s="129"/>
      <c r="I101" s="129"/>
      <c r="J101" s="227"/>
      <c r="L101" s="230"/>
    </row>
    <row r="102" spans="1:12" s="223" customFormat="1" ht="15" customHeight="1">
      <c r="A102" s="223" t="s">
        <v>0</v>
      </c>
      <c r="B102" s="239" t="str">
        <f>CONCATENATE($L$9&amp;": Forward Growth Estimates")</f>
        <v>Golden Pantry: Forward Growth Estimates</v>
      </c>
      <c r="C102" s="240"/>
      <c r="D102" s="241"/>
      <c r="E102" s="241"/>
      <c r="F102" s="241"/>
      <c r="G102" s="241"/>
      <c r="H102" s="241"/>
      <c r="I102" s="241"/>
      <c r="J102" s="241"/>
      <c r="K102" s="241"/>
      <c r="L102" s="241"/>
    </row>
    <row r="103" spans="1:12" s="223" customFormat="1" ht="15" customHeight="1" outlineLevel="1">
      <c r="G103" s="129"/>
      <c r="H103" s="129"/>
      <c r="I103" s="129"/>
      <c r="J103" s="227"/>
    </row>
    <row r="104" spans="1:12" s="223" customFormat="1" ht="15" customHeight="1" outlineLevel="1">
      <c r="B104" s="33" t="s">
        <v>19</v>
      </c>
      <c r="C104" s="33"/>
      <c r="D104" s="33"/>
      <c r="E104" s="33"/>
      <c r="G104" s="129"/>
      <c r="H104" s="129"/>
      <c r="I104" s="129"/>
      <c r="J104" s="227"/>
    </row>
    <row r="105" spans="1:12" s="223" customFormat="1" ht="15" customHeight="1" outlineLevel="1">
      <c r="B105" s="33"/>
      <c r="C105" s="33"/>
      <c r="D105" s="33"/>
      <c r="E105" s="33"/>
      <c r="H105" s="129"/>
      <c r="I105" s="129"/>
      <c r="J105" s="129"/>
      <c r="K105" s="227"/>
    </row>
    <row r="106" spans="1:12" s="223" customFormat="1" ht="15" customHeight="1" outlineLevel="1">
      <c r="H106" s="259">
        <v>2022</v>
      </c>
      <c r="I106" s="260">
        <f>H106+1</f>
        <v>2023</v>
      </c>
      <c r="J106" s="261">
        <f>I106+1</f>
        <v>2024</v>
      </c>
    </row>
    <row r="107" spans="1:12" s="223" customFormat="1" ht="15" customHeight="1" outlineLevel="1" thickBot="1">
      <c r="B107" s="148" t="s">
        <v>96</v>
      </c>
      <c r="C107" s="148"/>
      <c r="D107" s="148"/>
      <c r="E107" s="79"/>
      <c r="G107" s="79"/>
      <c r="H107" s="144">
        <f>H55</f>
        <v>44926</v>
      </c>
      <c r="I107" s="141">
        <f>EOMONTH(H107,12)</f>
        <v>45291</v>
      </c>
      <c r="J107" s="141">
        <f t="shared" ref="J107" si="2">EOMONTH(I107,12)</f>
        <v>45657</v>
      </c>
      <c r="K107" s="226"/>
    </row>
    <row r="108" spans="1:12" s="223" customFormat="1" ht="15" customHeight="1" outlineLevel="1">
      <c r="B108" s="79"/>
      <c r="C108" s="79"/>
      <c r="D108" s="79"/>
      <c r="E108" s="79"/>
      <c r="G108" s="79"/>
      <c r="H108" s="150"/>
      <c r="I108" s="151"/>
      <c r="J108" s="151"/>
    </row>
    <row r="109" spans="1:12" s="223" customFormat="1" ht="15" customHeight="1" outlineLevel="1">
      <c r="B109" s="79"/>
      <c r="C109" s="79"/>
      <c r="D109" s="79"/>
      <c r="E109" s="79"/>
      <c r="G109" s="79"/>
      <c r="H109" s="177"/>
      <c r="I109" s="132"/>
      <c r="J109" s="132"/>
    </row>
    <row r="110" spans="1:12" s="223" customFormat="1" ht="15" customHeight="1" outlineLevel="1">
      <c r="B110" s="225" t="s">
        <v>40</v>
      </c>
      <c r="C110" s="225"/>
      <c r="D110" s="225"/>
      <c r="E110" s="225"/>
      <c r="H110" s="511">
        <f>H58</f>
        <v>54550</v>
      </c>
      <c r="I110" s="513">
        <v>58466</v>
      </c>
      <c r="J110" s="513">
        <v>61720</v>
      </c>
    </row>
    <row r="111" spans="1:12" s="223" customFormat="1" ht="5.0999999999999996" customHeight="1" outlineLevel="1">
      <c r="B111" s="225"/>
      <c r="C111" s="225"/>
      <c r="D111" s="225"/>
      <c r="E111" s="225"/>
      <c r="H111" s="306" t="s">
        <v>0</v>
      </c>
      <c r="I111" s="319" t="s">
        <v>0</v>
      </c>
      <c r="J111" s="319" t="s">
        <v>0</v>
      </c>
    </row>
    <row r="112" spans="1:12" s="223" customFormat="1" ht="15" customHeight="1" outlineLevel="1">
      <c r="B112" s="169" t="s">
        <v>90</v>
      </c>
      <c r="C112" s="169"/>
      <c r="D112" s="169"/>
      <c r="E112" s="169"/>
      <c r="G112" s="167"/>
      <c r="H112" s="168"/>
      <c r="I112" s="262">
        <f>I110/H110-1</f>
        <v>7.1787351054078741E-2</v>
      </c>
      <c r="J112" s="262">
        <f>J110/I110-1</f>
        <v>5.5656278862928898E-2</v>
      </c>
    </row>
    <row r="113" spans="2:13" s="223" customFormat="1" ht="15" customHeight="1" outlineLevel="1">
      <c r="B113" s="225"/>
      <c r="C113" s="225"/>
      <c r="D113" s="225"/>
      <c r="E113" s="225"/>
      <c r="H113" s="124"/>
      <c r="I113" s="133"/>
      <c r="J113" s="133"/>
    </row>
    <row r="114" spans="2:13" s="223" customFormat="1" ht="15" customHeight="1" outlineLevel="1">
      <c r="B114" s="225" t="s">
        <v>30</v>
      </c>
      <c r="C114" s="225"/>
      <c r="D114" s="225"/>
      <c r="E114" s="225"/>
      <c r="H114" s="511">
        <f>H95</f>
        <v>3653</v>
      </c>
      <c r="I114" s="513">
        <v>3936</v>
      </c>
      <c r="J114" s="513">
        <v>4297</v>
      </c>
    </row>
    <row r="115" spans="2:13" s="223" customFormat="1" ht="5.0999999999999996" customHeight="1" outlineLevel="1">
      <c r="B115" s="225"/>
      <c r="C115" s="225"/>
      <c r="D115" s="225"/>
      <c r="E115" s="225"/>
      <c r="H115" s="306" t="s">
        <v>0</v>
      </c>
      <c r="I115" s="306" t="s">
        <v>0</v>
      </c>
      <c r="J115" s="306" t="s">
        <v>0</v>
      </c>
    </row>
    <row r="116" spans="2:13" s="223" customFormat="1" ht="15" customHeight="1" outlineLevel="1">
      <c r="B116" s="169" t="s">
        <v>90</v>
      </c>
      <c r="C116" s="169"/>
      <c r="D116" s="169"/>
      <c r="E116" s="169"/>
      <c r="G116" s="167"/>
      <c r="H116" s="168"/>
      <c r="I116" s="262">
        <f>I114/H114-1</f>
        <v>7.7470572132493754E-2</v>
      </c>
      <c r="J116" s="262">
        <f>J114/I114-1</f>
        <v>9.171747967479682E-2</v>
      </c>
    </row>
    <row r="117" spans="2:13" s="223" customFormat="1" ht="15" customHeight="1" outlineLevel="1">
      <c r="B117" s="225"/>
      <c r="C117" s="225"/>
      <c r="D117" s="225"/>
      <c r="E117" s="225"/>
      <c r="H117" s="124"/>
      <c r="I117" s="133"/>
      <c r="J117" s="133"/>
    </row>
    <row r="118" spans="2:13" s="223" customFormat="1" ht="15" customHeight="1" outlineLevel="1">
      <c r="B118" s="225" t="s">
        <v>70</v>
      </c>
      <c r="C118" s="225"/>
      <c r="D118" s="225"/>
      <c r="E118" s="225"/>
      <c r="G118" s="117" t="s">
        <v>28</v>
      </c>
      <c r="H118" s="147">
        <f>H84</f>
        <v>0.51850736152426857</v>
      </c>
      <c r="I118" s="134">
        <v>0.56000000000000005</v>
      </c>
      <c r="J118" s="134">
        <v>0.6</v>
      </c>
      <c r="L118" s="165"/>
    </row>
    <row r="119" spans="2:13" s="223" customFormat="1" ht="5.0999999999999996" customHeight="1" outlineLevel="1">
      <c r="B119" s="225"/>
      <c r="C119" s="225"/>
      <c r="D119" s="225"/>
      <c r="E119" s="225"/>
      <c r="G119" s="117"/>
      <c r="H119" s="320" t="s">
        <v>0</v>
      </c>
      <c r="I119" s="320" t="s">
        <v>0</v>
      </c>
      <c r="J119" s="320" t="s">
        <v>0</v>
      </c>
      <c r="L119" s="165"/>
    </row>
    <row r="120" spans="2:13" s="223" customFormat="1" ht="15" customHeight="1" outlineLevel="1">
      <c r="B120" s="169" t="s">
        <v>90</v>
      </c>
      <c r="C120" s="169"/>
      <c r="D120" s="169"/>
      <c r="E120" s="169"/>
      <c r="G120" s="167"/>
      <c r="H120" s="168"/>
      <c r="I120" s="262">
        <f>I118/H118-1</f>
        <v>8.0023238925199802E-2</v>
      </c>
      <c r="J120" s="262">
        <f>J118/I118-1</f>
        <v>7.1428571428571397E-2</v>
      </c>
      <c r="L120" s="166"/>
    </row>
    <row r="121" spans="2:13" s="223" customFormat="1" ht="15" customHeight="1" outlineLevel="1">
      <c r="B121" s="225"/>
      <c r="C121" s="225"/>
      <c r="D121" s="225"/>
      <c r="E121" s="225"/>
      <c r="H121" s="124"/>
      <c r="I121" s="133"/>
      <c r="J121" s="133"/>
      <c r="L121" s="166"/>
    </row>
    <row r="122" spans="2:13" s="223" customFormat="1" ht="15" customHeight="1" outlineLevel="1">
      <c r="B122" s="225"/>
      <c r="C122" s="225"/>
      <c r="D122" s="225"/>
      <c r="E122" s="225"/>
      <c r="H122" s="124"/>
      <c r="I122" s="133"/>
      <c r="J122" s="133"/>
      <c r="L122" s="166"/>
    </row>
    <row r="123" spans="2:13" s="223" customFormat="1" ht="15" customHeight="1" outlineLevel="1">
      <c r="B123" s="225"/>
      <c r="C123" s="225"/>
      <c r="D123" s="225"/>
      <c r="E123" s="225"/>
      <c r="H123" s="124"/>
      <c r="I123" s="133"/>
      <c r="J123" s="133"/>
      <c r="L123" s="166"/>
    </row>
    <row r="124" spans="2:13" s="223" customFormat="1" ht="15" customHeight="1" outlineLevel="1">
      <c r="B124" s="225"/>
      <c r="C124" s="225"/>
      <c r="D124" s="225"/>
      <c r="E124" s="225"/>
      <c r="H124" s="124"/>
      <c r="I124" s="133"/>
      <c r="J124" s="175" t="s">
        <v>97</v>
      </c>
      <c r="L124" s="166"/>
    </row>
    <row r="125" spans="2:13" s="223" customFormat="1" ht="15" customHeight="1" outlineLevel="1"/>
    <row r="126" spans="2:13" s="223" customFormat="1" ht="15" customHeight="1" outlineLevel="1"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</row>
    <row r="127" spans="2:13" s="223" customFormat="1" ht="15" customHeight="1">
      <c r="M127" s="532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rowBreaks count="1" manualBreakCount="1">
    <brk id="2" min="1" max="8" man="1"/>
  </rowBreaks>
  <colBreaks count="1" manualBreakCount="1">
    <brk id="1" max="1048575" man="1"/>
  </col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A08B-55A9-4E4C-8ABF-F69F4988D8D4}">
  <sheetPr>
    <tabColor theme="1"/>
    <pageSetUpPr autoPageBreaks="0"/>
  </sheetPr>
  <dimension ref="A1:Y116"/>
  <sheetViews>
    <sheetView showGridLines="0" zoomScaleNormal="100" zoomScaleSheetLayoutView="80" workbookViewId="0">
      <pane ySplit="1" topLeftCell="A2" activePane="bottomLeft" state="frozen"/>
      <selection pane="bottomLeft"/>
    </sheetView>
  </sheetViews>
  <sheetFormatPr defaultColWidth="11.7109375" defaultRowHeight="15" customHeight="1"/>
  <cols>
    <col min="1" max="1" width="5.5703125" style="109" customWidth="1"/>
    <col min="2" max="12" width="13.7109375" style="109" customWidth="1"/>
    <col min="13" max="13" width="4.7109375" style="109" customWidth="1"/>
    <col min="14" max="14" width="16.42578125" style="109" bestFit="1" customWidth="1"/>
    <col min="15" max="15" width="4.7109375" style="109" customWidth="1"/>
    <col min="16" max="16" width="24.7109375" style="109" bestFit="1" customWidth="1"/>
    <col min="17" max="18" width="16.5703125" style="109" bestFit="1" customWidth="1"/>
    <col min="19" max="19" width="11.7109375" style="109"/>
    <col min="20" max="20" width="4.7109375" style="109" customWidth="1"/>
    <col min="21" max="21" width="25.42578125" style="109" bestFit="1" customWidth="1"/>
    <col min="22" max="23" width="15.140625" style="109" bestFit="1" customWidth="1"/>
    <col min="24" max="16384" width="11.7109375" style="109"/>
  </cols>
  <sheetData>
    <row r="1" spans="1:24" ht="50.1" customHeight="1">
      <c r="A1" s="115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</row>
    <row r="3" spans="1:24" ht="15" customHeight="1">
      <c r="A3" s="109" t="s">
        <v>0</v>
      </c>
      <c r="B3" s="239" t="str">
        <f>CONCATENATE($L$9&amp;": Transaction Value")</f>
        <v>Golden Pantry: Transaction Value</v>
      </c>
      <c r="C3" s="240"/>
      <c r="D3" s="241"/>
      <c r="E3" s="241"/>
      <c r="F3" s="241"/>
      <c r="G3" s="241"/>
      <c r="H3" s="241"/>
      <c r="I3" s="241"/>
      <c r="J3" s="241"/>
      <c r="K3" s="241"/>
      <c r="L3" s="241"/>
    </row>
    <row r="5" spans="1:24" ht="15" customHeight="1">
      <c r="B5" s="33" t="s">
        <v>19</v>
      </c>
      <c r="C5" s="33"/>
      <c r="D5" s="33"/>
      <c r="F5" s="33"/>
    </row>
    <row r="7" spans="1:24" ht="15" customHeight="1" thickBot="1">
      <c r="B7" s="79" t="s">
        <v>36</v>
      </c>
      <c r="E7" s="79"/>
      <c r="H7" s="148" t="s">
        <v>35</v>
      </c>
      <c r="I7" s="149"/>
      <c r="J7" s="149"/>
      <c r="K7" s="149"/>
      <c r="L7" s="149"/>
      <c r="N7" s="487" t="s">
        <v>140</v>
      </c>
      <c r="U7" s="428" t="s">
        <v>35</v>
      </c>
      <c r="V7" s="498" t="s">
        <v>142</v>
      </c>
      <c r="W7" s="498" t="s">
        <v>143</v>
      </c>
      <c r="X7" s="499" t="s">
        <v>144</v>
      </c>
    </row>
    <row r="8" spans="1:24" ht="15" customHeight="1">
      <c r="B8" s="185"/>
      <c r="C8" s="185"/>
      <c r="D8" s="185"/>
      <c r="E8" s="185"/>
      <c r="F8" s="185"/>
      <c r="N8" s="488"/>
      <c r="U8" s="431"/>
      <c r="V8" s="432"/>
      <c r="W8" s="432"/>
      <c r="X8" s="433"/>
    </row>
    <row r="9" spans="1:24" ht="15" customHeight="1">
      <c r="B9" s="183" t="s">
        <v>99</v>
      </c>
      <c r="F9" s="116" t="s">
        <v>122</v>
      </c>
      <c r="H9" s="183" t="s">
        <v>99</v>
      </c>
      <c r="L9" s="116" t="s">
        <v>121</v>
      </c>
      <c r="N9" s="489"/>
      <c r="U9" s="439"/>
      <c r="V9" s="440"/>
      <c r="W9" s="440"/>
      <c r="X9" s="441"/>
    </row>
    <row r="10" spans="1:24" ht="15" customHeight="1">
      <c r="B10" s="183" t="s">
        <v>100</v>
      </c>
      <c r="E10" s="117" t="s">
        <v>28</v>
      </c>
      <c r="F10" s="70">
        <v>5</v>
      </c>
      <c r="H10" s="183" t="s">
        <v>100</v>
      </c>
      <c r="K10" s="117" t="s">
        <v>28</v>
      </c>
      <c r="L10" s="70">
        <v>4.42</v>
      </c>
      <c r="N10" s="490">
        <f>GPT!L10</f>
        <v>0</v>
      </c>
      <c r="U10" s="437" t="str">
        <f>H10</f>
        <v>Stock Price</v>
      </c>
      <c r="V10" s="500">
        <f>GPT!L10</f>
        <v>0</v>
      </c>
      <c r="W10" s="500">
        <f>'GPT-R'!L10</f>
        <v>4.42</v>
      </c>
      <c r="X10" s="541">
        <f>IFERROR(IF(V10=0,0,IF(V10=W10,1,0)),0)</f>
        <v>0</v>
      </c>
    </row>
    <row r="11" spans="1:24" ht="15" customHeight="1">
      <c r="H11" s="184"/>
      <c r="N11" s="489"/>
    </row>
    <row r="12" spans="1:24" ht="15" customHeight="1">
      <c r="B12" s="369" t="s">
        <v>157</v>
      </c>
      <c r="E12" s="117" t="s">
        <v>33</v>
      </c>
      <c r="F12" s="258">
        <v>45112</v>
      </c>
      <c r="N12" s="491">
        <f>GPT!F12</f>
        <v>45112</v>
      </c>
      <c r="U12" s="225"/>
      <c r="V12" s="272"/>
      <c r="W12" s="272"/>
      <c r="X12" s="273"/>
    </row>
    <row r="13" spans="1:24" ht="15" customHeight="1">
      <c r="F13" s="135"/>
      <c r="H13" s="135"/>
      <c r="I13" s="135"/>
      <c r="N13" s="489"/>
    </row>
    <row r="14" spans="1:24" ht="15" customHeight="1">
      <c r="N14" s="489"/>
    </row>
    <row r="15" spans="1:24" ht="15" customHeight="1">
      <c r="N15" s="489"/>
    </row>
    <row r="16" spans="1:24" ht="15" customHeight="1" thickBot="1">
      <c r="B16" s="79" t="s">
        <v>76</v>
      </c>
      <c r="F16" s="237"/>
      <c r="H16" s="148" t="s">
        <v>82</v>
      </c>
      <c r="I16" s="148"/>
      <c r="J16" s="149"/>
      <c r="K16" s="148"/>
      <c r="L16" s="294"/>
      <c r="N16" s="489"/>
      <c r="P16" s="428" t="s">
        <v>153</v>
      </c>
      <c r="Q16" s="498" t="s">
        <v>142</v>
      </c>
      <c r="R16" s="498" t="s">
        <v>143</v>
      </c>
      <c r="S16" s="499" t="s">
        <v>144</v>
      </c>
      <c r="U16" s="446" t="s">
        <v>154</v>
      </c>
      <c r="V16" s="498" t="s">
        <v>142</v>
      </c>
      <c r="W16" s="498" t="s">
        <v>143</v>
      </c>
      <c r="X16" s="499" t="s">
        <v>144</v>
      </c>
    </row>
    <row r="17" spans="2:24" ht="15" customHeight="1">
      <c r="B17" s="302"/>
      <c r="C17" s="185"/>
      <c r="D17" s="185"/>
      <c r="E17" s="185"/>
      <c r="F17" s="185"/>
      <c r="M17"/>
      <c r="N17" s="489"/>
      <c r="O17"/>
      <c r="P17" s="431"/>
      <c r="Q17" s="432"/>
      <c r="R17" s="432"/>
      <c r="S17" s="433"/>
      <c r="T17"/>
      <c r="U17" s="431"/>
      <c r="V17" s="432"/>
      <c r="W17" s="432"/>
      <c r="X17" s="433"/>
    </row>
    <row r="18" spans="2:24" ht="15" customHeight="1">
      <c r="B18" s="183" t="s">
        <v>101</v>
      </c>
      <c r="E18" s="117" t="s">
        <v>28</v>
      </c>
      <c r="F18" s="295">
        <v>2</v>
      </c>
      <c r="H18" s="110" t="s">
        <v>77</v>
      </c>
      <c r="I18" s="110"/>
      <c r="K18" s="117" t="s">
        <v>28</v>
      </c>
      <c r="L18" s="136">
        <f>F23</f>
        <v>5.5</v>
      </c>
      <c r="M18"/>
      <c r="N18" s="490">
        <f>GPT!F18</f>
        <v>0</v>
      </c>
      <c r="O18"/>
      <c r="P18" s="439" t="str">
        <f>B18</f>
        <v>Cash Offer</v>
      </c>
      <c r="Q18" s="451">
        <f>GPT!F18</f>
        <v>0</v>
      </c>
      <c r="R18" s="451">
        <f>F18</f>
        <v>2</v>
      </c>
      <c r="S18" s="542">
        <f>IFERROR(IF(Q18=0,0,IF(Q18=R18,1,0)),0)</f>
        <v>0</v>
      </c>
      <c r="T18"/>
      <c r="U18" s="439" t="str">
        <f>H18</f>
        <v>Total Offer Price per Share</v>
      </c>
      <c r="V18" s="451">
        <f>GPT!L18</f>
        <v>0</v>
      </c>
      <c r="W18" s="451">
        <f>GPT!F24</f>
        <v>0</v>
      </c>
      <c r="X18" s="542">
        <f>IFERROR(IF(V18=0,0,IF(V18=W18,1,0)),0)</f>
        <v>0</v>
      </c>
    </row>
    <row r="19" spans="2:24" ht="15" customHeight="1">
      <c r="H19" s="110" t="s">
        <v>81</v>
      </c>
      <c r="I19" s="110"/>
      <c r="K19" s="117" t="s">
        <v>27</v>
      </c>
      <c r="L19" s="252">
        <v>2781.5</v>
      </c>
      <c r="M19"/>
      <c r="N19" s="489"/>
      <c r="O19"/>
      <c r="P19" s="434"/>
      <c r="Q19" s="435"/>
      <c r="R19" s="435"/>
      <c r="S19" s="556"/>
      <c r="T19"/>
      <c r="U19" s="431"/>
      <c r="V19" s="432"/>
      <c r="W19" s="432"/>
      <c r="X19" s="543"/>
    </row>
    <row r="20" spans="2:24" ht="15" customHeight="1">
      <c r="B20" s="183" t="s">
        <v>102</v>
      </c>
      <c r="E20" s="117"/>
      <c r="F20" s="296">
        <v>0.7</v>
      </c>
      <c r="H20" s="110" t="s">
        <v>82</v>
      </c>
      <c r="I20" s="110"/>
      <c r="K20" s="117" t="s">
        <v>47</v>
      </c>
      <c r="L20" s="511">
        <f>L18*L19</f>
        <v>15298.25</v>
      </c>
      <c r="M20"/>
      <c r="N20" s="492">
        <f>GPT!F21</f>
        <v>0</v>
      </c>
      <c r="O20"/>
      <c r="P20" s="439" t="str">
        <f>B20</f>
        <v>Exchange Ratio 1</v>
      </c>
      <c r="Q20" s="502">
        <f>GPT!F21</f>
        <v>0</v>
      </c>
      <c r="R20" s="502">
        <f>F20</f>
        <v>0.7</v>
      </c>
      <c r="S20" s="542">
        <f>IFERROR(IF(Q20=0,0,IF(Q20=R20,1,0)),0)</f>
        <v>0</v>
      </c>
      <c r="T20"/>
      <c r="U20" s="437" t="str">
        <f>H20</f>
        <v>Equity Offer Value</v>
      </c>
      <c r="V20" s="501">
        <f>GPT!L21</f>
        <v>0</v>
      </c>
      <c r="W20" s="501">
        <f>GPT!L18*GPT!L19</f>
        <v>0</v>
      </c>
      <c r="X20" s="541">
        <f>IFERROR(IF(V20=0,0,IF(V20=W20,1,0)),0)</f>
        <v>0</v>
      </c>
    </row>
    <row r="21" spans="2:24" ht="15" customHeight="1">
      <c r="B21" s="183" t="s">
        <v>103</v>
      </c>
      <c r="E21" s="117" t="s">
        <v>28</v>
      </c>
      <c r="F21" s="136">
        <f>F20*F10</f>
        <v>3.5</v>
      </c>
      <c r="M21"/>
      <c r="N21" s="493"/>
      <c r="O21"/>
      <c r="P21" s="439" t="str">
        <f>B21</f>
        <v>Implied Equity Offer Price</v>
      </c>
      <c r="Q21" s="502">
        <f>GPT!F22</f>
        <v>0</v>
      </c>
      <c r="R21" s="502">
        <f>GPT!F10*GPT!F21</f>
        <v>0</v>
      </c>
      <c r="S21" s="542">
        <f>IFERROR(IF(Q21=0,0,IF(Q21=R21,1,0)),0)</f>
        <v>0</v>
      </c>
      <c r="T21"/>
      <c r="U21"/>
    </row>
    <row r="22" spans="2:24" ht="15" customHeight="1">
      <c r="H22" s="183"/>
      <c r="I22" s="110"/>
      <c r="L22" s="254"/>
      <c r="M22"/>
      <c r="N22" s="494"/>
      <c r="O22"/>
      <c r="P22" s="434"/>
      <c r="Q22" s="435"/>
      <c r="R22" s="435"/>
      <c r="S22" s="556"/>
      <c r="T22"/>
      <c r="U22"/>
    </row>
    <row r="23" spans="2:24" ht="15" customHeight="1">
      <c r="B23" s="183" t="s">
        <v>104</v>
      </c>
      <c r="E23" s="117" t="s">
        <v>28</v>
      </c>
      <c r="F23" s="297">
        <f>F21+F18</f>
        <v>5.5</v>
      </c>
      <c r="H23" s="112"/>
      <c r="I23" s="112"/>
      <c r="K23" s="79"/>
      <c r="L23" s="255"/>
      <c r="M23"/>
      <c r="N23" s="494"/>
      <c r="O23"/>
      <c r="P23" s="439" t="str">
        <f>B23</f>
        <v>Total Offer Price</v>
      </c>
      <c r="Q23" s="502">
        <f>GPT!F24</f>
        <v>0</v>
      </c>
      <c r="R23" s="502">
        <f>GPT!F22+GPT!F18</f>
        <v>0</v>
      </c>
      <c r="S23" s="542">
        <f>IFERROR(IF(Q23=0,0,IF(Q23=R23,1,0)),0)</f>
        <v>0</v>
      </c>
      <c r="T23"/>
      <c r="U23"/>
    </row>
    <row r="24" spans="2:24" ht="15" customHeight="1">
      <c r="B24" s="183" t="s">
        <v>105</v>
      </c>
      <c r="F24" s="301">
        <f>F23/L10-1</f>
        <v>0.24434389140271495</v>
      </c>
      <c r="M24"/>
      <c r="N24" s="495"/>
      <c r="O24"/>
      <c r="P24" s="437" t="str">
        <f>B24</f>
        <v>Premium Paid</v>
      </c>
      <c r="Q24" s="503">
        <f>GPT!F25</f>
        <v>0</v>
      </c>
      <c r="R24" s="503" t="e">
        <f>GPT!F24/GPT!L10-1</f>
        <v>#DIV/0!</v>
      </c>
      <c r="S24" s="541">
        <f>IFERROR(IF(Q24=0,0,IF(Q24=R24,1,0)),0)</f>
        <v>0</v>
      </c>
      <c r="T24"/>
      <c r="U24"/>
    </row>
    <row r="25" spans="2:24" ht="15" customHeight="1" thickBot="1">
      <c r="B25" s="257" t="s">
        <v>156</v>
      </c>
      <c r="F25" s="299" t="str" cm="1">
        <f t="array" ref="F25">_xlfn.IFS(AND(F18,F20),"Mix",F18,"Cash",F20,"Stock")</f>
        <v>Mix</v>
      </c>
      <c r="M25"/>
      <c r="N25" s="495"/>
      <c r="O25"/>
      <c r="P25"/>
      <c r="Q25"/>
      <c r="R25"/>
      <c r="S25"/>
      <c r="T25"/>
      <c r="U25"/>
    </row>
    <row r="26" spans="2:24" ht="15" customHeight="1">
      <c r="F26" s="300"/>
      <c r="M26"/>
      <c r="N26" s="495"/>
      <c r="O26"/>
      <c r="P26"/>
      <c r="Q26"/>
      <c r="R26"/>
      <c r="S26"/>
      <c r="T26"/>
      <c r="U26"/>
    </row>
    <row r="27" spans="2:24" ht="15" customHeight="1">
      <c r="M27"/>
      <c r="N27" s="495"/>
      <c r="O27"/>
      <c r="P27"/>
      <c r="Q27"/>
      <c r="R27"/>
      <c r="S27"/>
      <c r="T27"/>
      <c r="U27"/>
    </row>
    <row r="28" spans="2:24" ht="15" customHeight="1" thickBot="1">
      <c r="B28" s="148" t="s">
        <v>39</v>
      </c>
      <c r="C28" s="149"/>
      <c r="D28" s="149"/>
      <c r="E28" s="149"/>
      <c r="F28" s="149"/>
      <c r="H28" s="148" t="s">
        <v>80</v>
      </c>
      <c r="I28" s="148"/>
      <c r="J28" s="149"/>
      <c r="K28" s="148"/>
      <c r="L28" s="294"/>
      <c r="N28" s="495"/>
      <c r="P28" s="428" t="s">
        <v>39</v>
      </c>
      <c r="Q28" s="498" t="s">
        <v>142</v>
      </c>
      <c r="R28" s="498" t="s">
        <v>143</v>
      </c>
      <c r="S28" s="499" t="s">
        <v>144</v>
      </c>
      <c r="T28"/>
      <c r="U28" s="428" t="s">
        <v>80</v>
      </c>
      <c r="V28" s="498" t="s">
        <v>142</v>
      </c>
      <c r="W28" s="498" t="s">
        <v>143</v>
      </c>
      <c r="X28" s="499" t="s">
        <v>144</v>
      </c>
    </row>
    <row r="29" spans="2:24" ht="15" customHeight="1">
      <c r="N29" s="495"/>
      <c r="P29" s="431"/>
      <c r="Q29" s="432"/>
      <c r="R29" s="432"/>
      <c r="S29" s="433"/>
      <c r="T29"/>
      <c r="U29" s="431"/>
      <c r="V29" s="432"/>
      <c r="W29" s="432"/>
      <c r="X29" s="433"/>
    </row>
    <row r="30" spans="2:24" ht="15" customHeight="1">
      <c r="H30" s="110" t="s">
        <v>82</v>
      </c>
      <c r="I30" s="110"/>
      <c r="K30" s="117" t="s">
        <v>47</v>
      </c>
      <c r="L30" s="528">
        <f>L20</f>
        <v>15298.25</v>
      </c>
      <c r="N30" s="495"/>
      <c r="P30" s="431"/>
      <c r="Q30" s="432"/>
      <c r="R30" s="432"/>
      <c r="S30" s="433"/>
      <c r="T30"/>
      <c r="U30" s="439" t="str">
        <f>H30</f>
        <v>Equity Offer Value</v>
      </c>
      <c r="V30" s="505">
        <f>GPT!L31</f>
        <v>0</v>
      </c>
      <c r="W30" s="505">
        <f>GPT!L21</f>
        <v>0</v>
      </c>
      <c r="X30" s="542">
        <f>IFERROR(IF(V30=0,0,IF(V30=W30,1,0)),0)</f>
        <v>0</v>
      </c>
    </row>
    <row r="31" spans="2:24" ht="15" customHeight="1">
      <c r="H31" s="110" t="s">
        <v>51</v>
      </c>
      <c r="I31" s="110"/>
      <c r="K31" s="110"/>
      <c r="L31" s="513">
        <v>0</v>
      </c>
      <c r="N31" s="495"/>
      <c r="P31" s="431"/>
      <c r="Q31" s="432"/>
      <c r="R31" s="432"/>
      <c r="S31" s="433"/>
      <c r="T31"/>
      <c r="U31" s="434"/>
      <c r="V31" s="506"/>
      <c r="W31" s="506"/>
      <c r="X31" s="543"/>
    </row>
    <row r="32" spans="2:24" ht="15" customHeight="1">
      <c r="B32" s="110"/>
      <c r="F32" s="119"/>
      <c r="H32" s="110" t="s">
        <v>49</v>
      </c>
      <c r="I32" s="110"/>
      <c r="K32" s="110"/>
      <c r="L32" s="511">
        <f>F36</f>
        <v>1707</v>
      </c>
      <c r="N32" s="495"/>
      <c r="P32" s="439"/>
      <c r="Q32" s="451"/>
      <c r="R32" s="451"/>
      <c r="S32" s="441"/>
      <c r="T32"/>
      <c r="U32" s="439" t="str">
        <f>H32</f>
        <v>Plus: Net Debt</v>
      </c>
      <c r="V32" s="505">
        <f>GPT!L33</f>
        <v>0</v>
      </c>
      <c r="W32" s="505">
        <f>GPT!F37</f>
        <v>0</v>
      </c>
      <c r="X32" s="542">
        <f>IFERROR(IF(V32=0,0,IF(V32=W32,1,0)),0)</f>
        <v>0</v>
      </c>
    </row>
    <row r="33" spans="1:24" ht="15" customHeight="1">
      <c r="B33" s="110" t="s">
        <v>48</v>
      </c>
      <c r="F33" s="513">
        <v>96</v>
      </c>
      <c r="H33" s="110" t="s">
        <v>52</v>
      </c>
      <c r="I33" s="110"/>
      <c r="K33" s="110"/>
      <c r="L33" s="513">
        <v>0</v>
      </c>
      <c r="N33" s="495"/>
      <c r="P33" s="431"/>
      <c r="Q33" s="432"/>
      <c r="R33" s="432"/>
      <c r="S33" s="433"/>
      <c r="T33"/>
      <c r="U33" s="434"/>
      <c r="V33" s="506"/>
      <c r="W33" s="506"/>
      <c r="X33" s="543"/>
    </row>
    <row r="34" spans="1:24" ht="15" customHeight="1">
      <c r="B34" s="110" t="s">
        <v>50</v>
      </c>
      <c r="F34" s="513">
        <v>1885</v>
      </c>
      <c r="H34" s="110" t="s">
        <v>83</v>
      </c>
      <c r="I34" s="110"/>
      <c r="K34" s="110"/>
      <c r="L34" s="513">
        <v>-31</v>
      </c>
      <c r="N34" s="495"/>
      <c r="P34" s="431"/>
      <c r="Q34" s="432"/>
      <c r="R34" s="432"/>
      <c r="S34" s="433"/>
      <c r="T34"/>
      <c r="U34" s="434"/>
      <c r="V34" s="506"/>
      <c r="W34" s="506"/>
      <c r="X34" s="543"/>
    </row>
    <row r="35" spans="1:24" ht="15" customHeight="1">
      <c r="B35" s="110" t="s">
        <v>54</v>
      </c>
      <c r="C35" s="79"/>
      <c r="F35" s="513">
        <v>-274</v>
      </c>
      <c r="H35" s="106" t="s">
        <v>80</v>
      </c>
      <c r="I35" s="106"/>
      <c r="K35" s="106"/>
      <c r="L35" s="521">
        <f>SUM(L30:L34)</f>
        <v>16974.25</v>
      </c>
      <c r="N35" s="495"/>
      <c r="P35" s="431"/>
      <c r="Q35" s="432"/>
      <c r="R35" s="432"/>
      <c r="S35" s="433"/>
      <c r="T35"/>
      <c r="U35" s="439" t="str">
        <f>H35</f>
        <v>Transaction Value</v>
      </c>
      <c r="V35" s="505">
        <f>GPT!L37</f>
        <v>0</v>
      </c>
      <c r="W35" s="505">
        <f>SUM(GPT!L31:L35)</f>
        <v>-31</v>
      </c>
      <c r="X35" s="542">
        <f>IFERROR(IF(V35=0,0,IF(V35=W35,1,0)),0)</f>
        <v>0</v>
      </c>
    </row>
    <row r="36" spans="1:24" ht="15" customHeight="1">
      <c r="B36" s="112" t="s">
        <v>39</v>
      </c>
      <c r="C36" s="79"/>
      <c r="F36" s="529">
        <f>SUM(F33:F35)</f>
        <v>1707</v>
      </c>
      <c r="L36" s="527"/>
      <c r="N36" s="495"/>
      <c r="P36" s="437" t="str">
        <f>B36</f>
        <v>Net Debt</v>
      </c>
      <c r="Q36" s="504">
        <f>GPT!F37</f>
        <v>0</v>
      </c>
      <c r="R36" s="504">
        <f>SUM(GPT!F33:F35)</f>
        <v>1707</v>
      </c>
      <c r="S36" s="541">
        <f>IFERROR(IF(Q36=0,0,IF(Q36=R36,1,0)),0)</f>
        <v>0</v>
      </c>
      <c r="T36"/>
      <c r="U36" s="434"/>
      <c r="V36" s="506"/>
      <c r="W36" s="506"/>
      <c r="X36" s="543"/>
    </row>
    <row r="37" spans="1:24" ht="15" customHeight="1">
      <c r="H37" s="110" t="s">
        <v>78</v>
      </c>
      <c r="L37" s="107">
        <v>250</v>
      </c>
      <c r="N37" s="496">
        <f>GPT!L39</f>
        <v>0</v>
      </c>
      <c r="U37" s="439" t="str">
        <f>H37</f>
        <v>Announced Synergies</v>
      </c>
      <c r="V37" s="505">
        <f>GPT!L39</f>
        <v>0</v>
      </c>
      <c r="W37" s="505">
        <f>L37</f>
        <v>250</v>
      </c>
      <c r="X37" s="542">
        <f>IFERROR(IF(V37=0,0,IF(V37=W37,1,0)),0)</f>
        <v>0</v>
      </c>
    </row>
    <row r="38" spans="1:24" ht="15" customHeight="1">
      <c r="H38" s="257" t="s">
        <v>141</v>
      </c>
      <c r="I38" s="112"/>
      <c r="K38" s="79"/>
      <c r="L38" s="298">
        <f>L37/L35</f>
        <v>1.4728191230834941E-2</v>
      </c>
      <c r="N38" s="497"/>
      <c r="U38" s="447" t="s">
        <v>155</v>
      </c>
      <c r="V38" s="503">
        <f>GPT!L41</f>
        <v>0</v>
      </c>
      <c r="W38" s="503" t="e">
        <f>GPT!L39/GPT!L37</f>
        <v>#DIV/0!</v>
      </c>
      <c r="X38" s="541">
        <f>IFERROR(IF(V38=0,0,IF(V38=W38,1,0)),0)</f>
        <v>0</v>
      </c>
    </row>
    <row r="39" spans="1:24" ht="15" customHeight="1">
      <c r="H39"/>
      <c r="I39"/>
      <c r="N39" s="246"/>
    </row>
    <row r="40" spans="1:24" ht="15" customHeight="1">
      <c r="N40" s="244"/>
    </row>
    <row r="41" spans="1:24" ht="15" customHeight="1">
      <c r="F41"/>
      <c r="G41"/>
      <c r="K41" s="120"/>
    </row>
    <row r="42" spans="1:24" ht="15" customHeight="1">
      <c r="F42" s="135"/>
      <c r="G42" s="135"/>
      <c r="H42" s="135"/>
      <c r="I42" s="135"/>
      <c r="L42" s="186" t="s">
        <v>79</v>
      </c>
    </row>
    <row r="43" spans="1:24" ht="15" customHeight="1">
      <c r="F43"/>
      <c r="G43"/>
      <c r="K43" s="113"/>
      <c r="L43" s="113"/>
    </row>
    <row r="44" spans="1:24" ht="15" customHeight="1">
      <c r="B44" s="111"/>
      <c r="C44" s="111"/>
      <c r="D44" s="111"/>
      <c r="E44" s="111"/>
      <c r="F44" s="19"/>
      <c r="G44" s="19"/>
      <c r="H44" s="111"/>
      <c r="I44" s="111"/>
      <c r="J44" s="114"/>
      <c r="K44" s="114"/>
      <c r="L44" s="114"/>
    </row>
    <row r="45" spans="1:24" ht="15" customHeight="1">
      <c r="F45"/>
      <c r="G45"/>
      <c r="J45" s="113"/>
      <c r="K45" s="113"/>
      <c r="L45" s="113"/>
    </row>
    <row r="46" spans="1:24" s="223" customFormat="1" ht="15" customHeight="1">
      <c r="A46" s="223" t="s">
        <v>0</v>
      </c>
      <c r="B46" s="239" t="str">
        <f>CONCATENATE($L$9&amp;": Income Statement")</f>
        <v>Golden Pantry: Income Statement</v>
      </c>
      <c r="C46" s="240"/>
      <c r="D46" s="241"/>
      <c r="E46" s="241"/>
      <c r="F46" s="241"/>
      <c r="G46" s="241"/>
      <c r="H46" s="241"/>
      <c r="I46" s="241"/>
      <c r="J46" s="241"/>
      <c r="K46" s="241"/>
      <c r="L46" s="241"/>
      <c r="M46" s="182"/>
      <c r="O46" s="182"/>
    </row>
    <row r="47" spans="1:24" customFormat="1" ht="15" customHeight="1"/>
    <row r="48" spans="1:24" customFormat="1" ht="15" customHeight="1">
      <c r="B48" s="33" t="s">
        <v>19</v>
      </c>
      <c r="C48" s="33"/>
      <c r="D48" s="33"/>
      <c r="E48" s="33"/>
    </row>
    <row r="49" spans="2:17" customFormat="1" ht="15" customHeight="1">
      <c r="B49" s="33"/>
      <c r="C49" s="33"/>
      <c r="D49" s="33"/>
      <c r="E49" s="33"/>
      <c r="F49" s="223"/>
    </row>
    <row r="50" spans="2:17" s="223" customFormat="1" ht="15" customHeight="1">
      <c r="H50" s="145" t="s">
        <v>55</v>
      </c>
      <c r="I50" s="131" t="s">
        <v>56</v>
      </c>
      <c r="J50" s="146" t="s">
        <v>57</v>
      </c>
      <c r="K50" s="178"/>
    </row>
    <row r="51" spans="2:17" s="223" customFormat="1" ht="15" customHeight="1">
      <c r="G51" s="122"/>
      <c r="H51" s="142" t="s">
        <v>58</v>
      </c>
      <c r="I51" s="140" t="s">
        <v>59</v>
      </c>
      <c r="J51" s="140" t="s">
        <v>59</v>
      </c>
      <c r="K51" s="179" t="s">
        <v>60</v>
      </c>
      <c r="N51"/>
      <c r="P51"/>
      <c r="Q51"/>
    </row>
    <row r="52" spans="2:17" s="223" customFormat="1" ht="15" customHeight="1" thickBot="1">
      <c r="B52" s="148" t="s">
        <v>38</v>
      </c>
      <c r="C52" s="148"/>
      <c r="D52" s="148"/>
      <c r="E52" s="79"/>
      <c r="H52" s="263">
        <v>44926</v>
      </c>
      <c r="I52" s="264">
        <v>45107</v>
      </c>
      <c r="J52" s="141">
        <f>IFERROR(EDATE(I52,-12),"")</f>
        <v>44742</v>
      </c>
      <c r="K52" s="265">
        <f>IF(I52,I52,H52)</f>
        <v>45107</v>
      </c>
    </row>
    <row r="53" spans="2:17" s="223" customFormat="1" ht="15" customHeight="1">
      <c r="B53" s="79"/>
      <c r="C53" s="79"/>
      <c r="D53" s="79"/>
      <c r="E53" s="79"/>
      <c r="H53" s="143"/>
      <c r="I53" s="143"/>
      <c r="J53" s="143"/>
      <c r="K53" s="121"/>
    </row>
    <row r="54" spans="2:17" s="223" customFormat="1" ht="15" customHeight="1">
      <c r="B54" s="79"/>
      <c r="C54" s="79"/>
      <c r="D54" s="79"/>
      <c r="E54" s="79"/>
      <c r="H54" s="121"/>
      <c r="I54" s="121"/>
      <c r="J54" s="121"/>
      <c r="K54" s="121"/>
    </row>
    <row r="55" spans="2:17" s="223" customFormat="1" ht="15" customHeight="1">
      <c r="B55" s="225" t="s">
        <v>40</v>
      </c>
      <c r="C55" s="225"/>
      <c r="D55" s="225"/>
      <c r="E55" s="225"/>
      <c r="H55" s="513">
        <v>54550</v>
      </c>
      <c r="I55" s="513">
        <v>28911</v>
      </c>
      <c r="J55" s="513">
        <v>25638</v>
      </c>
      <c r="K55" s="69">
        <f>H55+I55-J55</f>
        <v>57823</v>
      </c>
      <c r="L55"/>
      <c r="M55"/>
      <c r="O55"/>
      <c r="P55"/>
      <c r="Q55"/>
    </row>
    <row r="56" spans="2:17" s="223" customFormat="1" ht="15" customHeight="1">
      <c r="B56" s="225" t="s">
        <v>61</v>
      </c>
      <c r="C56" s="225"/>
      <c r="D56" s="225"/>
      <c r="E56" s="225"/>
      <c r="H56" s="513">
        <v>-50670</v>
      </c>
      <c r="I56" s="522">
        <v>-26855</v>
      </c>
      <c r="J56" s="522">
        <v>-23815</v>
      </c>
      <c r="K56" s="523">
        <f>H56+I56-J56</f>
        <v>-53710</v>
      </c>
      <c r="L56"/>
      <c r="M56"/>
      <c r="N56"/>
      <c r="O56"/>
      <c r="P56"/>
      <c r="Q56"/>
    </row>
    <row r="57" spans="2:17" s="223" customFormat="1" ht="15" customHeight="1">
      <c r="B57" s="225" t="s">
        <v>41</v>
      </c>
      <c r="C57" s="225"/>
      <c r="D57" s="225"/>
      <c r="E57" s="225"/>
      <c r="H57" s="521">
        <f>SUM(H55:H56)</f>
        <v>3880</v>
      </c>
      <c r="I57" s="511">
        <f>SUM(I55:I56)</f>
        <v>2056</v>
      </c>
      <c r="J57" s="511">
        <f>SUM(J55:J56)</f>
        <v>1823</v>
      </c>
      <c r="K57" s="69">
        <f>H57+I57-J57</f>
        <v>4113</v>
      </c>
      <c r="L57"/>
      <c r="M57"/>
      <c r="N57"/>
      <c r="O57"/>
      <c r="P57"/>
      <c r="Q57"/>
    </row>
    <row r="58" spans="2:17" s="223" customFormat="1" ht="15" customHeight="1">
      <c r="B58" s="225"/>
      <c r="C58" s="225"/>
      <c r="D58" s="225"/>
      <c r="E58" s="225"/>
      <c r="H58" s="511"/>
      <c r="I58" s="511"/>
      <c r="J58" s="511"/>
      <c r="K58" s="511"/>
      <c r="L58"/>
      <c r="M58"/>
      <c r="N58"/>
      <c r="O58"/>
      <c r="P58"/>
      <c r="Q58"/>
    </row>
    <row r="59" spans="2:17" s="223" customFormat="1" ht="15" customHeight="1">
      <c r="B59" s="225" t="s">
        <v>62</v>
      </c>
      <c r="C59" s="225"/>
      <c r="D59" s="225"/>
      <c r="E59" s="225"/>
      <c r="H59" s="522">
        <v>-1622</v>
      </c>
      <c r="I59" s="522">
        <v>-860</v>
      </c>
      <c r="J59" s="522">
        <v>-762</v>
      </c>
      <c r="K59" s="523">
        <f>H59+I59-J59</f>
        <v>-1720</v>
      </c>
      <c r="L59"/>
      <c r="M59"/>
      <c r="N59"/>
      <c r="O59"/>
      <c r="P59"/>
      <c r="Q59"/>
    </row>
    <row r="60" spans="2:17" s="223" customFormat="1" ht="15" customHeight="1">
      <c r="B60" s="225" t="s">
        <v>63</v>
      </c>
      <c r="C60" s="225"/>
      <c r="D60" s="225"/>
      <c r="E60" s="225"/>
      <c r="H60" s="511">
        <f>H57+H59</f>
        <v>2258</v>
      </c>
      <c r="I60" s="511">
        <f>I57+I59</f>
        <v>1196</v>
      </c>
      <c r="J60" s="511">
        <f>J57+J59</f>
        <v>1061</v>
      </c>
      <c r="K60" s="69">
        <f>H60+I60-J60</f>
        <v>2393</v>
      </c>
      <c r="L60"/>
      <c r="M60"/>
      <c r="N60"/>
      <c r="O60"/>
      <c r="P60"/>
      <c r="Q60"/>
    </row>
    <row r="61" spans="2:17" s="223" customFormat="1" ht="15" customHeight="1">
      <c r="B61" s="112"/>
      <c r="C61" s="112"/>
      <c r="D61" s="112"/>
      <c r="E61" s="112"/>
      <c r="G61" s="79"/>
      <c r="H61" s="512"/>
      <c r="I61" s="512"/>
      <c r="J61" s="512"/>
      <c r="K61" s="512"/>
      <c r="L61"/>
      <c r="M61"/>
      <c r="N61"/>
      <c r="O61"/>
      <c r="P61"/>
      <c r="Q61"/>
    </row>
    <row r="62" spans="2:17" s="223" customFormat="1" ht="15" customHeight="1">
      <c r="B62" s="225" t="s">
        <v>135</v>
      </c>
      <c r="C62" s="225"/>
      <c r="D62" s="225"/>
      <c r="E62" s="225"/>
      <c r="H62" s="513">
        <v>-644</v>
      </c>
      <c r="I62" s="513">
        <v>-342</v>
      </c>
      <c r="J62" s="513">
        <v>-302</v>
      </c>
      <c r="K62" s="69">
        <f>H62+I62-J62</f>
        <v>-684</v>
      </c>
      <c r="L62"/>
      <c r="M62"/>
      <c r="N62"/>
      <c r="O62"/>
      <c r="P62"/>
      <c r="Q62"/>
    </row>
    <row r="63" spans="2:17" s="223" customFormat="1" ht="15" customHeight="1">
      <c r="B63" s="225" t="s">
        <v>134</v>
      </c>
      <c r="C63" s="225"/>
      <c r="D63" s="225"/>
      <c r="E63" s="225"/>
      <c r="H63" s="513">
        <v>214</v>
      </c>
      <c r="I63" s="513">
        <v>114</v>
      </c>
      <c r="J63" s="513">
        <v>100</v>
      </c>
      <c r="K63" s="69">
        <f>H63+I63-J63</f>
        <v>228</v>
      </c>
      <c r="L63"/>
      <c r="M63"/>
      <c r="N63"/>
      <c r="O63"/>
      <c r="P63"/>
      <c r="Q63"/>
    </row>
    <row r="64" spans="2:17" s="223" customFormat="1" ht="15" customHeight="1">
      <c r="B64" s="225" t="s">
        <v>64</v>
      </c>
      <c r="C64" s="225"/>
      <c r="D64" s="225"/>
      <c r="E64" s="225"/>
      <c r="H64" s="522">
        <v>5</v>
      </c>
      <c r="I64" s="522">
        <v>2</v>
      </c>
      <c r="J64" s="522">
        <v>2</v>
      </c>
      <c r="K64" s="523">
        <f>H64+I64-J64</f>
        <v>5</v>
      </c>
      <c r="L64"/>
      <c r="M64"/>
      <c r="N64"/>
      <c r="O64"/>
      <c r="P64"/>
      <c r="Q64"/>
    </row>
    <row r="65" spans="2:19" s="223" customFormat="1" ht="15" customHeight="1">
      <c r="B65" s="225" t="s">
        <v>65</v>
      </c>
      <c r="C65" s="225"/>
      <c r="D65" s="225"/>
      <c r="E65" s="225"/>
      <c r="H65" s="511">
        <f>SUM(H60:H64)</f>
        <v>1833</v>
      </c>
      <c r="I65" s="511">
        <f>SUM(I60:I64)</f>
        <v>970</v>
      </c>
      <c r="J65" s="511">
        <f>SUM(J60:J64)</f>
        <v>861</v>
      </c>
      <c r="K65" s="69">
        <f>H65+I65-J65</f>
        <v>1942</v>
      </c>
      <c r="L65"/>
      <c r="M65"/>
      <c r="O65"/>
    </row>
    <row r="66" spans="2:19" s="223" customFormat="1" ht="15" customHeight="1">
      <c r="B66" s="225"/>
      <c r="C66" s="225"/>
      <c r="D66" s="225"/>
      <c r="E66" s="225"/>
      <c r="H66" s="511"/>
      <c r="I66" s="511"/>
      <c r="J66" s="511"/>
      <c r="K66" s="511"/>
      <c r="L66"/>
      <c r="M66"/>
      <c r="O66"/>
    </row>
    <row r="67" spans="2:19" s="223" customFormat="1" ht="15" customHeight="1">
      <c r="B67" s="225" t="s">
        <v>66</v>
      </c>
      <c r="C67" s="225"/>
      <c r="D67" s="225"/>
      <c r="E67" s="225"/>
      <c r="H67" s="522">
        <v>-454</v>
      </c>
      <c r="I67" s="522">
        <v>-222</v>
      </c>
      <c r="J67" s="522">
        <v>-214</v>
      </c>
      <c r="K67" s="523">
        <f>H67+I67-J67</f>
        <v>-462</v>
      </c>
      <c r="L67"/>
      <c r="M67"/>
      <c r="N67"/>
      <c r="O67"/>
      <c r="P67"/>
      <c r="Q67"/>
      <c r="R67"/>
      <c r="S67"/>
    </row>
    <row r="68" spans="2:19" s="223" customFormat="1" ht="15" customHeight="1">
      <c r="B68" s="225" t="s">
        <v>67</v>
      </c>
      <c r="C68" s="225"/>
      <c r="D68" s="225"/>
      <c r="E68" s="225"/>
      <c r="H68" s="511">
        <f>H65+H67</f>
        <v>1379</v>
      </c>
      <c r="I68" s="511">
        <f>I65+I67</f>
        <v>748</v>
      </c>
      <c r="J68" s="511">
        <f>J65+J67</f>
        <v>647</v>
      </c>
      <c r="K68" s="69">
        <f>H68+I68-J68</f>
        <v>1480</v>
      </c>
      <c r="L68" s="126"/>
      <c r="M68"/>
      <c r="O68"/>
    </row>
    <row r="69" spans="2:19" s="223" customFormat="1" ht="15" customHeight="1">
      <c r="B69" s="225"/>
      <c r="C69" s="225"/>
      <c r="D69" s="225"/>
      <c r="E69" s="225"/>
      <c r="H69" s="511"/>
      <c r="I69" s="511"/>
      <c r="J69" s="511"/>
      <c r="K69" s="511"/>
      <c r="L69" s="126"/>
      <c r="M69"/>
      <c r="O69"/>
    </row>
    <row r="70" spans="2:19" s="223" customFormat="1" ht="15" customHeight="1">
      <c r="B70" s="225" t="s">
        <v>68</v>
      </c>
      <c r="C70" s="225"/>
      <c r="D70" s="225"/>
      <c r="E70" s="225"/>
      <c r="H70" s="513">
        <v>-2</v>
      </c>
      <c r="I70" s="513">
        <v>-2</v>
      </c>
      <c r="J70" s="513">
        <v>-1</v>
      </c>
      <c r="K70" s="69">
        <f>H70+I70-J70</f>
        <v>-3</v>
      </c>
      <c r="L70"/>
      <c r="M70"/>
      <c r="O70"/>
    </row>
    <row r="71" spans="2:19" s="223" customFormat="1" ht="15" customHeight="1" thickBot="1">
      <c r="B71" s="112" t="s">
        <v>69</v>
      </c>
      <c r="C71" s="112"/>
      <c r="D71" s="112"/>
      <c r="E71" s="112"/>
      <c r="G71" s="79"/>
      <c r="H71" s="524">
        <f>H68+H70</f>
        <v>1377</v>
      </c>
      <c r="I71" s="524">
        <f>I68+I70</f>
        <v>746</v>
      </c>
      <c r="J71" s="524">
        <f>J68+J70</f>
        <v>646</v>
      </c>
      <c r="K71" s="525">
        <f>H71+I71-J71</f>
        <v>1477</v>
      </c>
      <c r="L71"/>
      <c r="M71"/>
      <c r="O71"/>
    </row>
    <row r="72" spans="2:19" s="223" customFormat="1" ht="15" customHeight="1">
      <c r="B72" s="225"/>
      <c r="C72" s="225"/>
      <c r="D72" s="225"/>
      <c r="E72" s="225"/>
      <c r="H72" s="128"/>
      <c r="I72" s="129"/>
      <c r="J72" s="129"/>
      <c r="K72" s="129"/>
      <c r="L72" s="129"/>
      <c r="M72" s="105"/>
      <c r="O72" s="105"/>
    </row>
    <row r="73" spans="2:19" s="223" customFormat="1" ht="15" customHeight="1">
      <c r="B73" s="225"/>
      <c r="C73" s="225"/>
      <c r="D73" s="225"/>
      <c r="E73" s="225"/>
      <c r="H73" s="128"/>
      <c r="I73" s="129"/>
      <c r="J73" s="129"/>
      <c r="K73" s="129"/>
      <c r="L73" s="129"/>
      <c r="M73" s="105"/>
      <c r="O73" s="105"/>
    </row>
    <row r="74" spans="2:19" s="223" customFormat="1" ht="15" customHeight="1">
      <c r="B74" s="225" t="s">
        <v>71</v>
      </c>
      <c r="C74" s="225"/>
      <c r="D74" s="225"/>
      <c r="E74" s="225"/>
      <c r="G74" s="117" t="s">
        <v>72</v>
      </c>
      <c r="H74" s="123">
        <v>2655.7</v>
      </c>
      <c r="I74" s="123">
        <v>2645.8</v>
      </c>
      <c r="J74" s="123">
        <v>2541.1</v>
      </c>
      <c r="K74" s="124">
        <f>K71/K76</f>
        <v>2703.9245302692784</v>
      </c>
      <c r="M74" s="105"/>
      <c r="O74" s="105"/>
    </row>
    <row r="75" spans="2:19" s="223" customFormat="1" ht="15" customHeight="1">
      <c r="B75" s="225"/>
      <c r="C75" s="225"/>
      <c r="D75" s="225"/>
      <c r="E75" s="225"/>
      <c r="G75" s="117"/>
      <c r="H75" s="123"/>
      <c r="I75" s="123"/>
      <c r="J75" s="123"/>
      <c r="K75" s="124"/>
      <c r="M75" s="105"/>
      <c r="O75" s="105"/>
    </row>
    <row r="76" spans="2:19" s="223" customFormat="1" ht="15" customHeight="1">
      <c r="B76" s="225" t="s">
        <v>70</v>
      </c>
      <c r="C76" s="225"/>
      <c r="D76" s="225"/>
      <c r="E76" s="225"/>
      <c r="G76" s="117" t="s">
        <v>28</v>
      </c>
      <c r="H76" s="147">
        <f>H71/H74</f>
        <v>0.51850736152426857</v>
      </c>
      <c r="I76" s="147">
        <f>I71/I74</f>
        <v>0.28195630811096833</v>
      </c>
      <c r="J76" s="147">
        <f>J71/J74</f>
        <v>0.25422061312030225</v>
      </c>
      <c r="K76" s="147">
        <f>H76+I76-J76</f>
        <v>0.54624305651493477</v>
      </c>
      <c r="L76"/>
      <c r="M76"/>
      <c r="O76"/>
    </row>
    <row r="77" spans="2:19" s="223" customFormat="1" ht="15" customHeight="1">
      <c r="B77" s="225"/>
      <c r="C77" s="225"/>
      <c r="D77" s="225"/>
      <c r="E77" s="225"/>
      <c r="H77"/>
      <c r="I77" s="129"/>
      <c r="J77" s="129"/>
      <c r="K77" s="176"/>
      <c r="L77"/>
      <c r="M77"/>
      <c r="O77"/>
    </row>
    <row r="78" spans="2:19" s="223" customFormat="1" ht="15" customHeight="1">
      <c r="B78" s="225"/>
      <c r="C78" s="225"/>
      <c r="D78" s="225"/>
      <c r="E78" s="225"/>
      <c r="H78"/>
      <c r="I78" s="129"/>
      <c r="J78" s="129"/>
      <c r="K78" s="176"/>
      <c r="L78"/>
      <c r="M78"/>
      <c r="O78"/>
    </row>
    <row r="79" spans="2:19" s="223" customFormat="1" ht="15" customHeight="1">
      <c r="H79" s="123"/>
      <c r="I79" s="123"/>
      <c r="J79" s="123"/>
    </row>
    <row r="80" spans="2:19" s="223" customFormat="1" ht="15" customHeight="1">
      <c r="B80" s="148" t="s">
        <v>139</v>
      </c>
      <c r="C80" s="233"/>
      <c r="D80" s="233"/>
      <c r="H80" s="123"/>
      <c r="I80" s="123"/>
      <c r="J80" s="123"/>
    </row>
    <row r="81" spans="1:16" s="223" customFormat="1" ht="15" customHeight="1">
      <c r="B81" s="253" t="s">
        <v>67</v>
      </c>
      <c r="H81" s="511">
        <f>H68</f>
        <v>1379</v>
      </c>
      <c r="I81" s="511">
        <f t="shared" ref="I81:J81" si="0">I68</f>
        <v>748</v>
      </c>
      <c r="J81" s="511">
        <f t="shared" si="0"/>
        <v>647</v>
      </c>
      <c r="K81" s="69">
        <f>H81+I81-J81</f>
        <v>1480</v>
      </c>
    </row>
    <row r="82" spans="1:16" s="223" customFormat="1" ht="15" customHeight="1">
      <c r="B82" s="253" t="s">
        <v>147</v>
      </c>
      <c r="H82" s="511">
        <f>-H67</f>
        <v>454</v>
      </c>
      <c r="I82" s="511">
        <f>-I67</f>
        <v>222</v>
      </c>
      <c r="J82" s="511">
        <f>-J67</f>
        <v>214</v>
      </c>
      <c r="K82" s="69">
        <f>H82+I82-J82</f>
        <v>462</v>
      </c>
    </row>
    <row r="83" spans="1:16" s="223" customFormat="1" ht="15" customHeight="1">
      <c r="B83" s="253" t="s">
        <v>158</v>
      </c>
      <c r="H83" s="511">
        <f>-H64</f>
        <v>-5</v>
      </c>
      <c r="I83" s="511">
        <f t="shared" ref="I83:J83" si="1">-I64</f>
        <v>-2</v>
      </c>
      <c r="J83" s="511">
        <f t="shared" si="1"/>
        <v>-2</v>
      </c>
      <c r="K83" s="69">
        <f>H83+I83-J83</f>
        <v>-5</v>
      </c>
    </row>
    <row r="84" spans="1:16" s="223" customFormat="1" ht="15" customHeight="1">
      <c r="B84" s="253" t="s">
        <v>146</v>
      </c>
      <c r="H84" s="511">
        <f>-SUM(H62:H63)</f>
        <v>430</v>
      </c>
      <c r="I84" s="511">
        <f>-SUM(I62:I63)</f>
        <v>228</v>
      </c>
      <c r="J84" s="511">
        <f>-SUM(J62:J63)</f>
        <v>202</v>
      </c>
      <c r="K84" s="69">
        <f t="shared" ref="K84:K85" si="2">H84+I84-J84</f>
        <v>456</v>
      </c>
      <c r="N84" s="243"/>
      <c r="P84" s="243"/>
    </row>
    <row r="85" spans="1:16" s="223" customFormat="1" ht="15" customHeight="1">
      <c r="B85" s="253" t="s">
        <v>148</v>
      </c>
      <c r="H85" s="513">
        <v>1395</v>
      </c>
      <c r="I85" s="513">
        <v>360</v>
      </c>
      <c r="J85" s="513">
        <v>698</v>
      </c>
      <c r="K85" s="69">
        <f t="shared" si="2"/>
        <v>1057</v>
      </c>
    </row>
    <row r="86" spans="1:16" s="223" customFormat="1" ht="15" customHeight="1">
      <c r="B86" s="253" t="s">
        <v>30</v>
      </c>
      <c r="H86" s="521">
        <f>SUM(H81:H85)</f>
        <v>3653</v>
      </c>
      <c r="I86" s="521">
        <f>SUM(I81:I85)</f>
        <v>1556</v>
      </c>
      <c r="J86" s="521">
        <f>SUM(J81:J85)</f>
        <v>1759</v>
      </c>
      <c r="K86" s="521">
        <f>SUM(K81:K85)</f>
        <v>3450</v>
      </c>
    </row>
    <row r="87" spans="1:16" s="223" customFormat="1" ht="15" customHeight="1">
      <c r="H87" s="123"/>
      <c r="I87" s="123"/>
      <c r="J87" s="123"/>
      <c r="K87" s="123"/>
    </row>
    <row r="88" spans="1:16" s="223" customFormat="1" ht="15" customHeight="1">
      <c r="H88" s="123"/>
      <c r="I88" s="123"/>
      <c r="J88" s="123"/>
    </row>
    <row r="89" spans="1:16" s="223" customFormat="1" ht="15" customHeight="1">
      <c r="H89" s="123"/>
      <c r="I89" s="123"/>
      <c r="J89" s="123"/>
      <c r="K89" s="230" t="s">
        <v>95</v>
      </c>
    </row>
    <row r="90" spans="1:16" s="223" customFormat="1" ht="15" customHeight="1">
      <c r="H90" s="123"/>
      <c r="I90" s="123"/>
      <c r="J90" s="123"/>
      <c r="K90" s="229" t="s">
        <v>73</v>
      </c>
    </row>
    <row r="91" spans="1:16" s="223" customFormat="1" ht="15" customHeight="1">
      <c r="G91" s="129"/>
      <c r="H91" s="129"/>
      <c r="I91" s="129"/>
      <c r="J91" s="227"/>
    </row>
    <row r="92" spans="1:16" s="223" customFormat="1" ht="15" customHeight="1">
      <c r="B92" s="224"/>
      <c r="C92" s="224"/>
      <c r="D92" s="224"/>
      <c r="E92" s="224"/>
      <c r="F92" s="224"/>
      <c r="G92" s="130"/>
      <c r="H92" s="130"/>
      <c r="I92" s="130"/>
      <c r="J92" s="228"/>
      <c r="K92" s="224"/>
      <c r="L92" s="231"/>
      <c r="M92" s="230"/>
      <c r="O92" s="230"/>
    </row>
    <row r="93" spans="1:16" s="223" customFormat="1" ht="15" customHeight="1">
      <c r="G93" s="129"/>
      <c r="H93" s="129"/>
      <c r="I93" s="129"/>
      <c r="J93" s="227"/>
      <c r="L93" s="230"/>
      <c r="M93" s="230"/>
      <c r="O93" s="230"/>
    </row>
    <row r="94" spans="1:16" s="223" customFormat="1" ht="15" customHeight="1">
      <c r="A94" s="223" t="s">
        <v>0</v>
      </c>
      <c r="B94" s="239" t="str">
        <f>CONCATENATE($L$9&amp;": Forward Growth Estimates")</f>
        <v>Golden Pantry: Forward Growth Estimates</v>
      </c>
      <c r="C94" s="240"/>
      <c r="D94" s="241"/>
      <c r="E94" s="241"/>
      <c r="F94" s="241"/>
      <c r="G94" s="241"/>
      <c r="H94" s="241"/>
      <c r="I94" s="241"/>
      <c r="J94" s="241"/>
      <c r="K94" s="241"/>
      <c r="L94" s="241"/>
      <c r="M94" s="182"/>
      <c r="O94" s="182"/>
    </row>
    <row r="95" spans="1:16" s="223" customFormat="1" ht="15" customHeight="1">
      <c r="G95" s="129"/>
      <c r="H95" s="129"/>
      <c r="I95" s="129"/>
      <c r="J95" s="227"/>
    </row>
    <row r="96" spans="1:16" s="223" customFormat="1" ht="15" customHeight="1">
      <c r="B96" s="33" t="s">
        <v>19</v>
      </c>
      <c r="C96" s="33"/>
      <c r="D96" s="33"/>
      <c r="E96" s="33"/>
      <c r="G96" s="129"/>
      <c r="H96" s="129"/>
      <c r="I96" s="129"/>
      <c r="J96" s="227"/>
    </row>
    <row r="97" spans="2:19" s="223" customFormat="1" ht="15" customHeight="1">
      <c r="B97" s="33"/>
      <c r="C97" s="33"/>
      <c r="D97" s="33"/>
      <c r="E97" s="33"/>
      <c r="H97" s="129"/>
      <c r="I97" s="129"/>
      <c r="J97" s="129"/>
      <c r="K97" s="227"/>
    </row>
    <row r="98" spans="2:19" s="223" customFormat="1" ht="15" customHeight="1">
      <c r="H98" s="259">
        <v>2022</v>
      </c>
      <c r="I98" s="260">
        <f>H98+1</f>
        <v>2023</v>
      </c>
      <c r="J98" s="261">
        <f>I98+1</f>
        <v>2024</v>
      </c>
      <c r="N98"/>
      <c r="P98"/>
      <c r="Q98"/>
      <c r="R98"/>
      <c r="S98"/>
    </row>
    <row r="99" spans="2:19" s="223" customFormat="1" ht="15" customHeight="1" thickBot="1">
      <c r="B99" s="148" t="s">
        <v>96</v>
      </c>
      <c r="C99" s="148"/>
      <c r="D99" s="148"/>
      <c r="E99" s="79"/>
      <c r="G99" s="79"/>
      <c r="H99" s="144">
        <f>H52</f>
        <v>44926</v>
      </c>
      <c r="I99" s="141">
        <f>EOMONTH(H99,12)</f>
        <v>45291</v>
      </c>
      <c r="J99" s="141">
        <f t="shared" ref="J99" si="3">EOMONTH(I99,12)</f>
        <v>45657</v>
      </c>
      <c r="K99" s="226"/>
      <c r="N99"/>
      <c r="P99"/>
      <c r="Q99"/>
      <c r="R99"/>
      <c r="S99"/>
    </row>
    <row r="100" spans="2:19" s="223" customFormat="1" ht="15" customHeight="1">
      <c r="B100" s="79"/>
      <c r="C100" s="79"/>
      <c r="D100" s="79"/>
      <c r="E100" s="79"/>
      <c r="G100" s="79"/>
      <c r="H100" s="150"/>
      <c r="I100" s="151"/>
      <c r="J100" s="151"/>
      <c r="N100"/>
      <c r="P100"/>
      <c r="Q100"/>
      <c r="R100"/>
      <c r="S100"/>
    </row>
    <row r="101" spans="2:19" s="223" customFormat="1" ht="15" customHeight="1">
      <c r="B101" s="79"/>
      <c r="C101" s="79"/>
      <c r="D101" s="79"/>
      <c r="E101" s="79"/>
      <c r="G101" s="79"/>
      <c r="H101" s="177"/>
      <c r="I101" s="132"/>
      <c r="J101" s="132"/>
      <c r="N101"/>
      <c r="P101"/>
      <c r="Q101"/>
      <c r="R101"/>
      <c r="S101"/>
    </row>
    <row r="102" spans="2:19" s="223" customFormat="1" ht="15" customHeight="1">
      <c r="B102" s="225" t="s">
        <v>40</v>
      </c>
      <c r="C102" s="225"/>
      <c r="D102" s="225"/>
      <c r="E102" s="225"/>
      <c r="H102" s="511">
        <f>H55</f>
        <v>54550</v>
      </c>
      <c r="I102" s="513">
        <v>58466</v>
      </c>
      <c r="J102" s="513">
        <v>61720</v>
      </c>
      <c r="N102"/>
      <c r="P102"/>
      <c r="Q102"/>
    </row>
    <row r="103" spans="2:19" s="223" customFormat="1" ht="15" customHeight="1">
      <c r="B103" s="169" t="s">
        <v>90</v>
      </c>
      <c r="C103" s="169"/>
      <c r="D103" s="169"/>
      <c r="E103" s="169"/>
      <c r="G103" s="167"/>
      <c r="H103" s="168"/>
      <c r="I103" s="262">
        <f>I102/H102-1</f>
        <v>7.1787351054078741E-2</v>
      </c>
      <c r="J103" s="262">
        <f>J102/I102-1</f>
        <v>5.5656278862928898E-2</v>
      </c>
      <c r="P103" s="243"/>
      <c r="Q103"/>
    </row>
    <row r="104" spans="2:19" s="223" customFormat="1" ht="15" customHeight="1">
      <c r="B104" s="225"/>
      <c r="C104" s="225"/>
      <c r="D104" s="225"/>
      <c r="E104" s="225"/>
      <c r="H104" s="124"/>
      <c r="I104" s="133"/>
      <c r="J104" s="133"/>
      <c r="P104" s="245"/>
      <c r="Q104"/>
    </row>
    <row r="105" spans="2:19" s="223" customFormat="1" ht="15" customHeight="1">
      <c r="B105" s="225" t="s">
        <v>30</v>
      </c>
      <c r="C105" s="225"/>
      <c r="D105" s="225"/>
      <c r="E105" s="225"/>
      <c r="H105" s="511">
        <f>H86</f>
        <v>3653</v>
      </c>
      <c r="I105" s="513">
        <v>3936</v>
      </c>
      <c r="J105" s="513">
        <v>4297</v>
      </c>
      <c r="P105" s="243"/>
      <c r="Q105"/>
    </row>
    <row r="106" spans="2:19" s="223" customFormat="1" ht="15" customHeight="1">
      <c r="B106" s="169" t="s">
        <v>90</v>
      </c>
      <c r="C106" s="169"/>
      <c r="D106" s="169"/>
      <c r="E106" s="169"/>
      <c r="G106" s="167"/>
      <c r="H106" s="168"/>
      <c r="I106" s="262">
        <f>I105/H105-1</f>
        <v>7.7470572132493754E-2</v>
      </c>
      <c r="J106" s="262">
        <f>J105/I105-1</f>
        <v>9.171747967479682E-2</v>
      </c>
      <c r="P106" s="243"/>
      <c r="Q106"/>
    </row>
    <row r="107" spans="2:19" s="223" customFormat="1" ht="15" customHeight="1">
      <c r="B107" s="225"/>
      <c r="C107" s="225"/>
      <c r="D107" s="225"/>
      <c r="E107" s="225"/>
      <c r="H107" s="124"/>
      <c r="I107" s="133"/>
      <c r="J107" s="133"/>
      <c r="P107" s="245"/>
      <c r="Q107"/>
    </row>
    <row r="108" spans="2:19" s="223" customFormat="1" ht="15" customHeight="1">
      <c r="B108" s="225" t="s">
        <v>70</v>
      </c>
      <c r="C108" s="225"/>
      <c r="D108" s="225"/>
      <c r="E108" s="225"/>
      <c r="G108" s="117" t="s">
        <v>28</v>
      </c>
      <c r="H108" s="147">
        <f>H76</f>
        <v>0.51850736152426857</v>
      </c>
      <c r="I108" s="134">
        <v>0.56000000000000005</v>
      </c>
      <c r="J108" s="134">
        <v>0.6</v>
      </c>
      <c r="L108" s="165"/>
      <c r="P108" s="245"/>
      <c r="Q108"/>
    </row>
    <row r="109" spans="2:19" s="223" customFormat="1" ht="15" customHeight="1">
      <c r="B109" s="169" t="s">
        <v>90</v>
      </c>
      <c r="C109" s="169"/>
      <c r="D109" s="169"/>
      <c r="E109" s="169"/>
      <c r="G109" s="167"/>
      <c r="H109" s="168"/>
      <c r="I109" s="262">
        <f>I108/H108-1</f>
        <v>8.0023238925199802E-2</v>
      </c>
      <c r="J109" s="262">
        <f>J108/I108-1</f>
        <v>7.1428571428571397E-2</v>
      </c>
      <c r="L109" s="166"/>
      <c r="P109" s="243"/>
      <c r="Q109"/>
    </row>
    <row r="110" spans="2:19" s="223" customFormat="1" ht="15" customHeight="1">
      <c r="B110" s="225"/>
      <c r="C110" s="225"/>
      <c r="D110" s="225"/>
      <c r="E110" s="225"/>
      <c r="H110" s="124"/>
      <c r="I110" s="133"/>
      <c r="J110" s="133"/>
      <c r="L110" s="166"/>
      <c r="N110"/>
      <c r="P110"/>
      <c r="Q110"/>
    </row>
    <row r="111" spans="2:19" s="223" customFormat="1" ht="15" customHeight="1">
      <c r="B111" s="225"/>
      <c r="C111" s="225"/>
      <c r="D111" s="225"/>
      <c r="E111" s="225"/>
      <c r="H111" s="124"/>
      <c r="I111" s="133"/>
      <c r="J111" s="133"/>
      <c r="L111" s="166"/>
      <c r="N111"/>
      <c r="P111"/>
      <c r="Q111"/>
    </row>
    <row r="112" spans="2:19" s="223" customFormat="1" ht="15" customHeight="1">
      <c r="B112" s="225"/>
      <c r="C112" s="225"/>
      <c r="D112" s="225"/>
      <c r="E112" s="225"/>
      <c r="H112" s="124"/>
      <c r="I112" s="133"/>
      <c r="J112" s="133"/>
      <c r="L112" s="166"/>
      <c r="N112"/>
      <c r="P112"/>
      <c r="Q112"/>
    </row>
    <row r="113" spans="2:25" s="223" customFormat="1" ht="15" customHeight="1">
      <c r="B113" s="225"/>
      <c r="C113" s="225"/>
      <c r="D113" s="225"/>
      <c r="E113" s="225"/>
      <c r="H113" s="124"/>
      <c r="I113" s="133"/>
      <c r="J113" s="175" t="s">
        <v>97</v>
      </c>
      <c r="L113" s="166"/>
      <c r="N113"/>
      <c r="P113"/>
      <c r="Q113"/>
    </row>
    <row r="114" spans="2:25" s="223" customFormat="1" ht="15" customHeight="1"/>
    <row r="115" spans="2:25" s="223" customFormat="1" ht="15" customHeight="1"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</row>
    <row r="116" spans="2:25" s="223" customFormat="1" ht="15" customHeight="1">
      <c r="Y116" s="532" t="s">
        <v>0</v>
      </c>
    </row>
  </sheetData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headerFooter>
    <oddFooter>&amp;L&amp;"Open Sans,Bold"&amp;10&amp;K002060Comparable Valuation Model&amp;C&amp;"Open Sans,Bold"&amp;10&amp;K002060Page &amp;P of &amp;N&amp;R&amp;G</oddFooter>
  </headerFooter>
  <rowBreaks count="1" manualBreakCount="1">
    <brk id="2" min="1" max="8" man="1"/>
  </rowBreaks>
  <colBreaks count="1" manualBreakCount="1">
    <brk id="1" max="104857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Cover</vt:lpstr>
      <vt:lpstr>Summary</vt:lpstr>
      <vt:lpstr>Trading</vt:lpstr>
      <vt:lpstr>HVM</vt:lpstr>
      <vt:lpstr>Transactions</vt:lpstr>
      <vt:lpstr>GPT</vt:lpstr>
      <vt:lpstr>Cover!Print_Area</vt:lpstr>
      <vt:lpstr>GPT!Print_Area</vt:lpstr>
      <vt:lpstr>'GPT-R'!Print_Area</vt:lpstr>
      <vt:lpstr>HVM!Print_Area</vt:lpstr>
      <vt:lpstr>'HVM-R'!Print_Area</vt:lpstr>
      <vt:lpstr>Summary!Print_Area</vt:lpstr>
      <vt:lpstr>Trading!Print_Area</vt:lpstr>
      <vt:lpstr>'Trading-R'!Print_Area</vt:lpstr>
      <vt:lpstr>Transactions!Print_Area</vt:lpstr>
      <vt:lpstr>'Transactions-R'!Print_Area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CFI</cp:lastModifiedBy>
  <cp:revision/>
  <cp:lastPrinted>1899-12-30T05:00:00Z</cp:lastPrinted>
  <dcterms:created xsi:type="dcterms:W3CDTF">1899-12-30T05:00:00Z</dcterms:created>
  <dcterms:modified xsi:type="dcterms:W3CDTF">2024-08-22T10:42:30Z</dcterms:modified>
  <cp:category/>
  <cp:contentStatus/>
  <dc:language/>
  <cp:version/>
</cp:coreProperties>
</file>