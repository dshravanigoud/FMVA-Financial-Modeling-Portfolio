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42DF507B-406D-854A-B9B2-94FC2B83655E}" xr6:coauthVersionLast="47" xr6:coauthVersionMax="47" xr10:uidLastSave="{00000000-0000-0000-0000-000000000000}"/>
  <bookViews>
    <workbookView xWindow="-120" yWindow="760" windowWidth="38640" windowHeight="18360" activeTab="1" xr2:uid="{00000000-000D-0000-FFFF-FFFF00000000}"/>
  </bookViews>
  <sheets>
    <sheet name="Cover" sheetId="2" r:id="rId1"/>
    <sheet name="Model" sheetId="3" r:id="rId2"/>
    <sheet name="Model-R" sheetId="4" state="veryHidden" r:id="rId3"/>
  </sheets>
  <definedNames>
    <definedName name="_xlnm.Print_Area" localSheetId="0">Cover!$B$2:$H$42</definedName>
    <definedName name="_xlnm.Print_Area" localSheetId="1">Model!$B$2:$G$31,Model!$I$2:$M$33,Model!$O$2:$U$33</definedName>
    <definedName name="_xlnm.Print_Area" localSheetId="2">'Model-R'!$B$3:$H$32,'Model-R'!$B$35:$H$66,'Model-R'!$B$69:$H$100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3" l="1"/>
  <c r="R32" i="3" s="1"/>
  <c r="R27" i="3"/>
  <c r="T25" i="3"/>
  <c r="U25" i="3" s="1"/>
  <c r="S25" i="3"/>
  <c r="R20" i="3"/>
  <c r="S19" i="3"/>
  <c r="T19" i="3" s="1"/>
  <c r="U19" i="3" s="1"/>
  <c r="T17" i="3"/>
  <c r="U17" i="3" s="1"/>
  <c r="T18" i="3"/>
  <c r="U18" i="3" s="1"/>
  <c r="S18" i="3"/>
  <c r="S17" i="3"/>
  <c r="S16" i="3"/>
  <c r="S20" i="3" s="1"/>
  <c r="R11" i="3"/>
  <c r="S9" i="3"/>
  <c r="T9" i="3" s="1"/>
  <c r="U9" i="3" s="1"/>
  <c r="S8" i="3"/>
  <c r="T8" i="3" s="1"/>
  <c r="U8" i="3" s="1"/>
  <c r="K30" i="3"/>
  <c r="L26" i="3"/>
  <c r="M26" i="3"/>
  <c r="K26" i="3"/>
  <c r="L18" i="3"/>
  <c r="M18" i="3"/>
  <c r="K18" i="3"/>
  <c r="L9" i="3"/>
  <c r="M9" i="3"/>
  <c r="K9" i="3"/>
  <c r="F86" i="4" s="1"/>
  <c r="L8" i="3"/>
  <c r="M8" i="3"/>
  <c r="K8" i="3"/>
  <c r="S10" i="3" s="1"/>
  <c r="T10" i="3" s="1"/>
  <c r="U10" i="3" s="1"/>
  <c r="F27" i="3"/>
  <c r="G27" i="3"/>
  <c r="E27" i="3"/>
  <c r="E14" i="3"/>
  <c r="E18" i="3" s="1"/>
  <c r="E22" i="3" s="1"/>
  <c r="E30" i="3" s="1"/>
  <c r="K7" i="3" s="1"/>
  <c r="S26" i="3" s="1"/>
  <c r="F9" i="3"/>
  <c r="F14" i="3" s="1"/>
  <c r="G9" i="3"/>
  <c r="G14" i="3" s="1"/>
  <c r="G18" i="3" s="1"/>
  <c r="E9" i="3"/>
  <c r="E94" i="4"/>
  <c r="F92" i="4"/>
  <c r="F85" i="4"/>
  <c r="F84" i="4"/>
  <c r="F83" i="4"/>
  <c r="F76" i="4"/>
  <c r="F75" i="4"/>
  <c r="E87" i="4"/>
  <c r="E78" i="4"/>
  <c r="F51" i="4"/>
  <c r="F28" i="4"/>
  <c r="F10" i="4"/>
  <c r="G28" i="4"/>
  <c r="H28" i="4"/>
  <c r="G10" i="4"/>
  <c r="H10" i="4"/>
  <c r="F18" i="3" l="1"/>
  <c r="F22" i="3" s="1"/>
  <c r="F30" i="3" s="1"/>
  <c r="L7" i="3" s="1"/>
  <c r="L13" i="3" s="1"/>
  <c r="L31" i="3" s="1"/>
  <c r="G19" i="4"/>
  <c r="S27" i="3"/>
  <c r="T26" i="3"/>
  <c r="U26" i="3" s="1"/>
  <c r="U27" i="3" s="1"/>
  <c r="S29" i="3"/>
  <c r="K13" i="3"/>
  <c r="K31" i="3" s="1"/>
  <c r="K32" i="3" s="1"/>
  <c r="S7" i="3" s="1"/>
  <c r="T27" i="3"/>
  <c r="T16" i="3"/>
  <c r="G22" i="3"/>
  <c r="G30" i="3" s="1"/>
  <c r="M7" i="3" s="1"/>
  <c r="M13" i="3" s="1"/>
  <c r="M31" i="3" s="1"/>
  <c r="H23" i="4"/>
  <c r="H15" i="4"/>
  <c r="G15" i="4"/>
  <c r="H19" i="4"/>
  <c r="F63" i="4"/>
  <c r="G59" i="4"/>
  <c r="H59" i="4"/>
  <c r="F59" i="4"/>
  <c r="G51" i="4"/>
  <c r="H51" i="4"/>
  <c r="J42" i="4"/>
  <c r="G41" i="4"/>
  <c r="H41" i="4"/>
  <c r="G42" i="4"/>
  <c r="H42" i="4"/>
  <c r="F42" i="4"/>
  <c r="F41" i="4"/>
  <c r="F15" i="4"/>
  <c r="L30" i="3" l="1"/>
  <c r="L32" i="3" s="1"/>
  <c r="T7" i="3" s="1"/>
  <c r="S11" i="3"/>
  <c r="S32" i="3" s="1"/>
  <c r="U16" i="3"/>
  <c r="U20" i="3" s="1"/>
  <c r="U29" i="3" s="1"/>
  <c r="T20" i="3"/>
  <c r="T29" i="3" s="1"/>
  <c r="K42" i="4"/>
  <c r="F19" i="4"/>
  <c r="K19" i="4" s="1"/>
  <c r="K51" i="4"/>
  <c r="L42" i="4" a="1"/>
  <c r="L42" i="4" s="1"/>
  <c r="J9" i="3" s="1"/>
  <c r="H46" i="4"/>
  <c r="H40" i="4"/>
  <c r="H64" i="4"/>
  <c r="K15" i="4"/>
  <c r="K59" i="4"/>
  <c r="K41" i="4"/>
  <c r="G23" i="4"/>
  <c r="J15" i="4"/>
  <c r="J10" i="4"/>
  <c r="K28" i="4"/>
  <c r="K10" i="4"/>
  <c r="F71" i="4"/>
  <c r="E71" i="4" s="1"/>
  <c r="F37" i="4"/>
  <c r="G5" i="4"/>
  <c r="G37" i="4" s="1"/>
  <c r="G85" i="4"/>
  <c r="G84" i="4"/>
  <c r="G76" i="4"/>
  <c r="G86" i="4"/>
  <c r="F77" i="4"/>
  <c r="S4" i="3"/>
  <c r="R4" i="3" s="1"/>
  <c r="K4" i="3"/>
  <c r="F4" i="3"/>
  <c r="T4" i="3" s="1"/>
  <c r="M30" i="3" l="1"/>
  <c r="M32" i="3" s="1"/>
  <c r="U7" i="3" s="1"/>
  <c r="U11" i="3" s="1"/>
  <c r="U32" i="3" s="1"/>
  <c r="T11" i="3"/>
  <c r="T32" i="3" s="1"/>
  <c r="G83" i="4"/>
  <c r="F87" i="4"/>
  <c r="E96" i="4"/>
  <c r="G92" i="4"/>
  <c r="G75" i="4"/>
  <c r="G77" i="4"/>
  <c r="J41" i="4"/>
  <c r="L41" i="4" s="1" a="1"/>
  <c r="L41" i="4" s="1"/>
  <c r="J8" i="3" s="1"/>
  <c r="J59" i="4"/>
  <c r="L59" i="4" s="1" a="1"/>
  <c r="L59" i="4" s="1"/>
  <c r="J26" i="3" s="1"/>
  <c r="J51" i="4"/>
  <c r="L51" i="4" s="1" a="1"/>
  <c r="L51" i="4" s="1"/>
  <c r="J18" i="3" s="1"/>
  <c r="H86" i="4"/>
  <c r="K86" i="4" s="1"/>
  <c r="G40" i="4"/>
  <c r="L15" i="4" a="1"/>
  <c r="L15" i="4" s="1"/>
  <c r="D14" i="3" s="1"/>
  <c r="L10" i="4" a="1"/>
  <c r="L10" i="4" s="1"/>
  <c r="D9" i="3" s="1"/>
  <c r="G31" i="4"/>
  <c r="H31" i="4"/>
  <c r="J28" i="4"/>
  <c r="H5" i="4"/>
  <c r="H37" i="4" s="1"/>
  <c r="G71" i="4"/>
  <c r="G4" i="3"/>
  <c r="L4" i="3"/>
  <c r="J92" i="4" l="1"/>
  <c r="H92" i="4"/>
  <c r="K92" i="4" s="1"/>
  <c r="L92" i="4" s="1" a="1"/>
  <c r="L92" i="4" s="1"/>
  <c r="Q25" i="3" s="1"/>
  <c r="J23" i="4"/>
  <c r="F23" i="4"/>
  <c r="K23" i="4" s="1"/>
  <c r="J19" i="4"/>
  <c r="L19" i="4" s="1" a="1"/>
  <c r="L19" i="4" s="1"/>
  <c r="D18" i="3" s="1"/>
  <c r="H85" i="4"/>
  <c r="K85" i="4" s="1"/>
  <c r="H76" i="4"/>
  <c r="K76" i="4" s="1"/>
  <c r="H83" i="4"/>
  <c r="J75" i="4"/>
  <c r="H75" i="4"/>
  <c r="K75" i="4" s="1"/>
  <c r="H84" i="4"/>
  <c r="K84" i="4" s="1"/>
  <c r="H71" i="4"/>
  <c r="J83" i="4"/>
  <c r="J84" i="4"/>
  <c r="J76" i="4"/>
  <c r="E99" i="4"/>
  <c r="J85" i="4"/>
  <c r="J86" i="4"/>
  <c r="L86" i="4" s="1" a="1"/>
  <c r="L86" i="4" s="1"/>
  <c r="Q19" i="3" s="1"/>
  <c r="G87" i="4"/>
  <c r="G46" i="4"/>
  <c r="L28" i="4" a="1"/>
  <c r="L28" i="4" s="1"/>
  <c r="D27" i="3" s="1"/>
  <c r="M4" i="3"/>
  <c r="U4" i="3"/>
  <c r="L23" i="4" l="1" a="1"/>
  <c r="L23" i="4" s="1"/>
  <c r="D22" i="3" s="1"/>
  <c r="L76" i="4" a="1"/>
  <c r="L76" i="4" s="1"/>
  <c r="Q9" i="3" s="1"/>
  <c r="L75" i="4" a="1"/>
  <c r="L75" i="4" s="1"/>
  <c r="Q8" i="3" s="1"/>
  <c r="L84" i="4" a="1"/>
  <c r="L84" i="4" s="1"/>
  <c r="Q17" i="3" s="1"/>
  <c r="L85" i="4" a="1"/>
  <c r="L85" i="4" s="1"/>
  <c r="Q18" i="3" s="1"/>
  <c r="F31" i="4"/>
  <c r="K31" i="4" s="1"/>
  <c r="J87" i="4"/>
  <c r="J77" i="4"/>
  <c r="H77" i="4"/>
  <c r="K77" i="4" s="1"/>
  <c r="H87" i="4"/>
  <c r="K87" i="4" s="1"/>
  <c r="G64" i="4"/>
  <c r="K83" i="4"/>
  <c r="L83" i="4" s="1" a="1"/>
  <c r="L83" i="4" s="1"/>
  <c r="Q16" i="3" s="1"/>
  <c r="J31" i="4"/>
  <c r="L77" i="4" l="1" a="1"/>
  <c r="L77" i="4" s="1"/>
  <c r="Q10" i="3" s="1"/>
  <c r="L31" i="4" a="1"/>
  <c r="L31" i="4" s="1"/>
  <c r="D30" i="3" s="1"/>
  <c r="F40" i="4"/>
  <c r="K40" i="4" s="1"/>
  <c r="L87" i="4" a="1"/>
  <c r="L87" i="4" s="1"/>
  <c r="Q20" i="3" s="1"/>
  <c r="F93" i="4" l="1"/>
  <c r="F46" i="4"/>
  <c r="K46" i="4" s="1"/>
  <c r="J40" i="4"/>
  <c r="L40" i="4" s="1" a="1"/>
  <c r="L40" i="4" s="1"/>
  <c r="J7" i="3" s="1"/>
  <c r="G93" i="4" l="1"/>
  <c r="F94" i="4"/>
  <c r="F64" i="4"/>
  <c r="K64" i="4" s="1"/>
  <c r="J46" i="4"/>
  <c r="L46" i="4" s="1" a="1"/>
  <c r="L46" i="4" s="1"/>
  <c r="J13" i="3" s="1"/>
  <c r="F65" i="4" l="1"/>
  <c r="J64" i="4"/>
  <c r="L64" i="4" a="1"/>
  <c r="L64" i="4" s="1"/>
  <c r="J31" i="3" s="1"/>
  <c r="F96" i="4"/>
  <c r="H93" i="4"/>
  <c r="K93" i="4" s="1"/>
  <c r="G94" i="4"/>
  <c r="H94" i="4" l="1"/>
  <c r="K94" i="4" s="1"/>
  <c r="J93" i="4"/>
  <c r="L93" i="4" s="1" a="1"/>
  <c r="L93" i="4" s="1"/>
  <c r="Q26" i="3" s="1"/>
  <c r="G96" i="4"/>
  <c r="F74" i="4"/>
  <c r="G63" i="4"/>
  <c r="G65" i="4" l="1"/>
  <c r="F78" i="4"/>
  <c r="J96" i="4"/>
  <c r="H96" i="4"/>
  <c r="K96" i="4" s="1"/>
  <c r="J94" i="4"/>
  <c r="L94" i="4" s="1" a="1"/>
  <c r="L94" i="4" s="1"/>
  <c r="Q27" i="3" s="1"/>
  <c r="F99" i="4" l="1"/>
  <c r="L96" i="4" a="1"/>
  <c r="L96" i="4" s="1"/>
  <c r="Q29" i="3" s="1"/>
  <c r="G74" i="4"/>
  <c r="H63" i="4"/>
  <c r="K63" i="4" s="1"/>
  <c r="H65" i="4" l="1"/>
  <c r="K65" i="4" s="1"/>
  <c r="J63" i="4"/>
  <c r="L63" i="4" s="1" a="1"/>
  <c r="L63" i="4" s="1"/>
  <c r="J30" i="3" s="1"/>
  <c r="G78" i="4"/>
  <c r="G99" i="4" l="1"/>
  <c r="H74" i="4"/>
  <c r="K74" i="4" s="1"/>
  <c r="J65" i="4"/>
  <c r="L65" i="4" s="1" a="1"/>
  <c r="L65" i="4" s="1"/>
  <c r="J32" i="3" s="1"/>
  <c r="H78" i="4" l="1"/>
  <c r="K78" i="4" s="1"/>
  <c r="J74" i="4"/>
  <c r="L74" i="4" s="1" a="1"/>
  <c r="L74" i="4" s="1"/>
  <c r="Q7" i="3" s="1"/>
  <c r="H99" i="4" l="1"/>
  <c r="K99" i="4" s="1"/>
  <c r="J78" i="4"/>
  <c r="L78" i="4" a="1"/>
  <c r="L78" i="4" s="1"/>
  <c r="Q11" i="3" s="1"/>
  <c r="J99" i="4" l="1"/>
  <c r="L99" i="4" s="1" a="1"/>
  <c r="L99" i="4" s="1"/>
  <c r="Q32" i="3" s="1"/>
  <c r="G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<sst xmlns="http://schemas.openxmlformats.org/spreadsheetml/2006/main" count="139" uniqueCount="61">
  <si>
    <t>Compact 3-Statement Model</t>
  </si>
  <si>
    <t>Table of Contents</t>
  </si>
  <si>
    <t>Model Check</t>
  </si>
  <si>
    <t>Model</t>
  </si>
  <si>
    <t>Balance Sheet Balanced?</t>
  </si>
  <si>
    <t xml:space="preserve"> </t>
  </si>
  <si>
    <t>Income Statement</t>
  </si>
  <si>
    <t>Cash Flow Statement</t>
  </si>
  <si>
    <t>Balance Sheet</t>
  </si>
  <si>
    <t>All figures in USD thousands</t>
  </si>
  <si>
    <t>CASH FROM OPERATIONS</t>
  </si>
  <si>
    <t>ASSETS</t>
  </si>
  <si>
    <t>Revenue</t>
  </si>
  <si>
    <t>Net Income</t>
  </si>
  <si>
    <t>Cash</t>
  </si>
  <si>
    <t>COGS</t>
  </si>
  <si>
    <t>Depreciation</t>
  </si>
  <si>
    <t>Accounts Receivable</t>
  </si>
  <si>
    <t>Gross Profit</t>
  </si>
  <si>
    <t>Deferred Tax</t>
  </si>
  <si>
    <t>Inventory</t>
  </si>
  <si>
    <t>Cash from Accounts Receivable</t>
  </si>
  <si>
    <t>Property Plant &amp; Equipment</t>
  </si>
  <si>
    <t>Cash from Inventory</t>
  </si>
  <si>
    <t>Total Assets</t>
  </si>
  <si>
    <t>SG&amp;A</t>
  </si>
  <si>
    <t>Cash from Accounts Payable</t>
  </si>
  <si>
    <t>Other</t>
  </si>
  <si>
    <t>Subtotal</t>
  </si>
  <si>
    <t>EBITDA</t>
  </si>
  <si>
    <t>LIABILITIES</t>
  </si>
  <si>
    <t>CASH FROM INVESTING</t>
  </si>
  <si>
    <t>Accounts Payable</t>
  </si>
  <si>
    <t>Capital Expenditure</t>
  </si>
  <si>
    <t>Line of Credit</t>
  </si>
  <si>
    <t>EBIT</t>
  </si>
  <si>
    <t>Term Loan</t>
  </si>
  <si>
    <t>Deferred Taxes</t>
  </si>
  <si>
    <t>Total Liabilities</t>
  </si>
  <si>
    <t>Interest Expense</t>
  </si>
  <si>
    <t>CASH FROM FINANCING</t>
  </si>
  <si>
    <t>EBT</t>
  </si>
  <si>
    <t>Line of Credit Issue / (Repay)</t>
  </si>
  <si>
    <t>Term Loan Issue / (Repay)</t>
  </si>
  <si>
    <t>Equity Issue / (Buyback)</t>
  </si>
  <si>
    <t>EQUITY</t>
  </si>
  <si>
    <t>Current Tax</t>
  </si>
  <si>
    <t>Payment of Dividends</t>
  </si>
  <si>
    <t>Equity Capital</t>
  </si>
  <si>
    <t>Retained Earnings</t>
  </si>
  <si>
    <t>Total Tax</t>
  </si>
  <si>
    <t>Shareholders' Equity</t>
  </si>
  <si>
    <t>CASH BALANCE</t>
  </si>
  <si>
    <t>Total Liabilities &amp; Equity</t>
  </si>
  <si>
    <t>Beginning</t>
  </si>
  <si>
    <t>Change in Cash</t>
  </si>
  <si>
    <t>Ending</t>
  </si>
  <si>
    <t>Check</t>
  </si>
  <si>
    <t>Learner</t>
  </si>
  <si>
    <t>Correct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</si>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</sst>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(#,##0_)_%;\(#,##0\)_%;_(&quot;–&quot;_)_%;_(@_)_%"/>
    <numFmt numFmtId="166" formatCode="[=1]&quot;Yes&quot;_);[=0]&quot;No&quot;_)"/>
    <numFmt numFmtId="167" formatCode="_-* #,##0_-;\(#,##0\)_-;_-* &quot;-&quot;_-;_-@_-"/>
    <numFmt numFmtId="168" formatCode="0&quot;A&quot;"/>
    <numFmt numFmtId="169" formatCode="0000\F"/>
    <numFmt numFmtId="170" formatCode="0000\A"/>
    <numFmt numFmtId="171" formatCode="_(#,##0_);\(#,##0\);_(&quot;–&quot;_);_(@_)"/>
    <numFmt numFmtId="172" formatCode="#,##0_);\(#,##0\);\-"/>
    <numFmt numFmtId="173" formatCode="[=1]&quot;☑️&quot;_);[=0]&quot;⬜&quot;_)"/>
    <numFmt numFmtId="174" formatCode="_(#,##0.0_);\(#,##0.0\);_(&quot;–&quot;_);_(@_)"/>
    <numFmt numFmtId="175" formatCode="[=1]&quot;☑️&quot;;[=0]&quot;⬜&quot;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Open Sans"/>
      <family val="2"/>
    </font>
    <font>
      <sz val="10"/>
      <name val="Arial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2"/>
      <color theme="10"/>
      <name val="Open Sans"/>
      <family val="2"/>
    </font>
    <font>
      <u/>
      <sz val="10"/>
      <color theme="10"/>
      <name val="Arial"/>
      <family val="2"/>
    </font>
    <font>
      <sz val="12"/>
      <color rgb="FF000000"/>
      <name val="Open Sans"/>
      <family val="2"/>
    </font>
    <font>
      <sz val="10"/>
      <color rgb="FF002060"/>
      <name val="Open Sans"/>
      <family val="2"/>
    </font>
    <font>
      <b/>
      <sz val="12"/>
      <color theme="0"/>
      <name val="Open Sans"/>
      <family val="2"/>
    </font>
    <font>
      <sz val="11"/>
      <color theme="0"/>
      <name val="Open Sans"/>
      <family val="2"/>
    </font>
    <font>
      <sz val="10"/>
      <color theme="0"/>
      <name val="Open Sans"/>
      <family val="2"/>
    </font>
    <font>
      <sz val="11"/>
      <name val="Open Sans"/>
      <family val="2"/>
    </font>
    <font>
      <sz val="10"/>
      <color rgb="FFFF0000"/>
      <name val="Open Sans"/>
      <family val="2"/>
    </font>
    <font>
      <b/>
      <sz val="16"/>
      <color theme="0"/>
      <name val="Open Sans"/>
      <family val="2"/>
    </font>
    <font>
      <sz val="10"/>
      <name val="Bookman"/>
      <family val="1"/>
    </font>
    <font>
      <i/>
      <sz val="11"/>
      <color theme="1"/>
      <name val="Open Sans"/>
      <family val="2"/>
    </font>
    <font>
      <b/>
      <sz val="14"/>
      <color rgb="FF3271D2"/>
      <name val="Open Sans"/>
      <family val="2"/>
    </font>
    <font>
      <b/>
      <sz val="10"/>
      <color theme="0"/>
      <name val="Open Sans"/>
      <family val="2"/>
    </font>
    <font>
      <sz val="14"/>
      <color theme="1"/>
      <name val="Open Sans"/>
      <family val="2"/>
    </font>
    <font>
      <b/>
      <sz val="14"/>
      <color rgb="FF0000FF"/>
      <name val="Open Sans"/>
      <family val="2"/>
    </font>
    <font>
      <b/>
      <i/>
      <sz val="10"/>
      <color theme="7" tint="-0.249977111117893"/>
      <name val="Open Sans"/>
      <family val="2"/>
    </font>
    <font>
      <i/>
      <sz val="9"/>
      <name val="Open Sans"/>
      <family val="2"/>
    </font>
    <font>
      <b/>
      <sz val="10"/>
      <color rgb="FF000000"/>
      <name val="Open Sans"/>
      <family val="2"/>
    </font>
    <font>
      <b/>
      <sz val="10"/>
      <name val="Open Sans"/>
      <family val="2"/>
    </font>
    <font>
      <sz val="14"/>
      <color rgb="FF000000"/>
      <name val="Open Sans"/>
      <family val="2"/>
    </font>
    <font>
      <sz val="11"/>
      <color rgb="FF000000"/>
      <name val="Open Sans"/>
      <family val="2"/>
    </font>
    <font>
      <sz val="10"/>
      <color rgb="FF000000"/>
      <name val="Open Sans"/>
      <family val="2"/>
    </font>
    <font>
      <sz val="11"/>
      <color theme="1"/>
      <name val="Arial Narrow"/>
      <family val="2"/>
    </font>
    <font>
      <sz val="13"/>
      <color theme="0"/>
      <name val="Open Sans"/>
      <family val="2"/>
    </font>
    <font>
      <sz val="10"/>
      <color rgb="FF3271D2"/>
      <name val="Open Sans"/>
      <family val="2"/>
    </font>
    <font>
      <i/>
      <sz val="10"/>
      <color rgb="FF000000"/>
      <name val="Open Sans"/>
      <family val="2"/>
    </font>
    <font>
      <sz val="10"/>
      <name val="Open Sans"/>
      <family val="2"/>
    </font>
    <font>
      <b/>
      <sz val="13"/>
      <color theme="0"/>
      <name val="Open Sans"/>
      <family val="2"/>
    </font>
    <font>
      <sz val="13"/>
      <color rgb="FF000000"/>
      <name val="Open Sans"/>
      <family val="2"/>
    </font>
    <font>
      <b/>
      <sz val="11"/>
      <color rgb="FF000000"/>
      <name val="Open Sans"/>
      <family val="2"/>
    </font>
    <font>
      <b/>
      <sz val="14"/>
      <color rgb="FF000000"/>
      <name val="Open Sans"/>
      <family val="2"/>
    </font>
    <font>
      <b/>
      <i/>
      <sz val="11"/>
      <color theme="1"/>
      <name val="Calibri"/>
      <family val="2"/>
      <scheme val="minor"/>
    </font>
    <font>
      <sz val="8"/>
      <color rgb="FF947131"/>
      <name val="Open Sans"/>
      <family val="2"/>
    </font>
    <font>
      <sz val="11"/>
      <color rgb="FF947131"/>
      <name val="Open Sans"/>
      <family val="2"/>
    </font>
    <font>
      <sz val="11"/>
      <color rgb="FF947131"/>
      <name val="Calibri"/>
      <family val="2"/>
      <scheme val="minor"/>
    </font>
    <font>
      <b/>
      <sz val="10"/>
      <color rgb="FF947131"/>
      <name val="Open Sans"/>
      <family val="2"/>
    </font>
    <font>
      <sz val="10"/>
      <color rgb="FF947131"/>
      <name val="Open Sans"/>
      <family val="2"/>
    </font>
    <font>
      <b/>
      <sz val="13"/>
      <color rgb="FF947131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00C3F"/>
        <bgColor rgb="FF000000"/>
      </patternFill>
    </fill>
    <fill>
      <patternFill patternType="solid">
        <fgColor rgb="FFE7F2FF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 style="medium">
        <color rgb="FF000C3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9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</cellStyleXfs>
  <cellXfs count="160">
    <xf numFmtId="0" fontId="0" fillId="0" borderId="0" xfId="0"/>
    <xf numFmtId="0" fontId="3" fillId="0" borderId="0" xfId="3" applyFont="1"/>
    <xf numFmtId="0" fontId="4" fillId="0" borderId="0" xfId="4"/>
    <xf numFmtId="0" fontId="3" fillId="2" borderId="1" xfId="3" applyFont="1" applyFill="1" applyBorder="1"/>
    <xf numFmtId="0" fontId="3" fillId="2" borderId="2" xfId="3" applyFont="1" applyFill="1" applyBorder="1"/>
    <xf numFmtId="0" fontId="3" fillId="2" borderId="0" xfId="3" applyFont="1" applyFill="1"/>
    <xf numFmtId="0" fontId="3" fillId="2" borderId="4" xfId="3" applyFont="1" applyFill="1" applyBorder="1"/>
    <xf numFmtId="0" fontId="3" fillId="0" borderId="3" xfId="3" applyFont="1" applyBorder="1"/>
    <xf numFmtId="0" fontId="3" fillId="0" borderId="4" xfId="3" applyFont="1" applyBorder="1"/>
    <xf numFmtId="0" fontId="5" fillId="0" borderId="0" xfId="3" applyFont="1" applyProtection="1">
      <protection locked="0"/>
    </xf>
    <xf numFmtId="0" fontId="6" fillId="0" borderId="0" xfId="3" applyFont="1" applyAlignment="1">
      <alignment horizontal="right"/>
    </xf>
    <xf numFmtId="0" fontId="3" fillId="0" borderId="0" xfId="3" applyFont="1" applyProtection="1">
      <protection locked="0"/>
    </xf>
    <xf numFmtId="0" fontId="7" fillId="0" borderId="0" xfId="3" applyFont="1"/>
    <xf numFmtId="0" fontId="6" fillId="0" borderId="5" xfId="3" applyFont="1" applyBorder="1" applyProtection="1">
      <protection locked="0"/>
    </xf>
    <xf numFmtId="0" fontId="8" fillId="0" borderId="0" xfId="3" applyFont="1"/>
    <xf numFmtId="0" fontId="8" fillId="0" borderId="6" xfId="3" applyFont="1" applyBorder="1"/>
    <xf numFmtId="0" fontId="6" fillId="0" borderId="6" xfId="3" applyFont="1" applyBorder="1" applyAlignment="1" applyProtection="1">
      <alignment horizontal="right"/>
      <protection locked="0"/>
    </xf>
    <xf numFmtId="0" fontId="9" fillId="0" borderId="0" xfId="2" applyNumberFormat="1" applyFont="1" applyFill="1" applyBorder="1" applyAlignment="1" applyProtection="1">
      <alignment horizontal="left" indent="1"/>
      <protection locked="0"/>
    </xf>
    <xf numFmtId="165" fontId="11" fillId="0" borderId="0" xfId="5" applyNumberFormat="1" applyFont="1" applyFill="1" applyBorder="1" applyAlignment="1" applyProtection="1">
      <alignment horizontal="left"/>
      <protection locked="0"/>
    </xf>
    <xf numFmtId="166" fontId="11" fillId="0" borderId="0" xfId="5" applyNumberFormat="1" applyFont="1" applyFill="1" applyBorder="1" applyAlignment="1" applyProtection="1">
      <alignment horizontal="right"/>
      <protection locked="0"/>
    </xf>
    <xf numFmtId="0" fontId="12" fillId="0" borderId="0" xfId="6" applyFont="1" applyFill="1" applyBorder="1" applyProtection="1">
      <protection locked="0"/>
    </xf>
    <xf numFmtId="0" fontId="3" fillId="0" borderId="7" xfId="3" applyFont="1" applyBorder="1"/>
    <xf numFmtId="0" fontId="3" fillId="0" borderId="8" xfId="3" applyFont="1" applyBorder="1"/>
    <xf numFmtId="0" fontId="3" fillId="0" borderId="9" xfId="3" applyFont="1" applyBorder="1"/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7" fontId="3" fillId="0" borderId="0" xfId="7" applyNumberFormat="1" applyFont="1" applyAlignment="1" applyProtection="1">
      <alignment vertical="center"/>
      <protection locked="0"/>
    </xf>
    <xf numFmtId="167" fontId="20" fillId="0" borderId="0" xfId="7" applyNumberFormat="1" applyFont="1" applyAlignment="1" applyProtection="1">
      <alignment vertical="center"/>
      <protection locked="0"/>
    </xf>
    <xf numFmtId="167" fontId="20" fillId="0" borderId="0" xfId="7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1" fillId="3" borderId="0" xfId="0" applyFont="1" applyFill="1" applyAlignment="1">
      <alignment vertical="center"/>
    </xf>
    <xf numFmtId="37" fontId="22" fillId="3" borderId="0" xfId="0" applyNumberFormat="1" applyFont="1" applyFill="1" applyAlignment="1">
      <alignment vertical="center"/>
    </xf>
    <xf numFmtId="168" fontId="22" fillId="3" borderId="0" xfId="0" applyNumberFormat="1" applyFont="1" applyFill="1" applyAlignment="1">
      <alignment horizontal="right" vertical="center"/>
    </xf>
    <xf numFmtId="37" fontId="15" fillId="3" borderId="0" xfId="4" applyNumberFormat="1" applyFont="1" applyFill="1" applyAlignment="1">
      <alignment vertical="center"/>
    </xf>
    <xf numFmtId="168" fontId="22" fillId="3" borderId="0" xfId="4" applyNumberFormat="1" applyFont="1" applyFill="1" applyAlignment="1">
      <alignment horizontal="right" vertical="center"/>
    </xf>
    <xf numFmtId="37" fontId="23" fillId="0" borderId="0" xfId="0" applyNumberFormat="1" applyFont="1" applyAlignment="1">
      <alignment vertical="center"/>
    </xf>
    <xf numFmtId="37" fontId="24" fillId="0" borderId="0" xfId="0" applyNumberFormat="1" applyFont="1" applyAlignment="1">
      <alignment vertical="center"/>
    </xf>
    <xf numFmtId="37" fontId="22" fillId="0" borderId="0" xfId="0" applyNumberFormat="1" applyFont="1" applyAlignment="1">
      <alignment vertical="center"/>
    </xf>
    <xf numFmtId="168" fontId="22" fillId="0" borderId="0" xfId="0" applyNumberFormat="1" applyFont="1" applyAlignment="1">
      <alignment horizontal="right" vertical="center"/>
    </xf>
    <xf numFmtId="37" fontId="24" fillId="0" borderId="0" xfId="4" applyNumberFormat="1" applyFont="1" applyAlignment="1">
      <alignment vertical="center"/>
    </xf>
    <xf numFmtId="37" fontId="15" fillId="0" borderId="0" xfId="4" applyNumberFormat="1" applyFont="1" applyAlignment="1">
      <alignment vertical="center"/>
    </xf>
    <xf numFmtId="168" fontId="22" fillId="0" borderId="0" xfId="4" applyNumberFormat="1" applyFont="1" applyAlignment="1">
      <alignment horizontal="right" vertical="center"/>
    </xf>
    <xf numFmtId="168" fontId="25" fillId="0" borderId="0" xfId="4" applyNumberFormat="1" applyFont="1" applyAlignment="1">
      <alignment horizontal="right" vertical="center"/>
    </xf>
    <xf numFmtId="165" fontId="26" fillId="0" borderId="0" xfId="0" applyNumberFormat="1" applyFont="1" applyAlignment="1">
      <alignment vertical="center"/>
    </xf>
    <xf numFmtId="169" fontId="27" fillId="0" borderId="10" xfId="0" applyNumberFormat="1" applyFont="1" applyBorder="1" applyAlignment="1">
      <alignment horizontal="right" vertical="center"/>
    </xf>
    <xf numFmtId="168" fontId="28" fillId="0" borderId="0" xfId="4" applyNumberFormat="1" applyFont="1" applyAlignment="1">
      <alignment horizontal="right" vertical="center"/>
    </xf>
    <xf numFmtId="170" fontId="27" fillId="0" borderId="10" xfId="0" applyNumberFormat="1" applyFont="1" applyBorder="1" applyAlignment="1">
      <alignment horizontal="right" vertical="center"/>
    </xf>
    <xf numFmtId="37" fontId="29" fillId="0" borderId="0" xfId="0" applyNumberFormat="1" applyFont="1" applyAlignment="1">
      <alignment vertical="center"/>
    </xf>
    <xf numFmtId="37" fontId="29" fillId="0" borderId="0" xfId="4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27" fillId="0" borderId="0" xfId="4" applyFont="1" applyAlignment="1">
      <alignment vertical="center"/>
    </xf>
    <xf numFmtId="167" fontId="31" fillId="0" borderId="0" xfId="8" applyNumberFormat="1" applyFont="1" applyAlignment="1" applyProtection="1">
      <alignment horizontal="center" vertical="center"/>
      <protection locked="0"/>
    </xf>
    <xf numFmtId="167" fontId="31" fillId="0" borderId="0" xfId="8" applyNumberFormat="1" applyFont="1" applyBorder="1" applyAlignment="1" applyProtection="1">
      <alignment vertical="center"/>
      <protection locked="0"/>
    </xf>
    <xf numFmtId="167" fontId="31" fillId="0" borderId="0" xfId="8" applyNumberFormat="1" applyFont="1" applyBorder="1" applyAlignment="1" applyProtection="1">
      <alignment horizontal="center" vertical="center"/>
      <protection locked="0"/>
    </xf>
    <xf numFmtId="167" fontId="31" fillId="0" borderId="0" xfId="8" applyNumberFormat="1" applyFont="1" applyAlignment="1" applyProtection="1">
      <alignment vertical="center"/>
      <protection locked="0"/>
    </xf>
    <xf numFmtId="0" fontId="31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71" fontId="34" fillId="0" borderId="0" xfId="0" applyNumberFormat="1" applyFont="1" applyAlignment="1">
      <alignment horizontal="right" vertical="center"/>
    </xf>
    <xf numFmtId="171" fontId="31" fillId="4" borderId="0" xfId="8" applyNumberFormat="1" applyFont="1" applyFill="1" applyBorder="1" applyAlignment="1" applyProtection="1">
      <alignment vertical="center"/>
      <protection locked="0"/>
    </xf>
    <xf numFmtId="0" fontId="31" fillId="0" borderId="0" xfId="9" applyFont="1" applyAlignment="1" applyProtection="1">
      <alignment vertical="center"/>
      <protection locked="0"/>
    </xf>
    <xf numFmtId="171" fontId="31" fillId="0" borderId="0" xfId="8" applyNumberFormat="1" applyFont="1" applyFill="1" applyBorder="1" applyAlignment="1" applyProtection="1">
      <alignment vertical="center"/>
      <protection locked="0"/>
    </xf>
    <xf numFmtId="171" fontId="34" fillId="0" borderId="0" xfId="8" applyNumberFormat="1" applyFont="1" applyFill="1" applyAlignment="1" applyProtection="1">
      <alignment vertical="center"/>
      <protection locked="0"/>
    </xf>
    <xf numFmtId="171" fontId="34" fillId="0" borderId="11" xfId="0" applyNumberFormat="1" applyFont="1" applyBorder="1" applyAlignment="1">
      <alignment horizontal="right" vertical="center"/>
    </xf>
    <xf numFmtId="171" fontId="31" fillId="0" borderId="0" xfId="8" applyNumberFormat="1" applyFont="1" applyBorder="1" applyAlignment="1" applyProtection="1">
      <alignment vertical="center"/>
      <protection locked="0"/>
    </xf>
    <xf numFmtId="0" fontId="27" fillId="0" borderId="0" xfId="0" applyFont="1" applyAlignment="1">
      <alignment horizontal="left" vertical="center" indent="1"/>
    </xf>
    <xf numFmtId="0" fontId="22" fillId="0" borderId="0" xfId="0" quotePrefix="1" applyFont="1" applyAlignment="1">
      <alignment horizontal="left" vertical="center"/>
    </xf>
    <xf numFmtId="171" fontId="27" fillId="4" borderId="0" xfId="0" applyNumberFormat="1" applyFont="1" applyFill="1" applyAlignment="1">
      <alignment horizontal="right" vertical="center"/>
    </xf>
    <xf numFmtId="171" fontId="34" fillId="0" borderId="0" xfId="8" applyNumberFormat="1" applyFont="1" applyFill="1" applyBorder="1" applyAlignment="1" applyProtection="1">
      <alignment vertical="center"/>
      <protection locked="0"/>
    </xf>
    <xf numFmtId="0" fontId="16" fillId="0" borderId="0" xfId="0" applyFont="1" applyAlignment="1">
      <alignment horizontal="left" vertical="center" indent="1"/>
    </xf>
    <xf numFmtId="0" fontId="28" fillId="0" borderId="0" xfId="0" applyFont="1" applyAlignment="1">
      <alignment vertical="center"/>
    </xf>
    <xf numFmtId="171" fontId="27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 indent="2"/>
    </xf>
    <xf numFmtId="167" fontId="31" fillId="0" borderId="0" xfId="8" applyNumberFormat="1" applyFont="1" applyFill="1" applyBorder="1" applyAlignment="1" applyProtection="1">
      <alignment horizontal="center" vertical="center"/>
      <protection locked="0"/>
    </xf>
    <xf numFmtId="171" fontId="35" fillId="0" borderId="0" xfId="8" applyNumberFormat="1" applyFont="1" applyBorder="1" applyAlignment="1" applyProtection="1">
      <alignment horizontal="center" vertical="center"/>
      <protection locked="0"/>
    </xf>
    <xf numFmtId="0" fontId="36" fillId="0" borderId="0" xfId="0" applyFont="1" applyAlignment="1">
      <alignment vertical="center"/>
    </xf>
    <xf numFmtId="9" fontId="27" fillId="0" borderId="0" xfId="1" applyFont="1" applyFill="1" applyAlignment="1">
      <alignment horizontal="right" vertical="center"/>
    </xf>
    <xf numFmtId="0" fontId="15" fillId="0" borderId="0" xfId="0" applyFont="1" applyAlignment="1">
      <alignment horizontal="left" vertical="center"/>
    </xf>
    <xf numFmtId="167" fontId="27" fillId="0" borderId="0" xfId="8" applyNumberFormat="1" applyFont="1" applyFill="1" applyBorder="1" applyAlignment="1" applyProtection="1">
      <alignment horizontal="center" vertical="center"/>
      <protection locked="0"/>
    </xf>
    <xf numFmtId="0" fontId="22" fillId="0" borderId="0" xfId="0" quotePrefix="1" applyFont="1" applyAlignment="1">
      <alignment horizontal="center" vertical="center"/>
    </xf>
    <xf numFmtId="171" fontId="27" fillId="4" borderId="12" xfId="8" applyNumberFormat="1" applyFont="1" applyFill="1" applyBorder="1" applyAlignment="1" applyProtection="1">
      <alignment vertical="center"/>
      <protection locked="0"/>
    </xf>
    <xf numFmtId="0" fontId="37" fillId="0" borderId="0" xfId="0" applyFont="1" applyAlignment="1">
      <alignment horizontal="left" vertical="center"/>
    </xf>
    <xf numFmtId="171" fontId="34" fillId="0" borderId="11" xfId="8" applyNumberFormat="1" applyFont="1" applyFill="1" applyBorder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167" fontId="27" fillId="0" borderId="0" xfId="8" applyNumberFormat="1" applyFont="1" applyFill="1" applyBorder="1" applyAlignment="1" applyProtection="1">
      <alignment vertical="center"/>
      <protection locked="0"/>
    </xf>
    <xf numFmtId="171" fontId="27" fillId="0" borderId="0" xfId="8" applyNumberFormat="1" applyFont="1" applyBorder="1" applyAlignment="1" applyProtection="1">
      <alignment horizontal="center" vertical="center"/>
      <protection locked="0"/>
    </xf>
    <xf numFmtId="171" fontId="31" fillId="0" borderId="0" xfId="8" applyNumberFormat="1" applyFont="1" applyFill="1" applyAlignment="1" applyProtection="1">
      <alignment vertical="center"/>
      <protection locked="0"/>
    </xf>
    <xf numFmtId="0" fontId="38" fillId="0" borderId="0" xfId="0" applyFont="1" applyAlignment="1">
      <alignment horizontal="right" vertical="center"/>
    </xf>
    <xf numFmtId="171" fontId="31" fillId="0" borderId="0" xfId="8" applyNumberFormat="1" applyFont="1" applyAlignment="1" applyProtection="1">
      <alignment horizontal="center" vertical="center"/>
      <protection locked="0"/>
    </xf>
    <xf numFmtId="0" fontId="39" fillId="0" borderId="0" xfId="0" applyFont="1" applyAlignment="1">
      <alignment vertical="center"/>
    </xf>
    <xf numFmtId="171" fontId="31" fillId="0" borderId="0" xfId="8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>
      <alignment horizontal="center" vertical="center"/>
    </xf>
    <xf numFmtId="0" fontId="27" fillId="0" borderId="0" xfId="9" applyFont="1" applyAlignment="1" applyProtection="1">
      <alignment vertical="center"/>
      <protection locked="0"/>
    </xf>
    <xf numFmtId="167" fontId="27" fillId="0" borderId="0" xfId="8" applyNumberFormat="1" applyFont="1" applyBorder="1" applyAlignment="1" applyProtection="1">
      <alignment vertical="center"/>
      <protection locked="0"/>
    </xf>
    <xf numFmtId="171" fontId="31" fillId="4" borderId="11" xfId="8" applyNumberFormat="1" applyFont="1" applyFill="1" applyBorder="1" applyAlignment="1" applyProtection="1">
      <alignment vertical="center"/>
      <protection locked="0"/>
    </xf>
    <xf numFmtId="171" fontId="31" fillId="0" borderId="0" xfId="0" applyNumberFormat="1" applyFont="1" applyAlignment="1">
      <alignment horizontal="right" vertical="center"/>
    </xf>
    <xf numFmtId="167" fontId="27" fillId="0" borderId="0" xfId="8" applyNumberFormat="1" applyFont="1" applyBorder="1" applyAlignment="1" applyProtection="1">
      <alignment horizontal="center" vertical="center"/>
      <protection locked="0"/>
    </xf>
    <xf numFmtId="171" fontId="27" fillId="4" borderId="13" xfId="8" applyNumberFormat="1" applyFont="1" applyFill="1" applyBorder="1" applyAlignment="1" applyProtection="1">
      <alignment vertical="center"/>
      <protection locked="0"/>
    </xf>
    <xf numFmtId="171" fontId="27" fillId="0" borderId="0" xfId="8" applyNumberFormat="1" applyFont="1" applyFill="1" applyBorder="1" applyAlignment="1" applyProtection="1">
      <alignment vertical="center"/>
      <protection locked="0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71" fontId="31" fillId="4" borderId="0" xfId="0" applyNumberFormat="1" applyFont="1" applyFill="1" applyAlignment="1">
      <alignment horizontal="right" vertical="center"/>
    </xf>
    <xf numFmtId="171" fontId="30" fillId="0" borderId="0" xfId="0" applyNumberFormat="1" applyFont="1" applyAlignment="1">
      <alignment vertical="center"/>
    </xf>
    <xf numFmtId="37" fontId="40" fillId="0" borderId="0" xfId="0" applyNumberFormat="1" applyFont="1" applyAlignment="1">
      <alignment vertical="center"/>
    </xf>
    <xf numFmtId="171" fontId="27" fillId="4" borderId="12" xfId="0" applyNumberFormat="1" applyFont="1" applyFill="1" applyBorder="1" applyAlignment="1">
      <alignment horizontal="right" vertical="center"/>
    </xf>
    <xf numFmtId="171" fontId="31" fillId="4" borderId="0" xfId="8" applyNumberFormat="1" applyFont="1" applyFill="1" applyAlignment="1" applyProtection="1">
      <alignment vertical="center"/>
      <protection locked="0"/>
    </xf>
    <xf numFmtId="167" fontId="36" fillId="0" borderId="0" xfId="8" applyNumberFormat="1" applyFont="1" applyBorder="1" applyAlignment="1" applyProtection="1">
      <alignment vertical="center"/>
      <protection locked="0"/>
    </xf>
    <xf numFmtId="167" fontId="36" fillId="0" borderId="0" xfId="8" applyNumberFormat="1" applyFont="1" applyBorder="1" applyAlignment="1" applyProtection="1">
      <alignment horizontal="center" vertical="center"/>
      <protection locked="0"/>
    </xf>
    <xf numFmtId="167" fontId="31" fillId="0" borderId="0" xfId="8" applyNumberFormat="1" applyFont="1" applyFill="1" applyAlignment="1" applyProtection="1">
      <alignment vertical="center"/>
      <protection locked="0"/>
    </xf>
    <xf numFmtId="0" fontId="16" fillId="0" borderId="0" xfId="0" applyFont="1" applyAlignment="1">
      <alignment vertical="center" wrapText="1"/>
    </xf>
    <xf numFmtId="0" fontId="36" fillId="0" borderId="0" xfId="3" applyFont="1" applyAlignment="1">
      <alignment horizontal="left" vertical="center" indent="1"/>
    </xf>
    <xf numFmtId="172" fontId="31" fillId="0" borderId="0" xfId="4" applyNumberFormat="1" applyFont="1" applyAlignment="1">
      <alignment vertical="center"/>
    </xf>
    <xf numFmtId="171" fontId="31" fillId="4" borderId="0" xfId="4" applyNumberFormat="1" applyFont="1" applyFill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6" fillId="5" borderId="14" xfId="0" applyFont="1" applyFill="1" applyBorder="1"/>
    <xf numFmtId="0" fontId="16" fillId="5" borderId="15" xfId="0" applyFont="1" applyFill="1" applyBorder="1"/>
    <xf numFmtId="0" fontId="16" fillId="5" borderId="16" xfId="0" applyFont="1" applyFill="1" applyBorder="1"/>
    <xf numFmtId="0" fontId="16" fillId="5" borderId="0" xfId="0" applyFont="1" applyFill="1"/>
    <xf numFmtId="0" fontId="7" fillId="0" borderId="11" xfId="0" applyFont="1" applyBorder="1" applyAlignment="1">
      <alignment vertical="center"/>
    </xf>
    <xf numFmtId="0" fontId="18" fillId="0" borderId="0" xfId="5" applyFont="1" applyFill="1" applyAlignment="1">
      <alignment horizontal="center" vertical="center"/>
    </xf>
    <xf numFmtId="171" fontId="0" fillId="4" borderId="0" xfId="0" applyNumberFormat="1" applyFill="1" applyAlignment="1">
      <alignment horizontal="right"/>
    </xf>
    <xf numFmtId="171" fontId="0" fillId="4" borderId="6" xfId="0" applyNumberFormat="1" applyFill="1" applyBorder="1" applyAlignment="1">
      <alignment horizontal="right"/>
    </xf>
    <xf numFmtId="171" fontId="0" fillId="4" borderId="21" xfId="0" applyNumberFormat="1" applyFill="1" applyBorder="1" applyAlignment="1">
      <alignment horizontal="right"/>
    </xf>
    <xf numFmtId="171" fontId="0" fillId="4" borderId="22" xfId="0" applyNumberFormat="1" applyFill="1" applyBorder="1" applyAlignment="1">
      <alignment horizontal="right"/>
    </xf>
    <xf numFmtId="171" fontId="41" fillId="4" borderId="27" xfId="0" applyNumberFormat="1" applyFont="1" applyFill="1" applyBorder="1" applyAlignment="1">
      <alignment horizontal="right"/>
    </xf>
    <xf numFmtId="171" fontId="41" fillId="4" borderId="28" xfId="0" applyNumberFormat="1" applyFont="1" applyFill="1" applyBorder="1" applyAlignment="1">
      <alignment horizontal="right"/>
    </xf>
    <xf numFmtId="174" fontId="41" fillId="4" borderId="29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0" fillId="4" borderId="26" xfId="0" applyNumberFormat="1" applyFill="1" applyBorder="1" applyAlignment="1">
      <alignment horizontal="right"/>
    </xf>
    <xf numFmtId="171" fontId="0" fillId="4" borderId="20" xfId="0" applyNumberFormat="1" applyFill="1" applyBorder="1" applyAlignment="1">
      <alignment horizontal="right"/>
    </xf>
    <xf numFmtId="171" fontId="0" fillId="4" borderId="17" xfId="0" applyNumberFormat="1" applyFill="1" applyBorder="1" applyAlignment="1">
      <alignment horizontal="right"/>
    </xf>
    <xf numFmtId="171" fontId="0" fillId="4" borderId="18" xfId="0" applyNumberFormat="1" applyFill="1" applyBorder="1" applyAlignment="1">
      <alignment horizontal="right"/>
    </xf>
    <xf numFmtId="171" fontId="0" fillId="4" borderId="27" xfId="0" applyNumberFormat="1" applyFill="1" applyBorder="1" applyAlignment="1">
      <alignment horizontal="right"/>
    </xf>
    <xf numFmtId="171" fontId="0" fillId="4" borderId="28" xfId="0" applyNumberFormat="1" applyFill="1" applyBorder="1" applyAlignment="1">
      <alignment horizontal="right"/>
    </xf>
    <xf numFmtId="173" fontId="42" fillId="4" borderId="23" xfId="4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173" fontId="42" fillId="4" borderId="29" xfId="4" applyNumberFormat="1" applyFont="1" applyFill="1" applyBorder="1" applyAlignment="1" applyProtection="1">
      <alignment horizontal="center" vertical="center"/>
      <protection hidden="1"/>
    </xf>
    <xf numFmtId="173" fontId="42" fillId="4" borderId="19" xfId="4" applyNumberFormat="1" applyFont="1" applyFill="1" applyBorder="1" applyAlignment="1" applyProtection="1">
      <alignment horizontal="center" vertical="center"/>
      <protection hidden="1"/>
    </xf>
    <xf numFmtId="173" fontId="42" fillId="4" borderId="24" xfId="4" applyNumberFormat="1" applyFont="1" applyFill="1" applyBorder="1" applyAlignment="1" applyProtection="1">
      <alignment horizontal="center" vertical="center"/>
      <protection hidden="1"/>
    </xf>
    <xf numFmtId="173" fontId="42" fillId="4" borderId="25" xfId="4" applyNumberFormat="1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175" fontId="42" fillId="0" borderId="0" xfId="4" applyNumberFormat="1" applyFont="1" applyAlignment="1" applyProtection="1">
      <alignment horizontal="center" vertical="center"/>
      <protection hidden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167" fontId="46" fillId="0" borderId="0" xfId="8" applyNumberFormat="1" applyFont="1" applyBorder="1" applyAlignment="1" applyProtection="1">
      <alignment horizontal="center" vertical="center"/>
      <protection locked="0"/>
    </xf>
    <xf numFmtId="171" fontId="45" fillId="0" borderId="0" xfId="8" applyNumberFormat="1" applyFont="1" applyBorder="1" applyAlignment="1" applyProtection="1">
      <alignment horizontal="center" vertical="center"/>
      <protection locked="0"/>
    </xf>
    <xf numFmtId="171" fontId="46" fillId="0" borderId="0" xfId="8" applyNumberFormat="1" applyFont="1" applyAlignment="1" applyProtection="1">
      <alignment horizontal="center" vertical="center"/>
      <protection locked="0"/>
    </xf>
    <xf numFmtId="167" fontId="46" fillId="0" borderId="0" xfId="8" applyNumberFormat="1" applyFont="1" applyBorder="1" applyAlignment="1" applyProtection="1">
      <alignment vertical="center"/>
      <protection locked="0"/>
    </xf>
    <xf numFmtId="0" fontId="13" fillId="6" borderId="0" xfId="3" applyFont="1" applyFill="1"/>
    <xf numFmtId="0" fontId="8" fillId="6" borderId="0" xfId="3" applyFont="1" applyFill="1"/>
    <xf numFmtId="165" fontId="14" fillId="6" borderId="0" xfId="3" applyNumberFormat="1" applyFont="1" applyFill="1"/>
    <xf numFmtId="0" fontId="15" fillId="6" borderId="0" xfId="3" applyFont="1" applyFill="1"/>
  </cellXfs>
  <cellStyles count="10">
    <cellStyle name="Comma 2" xfId="7" xr:uid="{CD4CF8B9-51DC-44C5-8AB6-EDC26AAD04C3}"/>
    <cellStyle name="Comma 3" xfId="8" xr:uid="{7A8BBC80-BF15-41F1-992A-0CD596EB67EE}"/>
    <cellStyle name="Hyperlink" xfId="2" builtinId="8"/>
    <cellStyle name="Hyperlink 2" xfId="5" xr:uid="{F6D2A3FB-9778-4749-BD90-8A8E2F131C31}"/>
    <cellStyle name="Hyperlink 2 2" xfId="6" xr:uid="{29407181-D570-411B-B323-35E75582E515}"/>
    <cellStyle name="Normal" xfId="0" builtinId="0"/>
    <cellStyle name="Normal 2" xfId="4" xr:uid="{0356B456-3B45-41EA-ABAC-BA0996A07613}"/>
    <cellStyle name="Normal 2 2 2" xfId="3" xr:uid="{3CB22D8C-6377-493C-9296-7334AD88AA61}"/>
    <cellStyle name="Normal 3" xfId="9" xr:uid="{E0713C16-50D8-4CA2-8DA4-7B09A62FFBD7}"/>
    <cellStyle name="Percent" xfId="1" builtinId="5"/>
  </cellStyles>
  <dxfs count="3">
    <dxf>
      <font>
        <b/>
        <i val="0"/>
        <color theme="0"/>
      </font>
      <fill>
        <patternFill>
          <bgColor rgb="FF947131"/>
        </patternFill>
      </fill>
    </dxf>
    <dxf>
      <font>
        <b/>
        <i val="0"/>
        <color theme="0"/>
      </font>
      <fill>
        <patternFill>
          <bgColor rgb="FF947131"/>
        </patternFill>
      </fill>
    </dxf>
    <dxf>
      <font>
        <b/>
        <i val="0"/>
        <color theme="0"/>
      </font>
      <fill>
        <patternFill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orporatefinanceinstitute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130967</xdr:colOff>
      <xdr:row>0</xdr:row>
      <xdr:rowOff>138154</xdr:rowOff>
    </xdr:from>
    <xdr:to>
      <xdr:col>2</xdr:col>
      <xdr:colOff>313304</xdr:colOff>
      <xdr:row>0</xdr:row>
      <xdr:rowOff>492296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C4EAD-258F-4CB7-AAC6-BCA4AE84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167" y="138154"/>
          <a:ext cx="1211037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1D7D-D2C0-4397-9A05-40A38FE0E55C}">
  <sheetPr>
    <pageSetUpPr fitToPage="1"/>
  </sheetPr>
  <dimension ref="A1:H43"/>
  <sheetViews>
    <sheetView showGridLines="0" zoomScaleNormal="100" zoomScaleSheetLayoutView="85" workbookViewId="0">
      <selection activeCell="E24" sqref="E24"/>
    </sheetView>
  </sheetViews>
  <sheetFormatPr baseColWidth="10" defaultColWidth="9.1640625" defaultRowHeight="13"/>
  <cols>
    <col min="1" max="1" width="5" style="2" customWidth="1"/>
    <col min="2" max="2" width="5.1640625" style="2" customWidth="1"/>
    <col min="3" max="3" width="38.6640625" style="2" customWidth="1"/>
    <col min="4" max="5" width="11.33203125" style="2" customWidth="1"/>
    <col min="6" max="6" width="30.6640625" style="2" customWidth="1"/>
    <col min="7" max="7" width="6.6640625" style="2" customWidth="1"/>
    <col min="8" max="8" width="5.1640625" style="2" customWidth="1"/>
    <col min="9" max="16384" width="9.1640625" style="2"/>
  </cols>
  <sheetData>
    <row r="1" spans="1:8" ht="19.5" customHeight="1" thickBot="1">
      <c r="A1" s="1"/>
      <c r="B1" s="1"/>
      <c r="C1" s="1"/>
      <c r="D1" s="1"/>
      <c r="E1" s="1"/>
      <c r="F1" s="1"/>
      <c r="G1" s="1"/>
      <c r="H1" s="1"/>
    </row>
    <row r="2" spans="1:8" ht="19.5" customHeight="1" thickTop="1">
      <c r="A2" s="1"/>
      <c r="B2" s="117"/>
      <c r="C2" s="118"/>
      <c r="D2" s="118"/>
      <c r="E2" s="118"/>
      <c r="F2" s="118"/>
      <c r="G2" s="3"/>
      <c r="H2" s="4"/>
    </row>
    <row r="3" spans="1:8" ht="19.5" customHeight="1">
      <c r="A3" s="1"/>
      <c r="B3" s="119"/>
      <c r="C3" s="120"/>
      <c r="D3" s="120"/>
      <c r="E3" s="120"/>
      <c r="F3" s="120"/>
      <c r="G3" s="5"/>
      <c r="H3" s="6"/>
    </row>
    <row r="4" spans="1:8" ht="19.5" customHeight="1">
      <c r="A4" s="1"/>
      <c r="B4" s="119"/>
      <c r="C4" s="120"/>
      <c r="D4" s="120"/>
      <c r="E4" s="120"/>
      <c r="F4" s="120"/>
      <c r="G4" s="5"/>
      <c r="H4" s="6"/>
    </row>
    <row r="5" spans="1:8" ht="19.5" customHeight="1">
      <c r="A5" s="1"/>
      <c r="B5" s="119"/>
      <c r="C5" s="120"/>
      <c r="D5" s="120"/>
      <c r="E5" s="120"/>
      <c r="F5" s="120"/>
      <c r="G5" s="5"/>
      <c r="H5" s="6"/>
    </row>
    <row r="6" spans="1:8" ht="19.5" customHeight="1">
      <c r="A6" s="1"/>
      <c r="B6" s="119"/>
      <c r="C6" s="120"/>
      <c r="D6" s="120"/>
      <c r="E6" s="120"/>
      <c r="F6" s="120"/>
      <c r="G6" s="5"/>
      <c r="H6" s="6"/>
    </row>
    <row r="7" spans="1:8" ht="19.5" customHeight="1">
      <c r="A7" s="1"/>
      <c r="B7" s="119"/>
      <c r="C7" s="120"/>
      <c r="D7" s="120"/>
      <c r="E7" s="120"/>
      <c r="F7" s="120"/>
      <c r="G7" s="5"/>
      <c r="H7" s="6"/>
    </row>
    <row r="8" spans="1:8" ht="19.5" customHeight="1">
      <c r="A8" s="1"/>
      <c r="B8" s="119"/>
      <c r="C8" s="120"/>
      <c r="D8" s="120"/>
      <c r="E8" s="120"/>
      <c r="F8" s="120"/>
      <c r="G8" s="5"/>
      <c r="H8" s="6"/>
    </row>
    <row r="9" spans="1:8" ht="19.5" customHeight="1">
      <c r="A9" s="1"/>
      <c r="B9" s="119"/>
      <c r="C9" s="120"/>
      <c r="D9" s="120"/>
      <c r="E9" s="120"/>
      <c r="F9" s="120"/>
      <c r="G9" s="5"/>
      <c r="H9" s="6"/>
    </row>
    <row r="10" spans="1:8" ht="19.5" customHeight="1">
      <c r="A10" s="1"/>
      <c r="B10" s="7"/>
      <c r="C10" s="1"/>
      <c r="D10" s="1"/>
      <c r="E10" s="1"/>
      <c r="F10" s="1"/>
      <c r="G10" s="1"/>
      <c r="H10" s="8"/>
    </row>
    <row r="11" spans="1:8" ht="28.5" customHeight="1">
      <c r="A11" s="1"/>
      <c r="B11" s="7"/>
      <c r="C11" s="9" t="s">
        <v>0</v>
      </c>
      <c r="D11" s="1"/>
      <c r="E11" s="1"/>
      <c r="F11" s="1"/>
      <c r="G11" s="10"/>
      <c r="H11" s="8"/>
    </row>
    <row r="12" spans="1:8" ht="28.5" customHeight="1">
      <c r="A12" s="1"/>
      <c r="B12" s="7"/>
      <c r="C12" s="9"/>
      <c r="D12" s="1"/>
      <c r="E12" s="1"/>
      <c r="F12" s="1"/>
      <c r="G12" s="10"/>
      <c r="H12" s="8"/>
    </row>
    <row r="13" spans="1:8" ht="19.5" customHeight="1">
      <c r="A13" s="1"/>
      <c r="B13" s="7"/>
      <c r="C13" s="11"/>
      <c r="D13" s="1"/>
      <c r="E13" s="12"/>
      <c r="F13" s="12"/>
      <c r="G13" s="1"/>
      <c r="H13" s="8"/>
    </row>
    <row r="14" spans="1:8" ht="19.5" customHeight="1">
      <c r="A14" s="1"/>
      <c r="B14" s="7"/>
      <c r="C14" s="13" t="s">
        <v>1</v>
      </c>
      <c r="D14" s="14"/>
      <c r="E14" s="14"/>
      <c r="F14" s="15"/>
      <c r="G14" s="16" t="s">
        <v>2</v>
      </c>
      <c r="H14" s="8"/>
    </row>
    <row r="15" spans="1:8" ht="19.5" customHeight="1">
      <c r="A15" s="1"/>
      <c r="B15" s="7"/>
      <c r="C15" s="1"/>
      <c r="D15" s="14"/>
      <c r="E15" s="14"/>
      <c r="F15" s="14"/>
      <c r="G15" s="1"/>
      <c r="H15" s="8"/>
    </row>
    <row r="16" spans="1:8" ht="19.5" customHeight="1">
      <c r="A16" s="1"/>
      <c r="B16" s="7"/>
      <c r="C16" s="17" t="s">
        <v>3</v>
      </c>
      <c r="D16" s="14"/>
      <c r="E16" s="14"/>
      <c r="F16" s="18" t="s">
        <v>4</v>
      </c>
      <c r="G16" s="19">
        <f>IF(SUM(Model!R32:U32)=0,1,0)</f>
        <v>1</v>
      </c>
      <c r="H16" s="8"/>
    </row>
    <row r="17" spans="1:8" ht="19.5" customHeight="1">
      <c r="A17" s="1"/>
      <c r="B17" s="7"/>
      <c r="D17" s="14"/>
      <c r="E17" s="14"/>
      <c r="F17" s="14"/>
      <c r="G17" s="14"/>
      <c r="H17" s="8"/>
    </row>
    <row r="18" spans="1:8" ht="19.5" customHeight="1">
      <c r="A18" s="1"/>
      <c r="B18" s="7"/>
      <c r="D18" s="14"/>
      <c r="E18" s="14"/>
      <c r="F18" s="14"/>
      <c r="G18" s="14"/>
      <c r="H18" s="8"/>
    </row>
    <row r="19" spans="1:8" ht="19.5" customHeight="1">
      <c r="A19" s="1"/>
      <c r="B19" s="7"/>
      <c r="D19" s="14"/>
      <c r="E19" s="14"/>
      <c r="F19" s="14"/>
      <c r="G19" s="14"/>
      <c r="H19" s="8"/>
    </row>
    <row r="20" spans="1:8" ht="19.5" customHeight="1">
      <c r="A20" s="1"/>
      <c r="B20" s="7"/>
      <c r="D20" s="14"/>
      <c r="E20" s="14"/>
      <c r="F20" s="14"/>
      <c r="G20" s="14"/>
      <c r="H20" s="8"/>
    </row>
    <row r="21" spans="1:8" ht="19.5" customHeight="1">
      <c r="A21" s="1"/>
      <c r="B21" s="7"/>
      <c r="D21" s="14"/>
      <c r="E21" s="14"/>
      <c r="F21" s="14"/>
      <c r="G21" s="14"/>
      <c r="H21" s="8"/>
    </row>
    <row r="22" spans="1:8" ht="19.5" customHeight="1">
      <c r="A22" s="1"/>
      <c r="B22" s="7"/>
      <c r="D22" s="14"/>
      <c r="E22" s="14"/>
      <c r="F22" s="14"/>
      <c r="G22" s="14"/>
      <c r="H22" s="8"/>
    </row>
    <row r="23" spans="1:8" ht="19.5" customHeight="1">
      <c r="A23" s="1"/>
      <c r="B23" s="7"/>
      <c r="D23" s="14"/>
      <c r="E23" s="14"/>
      <c r="F23" s="14"/>
      <c r="G23" s="14"/>
      <c r="H23" s="8"/>
    </row>
    <row r="24" spans="1:8" ht="19.5" customHeight="1">
      <c r="A24" s="1"/>
      <c r="B24" s="7"/>
      <c r="D24" s="14"/>
      <c r="E24" s="14"/>
      <c r="F24" s="14"/>
      <c r="G24" s="14"/>
      <c r="H24" s="8"/>
    </row>
    <row r="25" spans="1:8" ht="19.5" customHeight="1">
      <c r="A25" s="1"/>
      <c r="B25" s="7"/>
      <c r="D25" s="14"/>
      <c r="E25" s="14"/>
      <c r="F25" s="14"/>
      <c r="G25" s="14"/>
      <c r="H25" s="8"/>
    </row>
    <row r="26" spans="1:8" ht="19.5" customHeight="1">
      <c r="A26" s="1"/>
      <c r="B26" s="7"/>
      <c r="D26" s="14"/>
      <c r="E26" s="14"/>
      <c r="F26" s="14"/>
      <c r="G26" s="14"/>
      <c r="H26" s="8"/>
    </row>
    <row r="27" spans="1:8" ht="19.5" customHeight="1">
      <c r="A27" s="1"/>
      <c r="B27" s="7"/>
      <c r="D27" s="14"/>
      <c r="E27" s="14"/>
      <c r="F27" s="14"/>
      <c r="G27" s="14"/>
      <c r="H27" s="8"/>
    </row>
    <row r="28" spans="1:8" ht="19.5" customHeight="1">
      <c r="A28" s="1"/>
      <c r="B28" s="7"/>
      <c r="D28" s="14"/>
      <c r="E28" s="14"/>
      <c r="F28" s="14"/>
      <c r="G28" s="14"/>
      <c r="H28" s="8"/>
    </row>
    <row r="29" spans="1:8" ht="19.5" customHeight="1">
      <c r="A29" s="1"/>
      <c r="B29" s="7"/>
      <c r="C29" s="20"/>
      <c r="D29" s="14"/>
      <c r="E29" s="14"/>
      <c r="F29" s="14"/>
      <c r="G29" s="14"/>
      <c r="H29" s="8"/>
    </row>
    <row r="30" spans="1:8" ht="19.5" customHeight="1">
      <c r="A30" s="1"/>
      <c r="B30" s="7"/>
      <c r="C30" s="156"/>
      <c r="D30" s="157"/>
      <c r="E30" s="157"/>
      <c r="F30" s="157"/>
      <c r="G30" s="157"/>
      <c r="H30" s="8"/>
    </row>
    <row r="31" spans="1:8" ht="19.5" customHeight="1">
      <c r="A31" s="1"/>
      <c r="B31" s="7"/>
      <c r="C31" s="158"/>
      <c r="D31" s="159"/>
      <c r="E31" s="159"/>
      <c r="F31" s="159"/>
      <c r="G31" s="159"/>
      <c r="H31" s="8"/>
    </row>
    <row r="32" spans="1:8" ht="19.5" customHeight="1">
      <c r="A32" s="1"/>
      <c r="B32" s="7"/>
      <c r="C32" s="158"/>
      <c r="D32" s="159"/>
      <c r="E32" s="159"/>
      <c r="F32" s="159"/>
      <c r="G32" s="159"/>
      <c r="H32" s="8"/>
    </row>
    <row r="33" spans="1:8" ht="19.5" customHeight="1">
      <c r="A33" s="1"/>
      <c r="B33" s="7"/>
      <c r="C33" s="158"/>
      <c r="D33" s="159"/>
      <c r="E33" s="159"/>
      <c r="F33" s="159"/>
      <c r="G33" s="159"/>
      <c r="H33" s="8"/>
    </row>
    <row r="34" spans="1:8" ht="19.5" customHeight="1">
      <c r="A34" s="1"/>
      <c r="B34" s="7"/>
      <c r="C34" s="158"/>
      <c r="D34" s="159"/>
      <c r="E34" s="159"/>
      <c r="F34" s="159"/>
      <c r="G34" s="159"/>
      <c r="H34" s="8"/>
    </row>
    <row r="35" spans="1:8" ht="19.5" customHeight="1">
      <c r="A35" s="1"/>
      <c r="B35" s="7"/>
      <c r="C35" s="158"/>
      <c r="D35" s="159"/>
      <c r="E35" s="159"/>
      <c r="F35" s="159"/>
      <c r="G35" s="159"/>
      <c r="H35" s="8"/>
    </row>
    <row r="36" spans="1:8" ht="19.5" customHeight="1">
      <c r="A36" s="1"/>
      <c r="B36" s="7"/>
      <c r="C36" s="158"/>
      <c r="D36" s="159"/>
      <c r="E36" s="159"/>
      <c r="F36" s="159"/>
      <c r="G36" s="159"/>
      <c r="H36" s="8"/>
    </row>
    <row r="37" spans="1:8" ht="19.5" customHeight="1">
      <c r="A37" s="1"/>
      <c r="B37" s="7"/>
      <c r="C37" s="158"/>
      <c r="D37" s="159"/>
      <c r="E37" s="159"/>
      <c r="F37" s="159"/>
      <c r="G37" s="159"/>
      <c r="H37" s="8"/>
    </row>
    <row r="38" spans="1:8" ht="19.5" customHeight="1">
      <c r="A38" s="1"/>
      <c r="B38" s="7"/>
      <c r="C38" s="158"/>
      <c r="D38" s="159"/>
      <c r="E38" s="159"/>
      <c r="F38" s="159"/>
      <c r="G38" s="159"/>
      <c r="H38" s="8"/>
    </row>
    <row r="39" spans="1:8" ht="19.5" customHeight="1">
      <c r="A39" s="1"/>
      <c r="B39" s="7"/>
      <c r="C39" s="158"/>
      <c r="D39" s="159"/>
      <c r="E39" s="159"/>
      <c r="F39" s="159"/>
      <c r="G39" s="159"/>
      <c r="H39" s="8"/>
    </row>
    <row r="40" spans="1:8" ht="19.5" customHeight="1">
      <c r="A40" s="1"/>
      <c r="B40" s="7"/>
      <c r="C40" s="158"/>
      <c r="D40" s="159"/>
      <c r="E40" s="159"/>
      <c r="F40" s="159"/>
      <c r="G40" s="159"/>
      <c r="H40" s="8"/>
    </row>
    <row r="41" spans="1:8" ht="19.5" customHeight="1">
      <c r="A41" s="1"/>
      <c r="B41" s="7"/>
      <c r="C41" s="158"/>
      <c r="D41" s="159"/>
      <c r="E41" s="159"/>
      <c r="F41" s="159"/>
      <c r="G41" s="159"/>
      <c r="H41" s="8"/>
    </row>
    <row r="42" spans="1:8" ht="19.5" customHeight="1" thickBot="1">
      <c r="A42" s="1"/>
      <c r="B42" s="21"/>
      <c r="C42" s="22"/>
      <c r="D42" s="22"/>
      <c r="E42" s="22"/>
      <c r="F42" s="22"/>
      <c r="G42" s="22"/>
      <c r="H42" s="23" t="s">
        <v>5</v>
      </c>
    </row>
    <row r="43" spans="1:8" ht="14" thickTop="1"/>
  </sheetData>
  <conditionalFormatting sqref="G16">
    <cfRule type="expression" dxfId="2" priority="1">
      <formula>G16=0</formula>
    </cfRule>
  </conditionalFormatting>
  <hyperlinks>
    <hyperlink ref="C16" location="Model!A1" tooltip="Model" display="Model" xr:uid="{F73532AE-163F-447B-A051-ABAE9FE5D455}"/>
  </hyperlinks>
  <printOptions horizontalCentered="1" verticalCentered="1"/>
  <pageMargins left="0.11811023622047245" right="0.11811023622047245" top="0.11811023622047245" bottom="0.11811023622047245" header="0.11811023622047245" footer="0.11811023622047245"/>
  <pageSetup scale="9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A478-8467-449E-A49D-0CBBD930141E}">
  <sheetPr>
    <pageSetUpPr autoPageBreaks="0"/>
  </sheetPr>
  <dimension ref="A1:U34"/>
  <sheetViews>
    <sheetView showGridLines="0" tabSelected="1" zoomScaleNormal="100" zoomScaleSheetLayoutView="90" workbookViewId="0">
      <selection activeCell="L22" sqref="L22"/>
    </sheetView>
  </sheetViews>
  <sheetFormatPr baseColWidth="10" defaultColWidth="9.1640625" defaultRowHeight="15" customHeight="1"/>
  <cols>
    <col min="1" max="1" width="4.6640625" style="27" customWidth="1"/>
    <col min="2" max="2" width="14.6640625" style="27" customWidth="1"/>
    <col min="3" max="3" width="10.6640625" style="27" customWidth="1"/>
    <col min="4" max="4" width="6.6640625" style="27" customWidth="1"/>
    <col min="5" max="7" width="11.6640625" style="27" customWidth="1"/>
    <col min="8" max="8" width="6.6640625" style="27" customWidth="1"/>
    <col min="9" max="9" width="30.83203125" style="27" bestFit="1" customWidth="1"/>
    <col min="10" max="10" width="6.6640625" style="31" customWidth="1"/>
    <col min="11" max="13" width="11.6640625" style="31" customWidth="1"/>
    <col min="14" max="14" width="6.6640625" style="27" customWidth="1"/>
    <col min="15" max="15" width="12.6640625" style="27" customWidth="1"/>
    <col min="16" max="16" width="15.6640625" style="27" customWidth="1"/>
    <col min="17" max="17" width="6.6640625" style="27" customWidth="1"/>
    <col min="18" max="21" width="11.6640625" style="27" customWidth="1"/>
    <col min="22" max="16384" width="9.1640625" style="27"/>
  </cols>
  <sheetData>
    <row r="1" spans="1:21" ht="15" customHeight="1">
      <c r="A1" s="28"/>
      <c r="B1" s="28"/>
      <c r="C1" s="29"/>
      <c r="D1" s="29"/>
      <c r="E1" s="30"/>
      <c r="F1" s="30"/>
      <c r="G1" s="30"/>
      <c r="H1" s="26"/>
    </row>
    <row r="2" spans="1:21" s="37" customFormat="1" ht="15" customHeight="1">
      <c r="A2" s="24"/>
      <c r="B2" s="32" t="s">
        <v>6</v>
      </c>
      <c r="C2" s="33"/>
      <c r="D2" s="33"/>
      <c r="E2" s="34"/>
      <c r="F2" s="34"/>
      <c r="G2" s="34"/>
      <c r="H2" s="24"/>
      <c r="I2" s="32" t="s">
        <v>7</v>
      </c>
      <c r="J2" s="35"/>
      <c r="K2" s="36"/>
      <c r="L2" s="36"/>
      <c r="M2" s="36"/>
      <c r="O2" s="32" t="s">
        <v>8</v>
      </c>
      <c r="P2" s="35"/>
      <c r="Q2" s="36"/>
      <c r="R2" s="36"/>
      <c r="S2" s="36"/>
      <c r="T2" s="36"/>
      <c r="U2" s="36"/>
    </row>
    <row r="3" spans="1:21" s="37" customFormat="1" ht="15" customHeight="1">
      <c r="B3" s="38"/>
      <c r="C3" s="39"/>
      <c r="D3" s="39"/>
      <c r="E3" s="40"/>
      <c r="F3" s="40"/>
      <c r="G3" s="40"/>
      <c r="I3" s="41"/>
      <c r="J3" s="42"/>
      <c r="K3" s="43"/>
      <c r="L3" s="43"/>
      <c r="M3" s="43"/>
      <c r="O3" s="41"/>
      <c r="P3" s="42"/>
      <c r="Q3" s="43"/>
      <c r="R3" s="44"/>
      <c r="S3" s="43"/>
      <c r="T3" s="43"/>
      <c r="U3" s="43"/>
    </row>
    <row r="4" spans="1:21" s="37" customFormat="1" ht="15" customHeight="1" thickBot="1">
      <c r="B4" s="45" t="s">
        <v>9</v>
      </c>
      <c r="C4" s="39"/>
      <c r="D4" s="39"/>
      <c r="E4" s="46">
        <v>2023</v>
      </c>
      <c r="F4" s="46">
        <f t="shared" ref="F4:G4" si="0">E4+1</f>
        <v>2024</v>
      </c>
      <c r="G4" s="46">
        <f t="shared" si="0"/>
        <v>2025</v>
      </c>
      <c r="I4" s="45" t="s">
        <v>9</v>
      </c>
      <c r="J4" s="47"/>
      <c r="K4" s="46">
        <f>E$4</f>
        <v>2023</v>
      </c>
      <c r="L4" s="46">
        <f>F$4</f>
        <v>2024</v>
      </c>
      <c r="M4" s="46">
        <f>G$4</f>
        <v>2025</v>
      </c>
      <c r="O4" s="45" t="s">
        <v>9</v>
      </c>
      <c r="P4" s="47"/>
      <c r="Q4" s="47"/>
      <c r="R4" s="48">
        <f>S4-1</f>
        <v>2022</v>
      </c>
      <c r="S4" s="46">
        <f>E$4</f>
        <v>2023</v>
      </c>
      <c r="T4" s="46">
        <f>F$4</f>
        <v>2024</v>
      </c>
      <c r="U4" s="46">
        <f>G$4</f>
        <v>2025</v>
      </c>
    </row>
    <row r="5" spans="1:21" s="37" customFormat="1" ht="15" customHeight="1">
      <c r="B5" s="45"/>
      <c r="C5" s="39"/>
      <c r="D5" s="39"/>
      <c r="E5" s="49"/>
      <c r="F5" s="49"/>
      <c r="G5" s="49"/>
      <c r="H5" s="26"/>
      <c r="I5" s="45"/>
      <c r="J5" s="47"/>
      <c r="K5" s="50"/>
      <c r="L5" s="50"/>
      <c r="M5" s="50"/>
      <c r="O5" s="45"/>
      <c r="P5" s="47"/>
      <c r="Q5" s="47"/>
      <c r="R5" s="50"/>
      <c r="S5" s="50"/>
      <c r="T5" s="50"/>
      <c r="U5" s="50"/>
    </row>
    <row r="6" spans="1:21" ht="15" customHeight="1">
      <c r="A6" s="37"/>
      <c r="E6" s="51"/>
      <c r="F6" s="51"/>
      <c r="G6" s="51"/>
      <c r="H6" s="52"/>
      <c r="I6" s="53" t="s">
        <v>10</v>
      </c>
      <c r="J6" s="54"/>
      <c r="K6" s="55"/>
      <c r="L6" s="55"/>
      <c r="M6" s="55"/>
      <c r="N6" s="49"/>
      <c r="O6" s="53" t="s">
        <v>11</v>
      </c>
      <c r="P6" s="56"/>
      <c r="Q6" s="55"/>
      <c r="R6" s="51"/>
      <c r="S6" s="55"/>
      <c r="T6" s="57"/>
      <c r="U6" s="57"/>
    </row>
    <row r="7" spans="1:21" ht="15" customHeight="1">
      <c r="A7" s="37"/>
      <c r="B7" s="58" t="s">
        <v>12</v>
      </c>
      <c r="C7" s="59"/>
      <c r="D7" s="59"/>
      <c r="E7" s="60">
        <v>58000</v>
      </c>
      <c r="F7" s="60">
        <v>62000</v>
      </c>
      <c r="G7" s="60">
        <v>65000</v>
      </c>
      <c r="H7" s="51"/>
      <c r="I7" s="58" t="s">
        <v>13</v>
      </c>
      <c r="J7" s="147">
        <f>'Model-R'!L40</f>
        <v>1</v>
      </c>
      <c r="K7" s="61">
        <f>E30</f>
        <v>7000</v>
      </c>
      <c r="L7" s="61">
        <f t="shared" ref="L7:M7" si="1">F30</f>
        <v>9000</v>
      </c>
      <c r="M7" s="61">
        <f t="shared" si="1"/>
        <v>10000</v>
      </c>
      <c r="N7" s="51"/>
      <c r="O7" s="58" t="s">
        <v>14</v>
      </c>
      <c r="P7" s="62"/>
      <c r="Q7" s="147">
        <f>'Model-R'!L74</f>
        <v>1</v>
      </c>
      <c r="R7" s="64">
        <v>5000</v>
      </c>
      <c r="S7" s="61">
        <f>K32</f>
        <v>11000</v>
      </c>
      <c r="T7" s="61">
        <f t="shared" ref="T7:U7" si="2">L32</f>
        <v>17000</v>
      </c>
      <c r="U7" s="61">
        <f t="shared" si="2"/>
        <v>25000</v>
      </c>
    </row>
    <row r="8" spans="1:21" s="24" customFormat="1" ht="15" customHeight="1">
      <c r="B8" s="58" t="s">
        <v>15</v>
      </c>
      <c r="C8" s="59"/>
      <c r="D8" s="59"/>
      <c r="E8" s="65">
        <v>-30000</v>
      </c>
      <c r="F8" s="65">
        <v>-31000</v>
      </c>
      <c r="G8" s="65">
        <v>-32000</v>
      </c>
      <c r="H8" s="52"/>
      <c r="I8" s="58" t="s">
        <v>16</v>
      </c>
      <c r="J8" s="147">
        <f>'Model-R'!L41</f>
        <v>1</v>
      </c>
      <c r="K8" s="61">
        <f>-E17</f>
        <v>4000</v>
      </c>
      <c r="L8" s="61">
        <f t="shared" ref="L8:M8" si="3">-F17</f>
        <v>4000</v>
      </c>
      <c r="M8" s="61">
        <f t="shared" si="3"/>
        <v>4000</v>
      </c>
      <c r="N8" s="51"/>
      <c r="O8" s="58" t="s">
        <v>17</v>
      </c>
      <c r="P8" s="62"/>
      <c r="Q8" s="147">
        <f>'Model-R'!L75</f>
        <v>1</v>
      </c>
      <c r="R8" s="64">
        <v>6000</v>
      </c>
      <c r="S8" s="61">
        <f>R8-K10</f>
        <v>5000</v>
      </c>
      <c r="T8" s="61">
        <f t="shared" ref="T8:U8" si="4">S8-L10</f>
        <v>4000</v>
      </c>
      <c r="U8" s="61">
        <f t="shared" si="4"/>
        <v>3000</v>
      </c>
    </row>
    <row r="9" spans="1:21" s="24" customFormat="1" ht="15" customHeight="1">
      <c r="B9" s="67" t="s">
        <v>18</v>
      </c>
      <c r="C9" s="68"/>
      <c r="D9" s="147">
        <f>'Model-R'!L10</f>
        <v>1</v>
      </c>
      <c r="E9" s="69">
        <f>SUM(E7:E8)</f>
        <v>28000</v>
      </c>
      <c r="F9" s="69">
        <f t="shared" ref="F9:G9" si="5">SUM(F7:F8)</f>
        <v>31000</v>
      </c>
      <c r="G9" s="69">
        <f t="shared" si="5"/>
        <v>33000</v>
      </c>
      <c r="H9" s="52"/>
      <c r="I9" s="58" t="s">
        <v>19</v>
      </c>
      <c r="J9" s="147">
        <f>'Model-R'!L42</f>
        <v>1</v>
      </c>
      <c r="K9" s="61">
        <f>-E26</f>
        <v>2000</v>
      </c>
      <c r="L9" s="61">
        <f t="shared" ref="L9:M9" si="6">-F26</f>
        <v>2000</v>
      </c>
      <c r="M9" s="61">
        <f t="shared" si="6"/>
        <v>2000</v>
      </c>
      <c r="N9" s="51"/>
      <c r="O9" s="58" t="s">
        <v>20</v>
      </c>
      <c r="P9" s="62"/>
      <c r="Q9" s="147">
        <f>'Model-R'!L76</f>
        <v>1</v>
      </c>
      <c r="R9" s="70">
        <v>2000</v>
      </c>
      <c r="S9" s="61">
        <f>R9-K11</f>
        <v>3000</v>
      </c>
      <c r="T9" s="61">
        <f t="shared" ref="T9:U9" si="7">S9-L11</f>
        <v>4000</v>
      </c>
      <c r="U9" s="61">
        <f t="shared" si="7"/>
        <v>5000</v>
      </c>
    </row>
    <row r="10" spans="1:21" s="24" customFormat="1" ht="15" customHeight="1">
      <c r="B10" s="71"/>
      <c r="C10" s="72"/>
      <c r="D10" s="148"/>
      <c r="E10" s="73"/>
      <c r="F10" s="73"/>
      <c r="G10" s="73"/>
      <c r="H10" s="52"/>
      <c r="I10" s="74" t="s">
        <v>21</v>
      </c>
      <c r="J10" s="151"/>
      <c r="K10" s="70">
        <v>1000</v>
      </c>
      <c r="L10" s="70">
        <v>1000</v>
      </c>
      <c r="M10" s="70">
        <v>1000</v>
      </c>
      <c r="N10" s="51"/>
      <c r="O10" s="58" t="s">
        <v>22</v>
      </c>
      <c r="P10" s="75"/>
      <c r="Q10" s="147">
        <f>'Model-R'!L77</f>
        <v>1</v>
      </c>
      <c r="R10" s="70">
        <v>65000</v>
      </c>
      <c r="S10" s="61">
        <f>R10-K17-K8</f>
        <v>65000</v>
      </c>
      <c r="T10" s="61">
        <f t="shared" ref="T10:U10" si="8">S10-L17-L8</f>
        <v>65000</v>
      </c>
      <c r="U10" s="61">
        <f t="shared" si="8"/>
        <v>65000</v>
      </c>
    </row>
    <row r="11" spans="1:21" s="24" customFormat="1" ht="15" customHeight="1" thickBot="1">
      <c r="A11" s="37"/>
      <c r="B11" s="58"/>
      <c r="C11" s="77"/>
      <c r="D11" s="149"/>
      <c r="E11" s="78"/>
      <c r="F11" s="78"/>
      <c r="G11" s="78"/>
      <c r="H11" s="79"/>
      <c r="I11" s="74" t="s">
        <v>23</v>
      </c>
      <c r="J11" s="151"/>
      <c r="K11" s="70">
        <v>-1000</v>
      </c>
      <c r="L11" s="70">
        <v>-1000</v>
      </c>
      <c r="M11" s="70">
        <v>-1000</v>
      </c>
      <c r="N11" s="51"/>
      <c r="O11" s="67" t="s">
        <v>24</v>
      </c>
      <c r="P11" s="80"/>
      <c r="Q11" s="147">
        <f>'Model-R'!L78</f>
        <v>1</v>
      </c>
      <c r="R11" s="82">
        <f>SUM(R7:R10)</f>
        <v>78000</v>
      </c>
      <c r="S11" s="82">
        <f t="shared" ref="S11:U11" si="9">SUM(S7:S10)</f>
        <v>84000</v>
      </c>
      <c r="T11" s="82">
        <f t="shared" si="9"/>
        <v>90000</v>
      </c>
      <c r="U11" s="82">
        <f t="shared" si="9"/>
        <v>98000</v>
      </c>
    </row>
    <row r="12" spans="1:21" s="24" customFormat="1" ht="15" customHeight="1">
      <c r="A12" s="37"/>
      <c r="B12" s="58" t="s">
        <v>25</v>
      </c>
      <c r="C12" s="83"/>
      <c r="D12" s="150"/>
      <c r="E12" s="60">
        <v>-6000</v>
      </c>
      <c r="F12" s="60">
        <v>-7000</v>
      </c>
      <c r="G12" s="60">
        <v>-8000</v>
      </c>
      <c r="H12" s="51"/>
      <c r="I12" s="74" t="s">
        <v>26</v>
      </c>
      <c r="J12" s="151"/>
      <c r="K12" s="84">
        <v>1000</v>
      </c>
      <c r="L12" s="84">
        <v>1000</v>
      </c>
      <c r="M12" s="84">
        <v>1000</v>
      </c>
      <c r="N12" s="85"/>
      <c r="Q12" s="140"/>
    </row>
    <row r="13" spans="1:21" s="24" customFormat="1" ht="15" customHeight="1">
      <c r="B13" s="58" t="s">
        <v>27</v>
      </c>
      <c r="C13" s="83"/>
      <c r="D13" s="150"/>
      <c r="E13" s="65">
        <v>-2000</v>
      </c>
      <c r="F13" s="65">
        <v>-2000</v>
      </c>
      <c r="G13" s="65">
        <v>-2000</v>
      </c>
      <c r="H13" s="49"/>
      <c r="I13" s="58" t="s">
        <v>28</v>
      </c>
      <c r="J13" s="147">
        <f>'Model-R'!L46</f>
        <v>1</v>
      </c>
      <c r="K13" s="61">
        <f>SUM(K7:K12)</f>
        <v>14000</v>
      </c>
      <c r="L13" s="61">
        <f t="shared" ref="L13:M13" si="10">SUM(L7:L12)</f>
        <v>16000</v>
      </c>
      <c r="M13" s="61">
        <f t="shared" si="10"/>
        <v>17000</v>
      </c>
      <c r="N13" s="51"/>
      <c r="O13" s="86"/>
      <c r="P13" s="80"/>
      <c r="Q13" s="153"/>
      <c r="R13" s="88"/>
      <c r="S13" s="88"/>
      <c r="T13" s="88"/>
      <c r="U13" s="88"/>
    </row>
    <row r="14" spans="1:21" s="24" customFormat="1" ht="15" customHeight="1">
      <c r="B14" s="67" t="s">
        <v>29</v>
      </c>
      <c r="C14" s="68"/>
      <c r="D14" s="147">
        <f>'Model-R'!L15</f>
        <v>1</v>
      </c>
      <c r="E14" s="69">
        <f>SUM(E9:E13)</f>
        <v>20000</v>
      </c>
      <c r="F14" s="69">
        <f t="shared" ref="F14:G14" si="11">SUM(F9:F13)</f>
        <v>22000</v>
      </c>
      <c r="G14" s="69">
        <f t="shared" si="11"/>
        <v>23000</v>
      </c>
      <c r="H14" s="51"/>
      <c r="I14" s="51"/>
      <c r="J14" s="152"/>
      <c r="K14" s="63"/>
      <c r="L14" s="88"/>
      <c r="M14" s="51"/>
      <c r="N14" s="51"/>
      <c r="Q14" s="140"/>
    </row>
    <row r="15" spans="1:21" s="24" customFormat="1" ht="15" customHeight="1">
      <c r="B15" s="71"/>
      <c r="C15" s="72"/>
      <c r="D15" s="148"/>
      <c r="E15" s="73"/>
      <c r="F15" s="73"/>
      <c r="G15" s="73"/>
      <c r="H15" s="51"/>
      <c r="I15" s="51"/>
      <c r="J15" s="152"/>
      <c r="K15" s="63"/>
      <c r="L15" s="88"/>
      <c r="M15" s="89"/>
      <c r="N15" s="51"/>
      <c r="O15" s="53" t="s">
        <v>30</v>
      </c>
      <c r="P15" s="62"/>
      <c r="Q15" s="154"/>
      <c r="R15" s="88"/>
      <c r="S15" s="88"/>
      <c r="T15" s="88"/>
      <c r="U15" s="88"/>
    </row>
    <row r="16" spans="1:21" s="24" customFormat="1" ht="15" customHeight="1">
      <c r="A16" s="37"/>
      <c r="B16" s="58"/>
      <c r="C16" s="77"/>
      <c r="D16" s="149"/>
      <c r="E16" s="73"/>
      <c r="F16" s="73"/>
      <c r="G16" s="73"/>
      <c r="H16" s="91"/>
      <c r="I16" s="53" t="s">
        <v>31</v>
      </c>
      <c r="J16" s="152"/>
      <c r="K16" s="63"/>
      <c r="L16" s="88"/>
      <c r="M16" s="88"/>
      <c r="N16" s="51"/>
      <c r="O16" s="58" t="s">
        <v>32</v>
      </c>
      <c r="P16" s="62"/>
      <c r="Q16" s="147">
        <f>'Model-R'!L83</f>
        <v>1</v>
      </c>
      <c r="R16" s="70">
        <v>3000</v>
      </c>
      <c r="S16" s="61">
        <f>R16+K12</f>
        <v>4000</v>
      </c>
      <c r="T16" s="61">
        <f t="shared" ref="T16:U16" si="12">S16+L12</f>
        <v>5000</v>
      </c>
      <c r="U16" s="61">
        <f t="shared" si="12"/>
        <v>6000</v>
      </c>
    </row>
    <row r="17" spans="1:21" s="24" customFormat="1" ht="15" customHeight="1">
      <c r="B17" s="58" t="s">
        <v>16</v>
      </c>
      <c r="C17" s="83"/>
      <c r="D17" s="150"/>
      <c r="E17" s="65">
        <v>-4000</v>
      </c>
      <c r="F17" s="65">
        <v>-4000</v>
      </c>
      <c r="G17" s="65">
        <v>-4000</v>
      </c>
      <c r="H17" s="51"/>
      <c r="I17" s="58" t="s">
        <v>33</v>
      </c>
      <c r="J17" s="151"/>
      <c r="K17" s="84">
        <v>-4000</v>
      </c>
      <c r="L17" s="84">
        <v>-4000</v>
      </c>
      <c r="M17" s="84">
        <v>-4000</v>
      </c>
      <c r="N17" s="49"/>
      <c r="O17" s="58" t="s">
        <v>34</v>
      </c>
      <c r="P17" s="62"/>
      <c r="Q17" s="147">
        <f>'Model-R'!L84</f>
        <v>1</v>
      </c>
      <c r="R17" s="70">
        <v>5000</v>
      </c>
      <c r="S17" s="61">
        <f>R17+K22</f>
        <v>4000</v>
      </c>
      <c r="T17" s="61">
        <f t="shared" ref="T17:U18" si="13">S17+L22</f>
        <v>2000</v>
      </c>
      <c r="U17" s="61">
        <f t="shared" si="13"/>
        <v>1000</v>
      </c>
    </row>
    <row r="18" spans="1:21" s="24" customFormat="1" ht="15" customHeight="1">
      <c r="B18" s="67" t="s">
        <v>35</v>
      </c>
      <c r="C18" s="68"/>
      <c r="D18" s="147">
        <f>'Model-R'!L19</f>
        <v>1</v>
      </c>
      <c r="E18" s="69">
        <f>SUM(E14:E17)</f>
        <v>16000</v>
      </c>
      <c r="F18" s="69">
        <f t="shared" ref="F18:G18" si="14">SUM(F14:F17)</f>
        <v>18000</v>
      </c>
      <c r="G18" s="69">
        <f t="shared" si="14"/>
        <v>19000</v>
      </c>
      <c r="H18" s="52"/>
      <c r="I18" s="58" t="s">
        <v>28</v>
      </c>
      <c r="J18" s="147">
        <f>'Model-R'!L51</f>
        <v>1</v>
      </c>
      <c r="K18" s="61">
        <f>SUM(K17)</f>
        <v>-4000</v>
      </c>
      <c r="L18" s="61">
        <f t="shared" ref="L18:M18" si="15">SUM(L17)</f>
        <v>-4000</v>
      </c>
      <c r="M18" s="61">
        <f t="shared" si="15"/>
        <v>-4000</v>
      </c>
      <c r="N18" s="51"/>
      <c r="O18" s="58" t="s">
        <v>36</v>
      </c>
      <c r="P18" s="94"/>
      <c r="Q18" s="147">
        <f>'Model-R'!L85</f>
        <v>1</v>
      </c>
      <c r="R18" s="70">
        <v>20000</v>
      </c>
      <c r="S18" s="61">
        <f t="shared" ref="S18" si="16">R18+K23</f>
        <v>17000</v>
      </c>
      <c r="T18" s="61">
        <f t="shared" si="13"/>
        <v>14000</v>
      </c>
      <c r="U18" s="61">
        <f t="shared" si="13"/>
        <v>11000</v>
      </c>
    </row>
    <row r="19" spans="1:21" s="24" customFormat="1" ht="15" customHeight="1">
      <c r="B19" s="71"/>
      <c r="C19" s="72"/>
      <c r="D19" s="148"/>
      <c r="E19" s="73"/>
      <c r="F19" s="73"/>
      <c r="G19" s="73"/>
      <c r="H19" s="49"/>
      <c r="I19" s="95"/>
      <c r="J19" s="152"/>
      <c r="K19" s="63"/>
      <c r="L19" s="88"/>
      <c r="M19" s="51"/>
      <c r="N19" s="51"/>
      <c r="O19" s="58" t="s">
        <v>37</v>
      </c>
      <c r="P19" s="94"/>
      <c r="Q19" s="147">
        <f>'Model-R'!L86</f>
        <v>1</v>
      </c>
      <c r="R19" s="70">
        <v>1000</v>
      </c>
      <c r="S19" s="61">
        <f>R19+K9</f>
        <v>3000</v>
      </c>
      <c r="T19" s="61">
        <f t="shared" ref="T19:U19" si="17">S19+L9</f>
        <v>5000</v>
      </c>
      <c r="U19" s="61">
        <f t="shared" si="17"/>
        <v>7000</v>
      </c>
    </row>
    <row r="20" spans="1:21" s="24" customFormat="1" ht="15" customHeight="1">
      <c r="A20" s="37"/>
      <c r="B20" s="58"/>
      <c r="C20" s="77"/>
      <c r="D20" s="149"/>
      <c r="E20" s="97"/>
      <c r="F20" s="97"/>
      <c r="G20" s="97"/>
      <c r="H20" s="51"/>
      <c r="I20" s="95"/>
      <c r="J20" s="152"/>
      <c r="K20" s="63"/>
      <c r="L20" s="88"/>
      <c r="M20" s="89"/>
      <c r="N20" s="51"/>
      <c r="O20" s="67" t="s">
        <v>38</v>
      </c>
      <c r="P20" s="98"/>
      <c r="Q20" s="147">
        <f>'Model-R'!L87</f>
        <v>1</v>
      </c>
      <c r="R20" s="99">
        <f>SUM(R16:R19)</f>
        <v>29000</v>
      </c>
      <c r="S20" s="99">
        <f t="shared" ref="S20:U20" si="18">SUM(S16:S19)</f>
        <v>28000</v>
      </c>
      <c r="T20" s="99">
        <f t="shared" si="18"/>
        <v>26000</v>
      </c>
      <c r="U20" s="99">
        <f t="shared" si="18"/>
        <v>25000</v>
      </c>
    </row>
    <row r="21" spans="1:21" s="24" customFormat="1" ht="15" customHeight="1">
      <c r="B21" s="58" t="s">
        <v>39</v>
      </c>
      <c r="C21" s="83"/>
      <c r="D21" s="150"/>
      <c r="E21" s="65">
        <v>-6000</v>
      </c>
      <c r="F21" s="65">
        <v>-6000</v>
      </c>
      <c r="G21" s="65">
        <v>-6000</v>
      </c>
      <c r="H21" s="51"/>
      <c r="I21" s="53" t="s">
        <v>40</v>
      </c>
      <c r="J21" s="152"/>
      <c r="K21" s="63"/>
      <c r="L21" s="88"/>
      <c r="M21" s="88"/>
      <c r="N21" s="51"/>
      <c r="O21" s="95"/>
      <c r="P21" s="98"/>
      <c r="Q21" s="153"/>
      <c r="R21" s="100"/>
      <c r="S21" s="100"/>
      <c r="T21" s="100"/>
      <c r="U21" s="100"/>
    </row>
    <row r="22" spans="1:21" s="24" customFormat="1" ht="15" customHeight="1">
      <c r="B22" s="67" t="s">
        <v>41</v>
      </c>
      <c r="C22" s="68"/>
      <c r="D22" s="147">
        <f>'Model-R'!L23</f>
        <v>1</v>
      </c>
      <c r="E22" s="69">
        <f>SUM(E18:E21)</f>
        <v>10000</v>
      </c>
      <c r="F22" s="69">
        <f t="shared" ref="F22:G22" si="19">SUM(F18:F21)</f>
        <v>12000</v>
      </c>
      <c r="G22" s="69">
        <f t="shared" si="19"/>
        <v>13000</v>
      </c>
      <c r="H22" s="51"/>
      <c r="I22" s="58" t="s">
        <v>42</v>
      </c>
      <c r="J22" s="151"/>
      <c r="K22" s="70">
        <v>-1000</v>
      </c>
      <c r="L22" s="64">
        <v>-2000</v>
      </c>
      <c r="M22" s="64">
        <v>-1000</v>
      </c>
      <c r="N22" s="51"/>
      <c r="O22" s="51"/>
      <c r="P22" s="51"/>
      <c r="Q22" s="139"/>
      <c r="R22" s="51"/>
      <c r="S22" s="51"/>
      <c r="T22" s="51"/>
      <c r="U22" s="51"/>
    </row>
    <row r="23" spans="1:21" s="24" customFormat="1" ht="15" customHeight="1">
      <c r="A23" s="37"/>
      <c r="B23" s="71"/>
      <c r="C23" s="72"/>
      <c r="D23" s="148"/>
      <c r="E23" s="73"/>
      <c r="F23" s="73"/>
      <c r="G23" s="73"/>
      <c r="H23" s="52"/>
      <c r="I23" s="58" t="s">
        <v>43</v>
      </c>
      <c r="J23" s="151"/>
      <c r="K23" s="70">
        <v>-3000</v>
      </c>
      <c r="L23" s="70">
        <v>-3000</v>
      </c>
      <c r="M23" s="70">
        <v>-3000</v>
      </c>
      <c r="N23" s="51"/>
      <c r="Q23" s="140"/>
    </row>
    <row r="24" spans="1:21" s="24" customFormat="1" ht="15" customHeight="1">
      <c r="A24" s="37"/>
      <c r="B24" s="71"/>
      <c r="D24" s="140"/>
      <c r="E24" s="51"/>
      <c r="F24" s="51"/>
      <c r="G24" s="51"/>
      <c r="H24" s="102"/>
      <c r="I24" s="58" t="s">
        <v>44</v>
      </c>
      <c r="J24" s="151"/>
      <c r="K24" s="70">
        <v>1000</v>
      </c>
      <c r="L24" s="70">
        <v>0</v>
      </c>
      <c r="M24" s="70">
        <v>0</v>
      </c>
      <c r="N24" s="51"/>
      <c r="O24" s="53" t="s">
        <v>45</v>
      </c>
      <c r="P24" s="98"/>
      <c r="Q24" s="153"/>
      <c r="R24" s="100"/>
      <c r="S24" s="100"/>
      <c r="T24" s="100"/>
      <c r="U24" s="100"/>
    </row>
    <row r="25" spans="1:21" s="24" customFormat="1" ht="15" customHeight="1">
      <c r="A25" s="37"/>
      <c r="B25" s="58" t="s">
        <v>46</v>
      </c>
      <c r="C25" s="83"/>
      <c r="D25" s="150"/>
      <c r="E25" s="60">
        <v>-1000</v>
      </c>
      <c r="F25" s="60">
        <v>-1000</v>
      </c>
      <c r="G25" s="60">
        <v>-1000</v>
      </c>
      <c r="H25" s="52"/>
      <c r="I25" s="58" t="s">
        <v>47</v>
      </c>
      <c r="J25" s="151"/>
      <c r="K25" s="84">
        <v>-1000</v>
      </c>
      <c r="L25" s="84">
        <v>-1000</v>
      </c>
      <c r="M25" s="84">
        <v>-1000</v>
      </c>
      <c r="N25" s="51"/>
      <c r="O25" s="58" t="s">
        <v>48</v>
      </c>
      <c r="P25" s="56"/>
      <c r="Q25" s="147">
        <f>'Model-R'!L92</f>
        <v>1</v>
      </c>
      <c r="R25" s="70">
        <v>44000</v>
      </c>
      <c r="S25" s="61">
        <f>R25+K24</f>
        <v>45000</v>
      </c>
      <c r="T25" s="61">
        <f t="shared" ref="T25:U25" si="20">S25+L24</f>
        <v>45000</v>
      </c>
      <c r="U25" s="61">
        <f t="shared" si="20"/>
        <v>45000</v>
      </c>
    </row>
    <row r="26" spans="1:21" s="24" customFormat="1" ht="15" customHeight="1">
      <c r="B26" s="58" t="s">
        <v>19</v>
      </c>
      <c r="C26" s="83"/>
      <c r="D26" s="150"/>
      <c r="E26" s="65">
        <v>-2000</v>
      </c>
      <c r="F26" s="65">
        <v>-2000</v>
      </c>
      <c r="G26" s="65">
        <v>-2000</v>
      </c>
      <c r="H26" s="51"/>
      <c r="I26" s="58" t="s">
        <v>28</v>
      </c>
      <c r="J26" s="147">
        <f>'Model-R'!L59</f>
        <v>1</v>
      </c>
      <c r="K26" s="61">
        <f>SUM(K22:K25)</f>
        <v>-4000</v>
      </c>
      <c r="L26" s="61">
        <f t="shared" ref="L26:M26" si="21">SUM(L22:L25)</f>
        <v>-6000</v>
      </c>
      <c r="M26" s="61">
        <f t="shared" si="21"/>
        <v>-5000</v>
      </c>
      <c r="N26" s="51"/>
      <c r="O26" s="58" t="s">
        <v>49</v>
      </c>
      <c r="P26" s="56"/>
      <c r="Q26" s="147">
        <f>'Model-R'!L93</f>
        <v>1</v>
      </c>
      <c r="R26" s="70">
        <v>5000</v>
      </c>
      <c r="S26" s="96">
        <f>R26+K7+K25</f>
        <v>11000</v>
      </c>
      <c r="T26" s="96">
        <f t="shared" ref="T26:U26" si="22">S26+L7+L25</f>
        <v>19000</v>
      </c>
      <c r="U26" s="96">
        <f t="shared" si="22"/>
        <v>28000</v>
      </c>
    </row>
    <row r="27" spans="1:21" s="24" customFormat="1" ht="15" customHeight="1">
      <c r="B27" s="58" t="s">
        <v>50</v>
      </c>
      <c r="C27" s="68"/>
      <c r="D27" s="147">
        <f>'Model-R'!L28</f>
        <v>1</v>
      </c>
      <c r="E27" s="103">
        <f>SUM(E25:E26)</f>
        <v>-3000</v>
      </c>
      <c r="F27" s="103">
        <f t="shared" ref="F27:G27" si="23">SUM(F25:F26)</f>
        <v>-3000</v>
      </c>
      <c r="G27" s="103">
        <f t="shared" si="23"/>
        <v>-3000</v>
      </c>
      <c r="H27" s="52"/>
      <c r="I27" s="51"/>
      <c r="J27" s="151"/>
      <c r="K27" s="63"/>
      <c r="L27" s="63"/>
      <c r="M27" s="63"/>
      <c r="N27" s="49"/>
      <c r="O27" s="67" t="s">
        <v>51</v>
      </c>
      <c r="P27" s="98"/>
      <c r="Q27" s="147">
        <f>'Model-R'!L94</f>
        <v>1</v>
      </c>
      <c r="R27" s="99">
        <f>SUM(R25:R26)</f>
        <v>49000</v>
      </c>
      <c r="S27" s="99">
        <f t="shared" ref="S27:U27" si="24">SUM(S25:S26)</f>
        <v>56000</v>
      </c>
      <c r="T27" s="99">
        <f t="shared" si="24"/>
        <v>64000</v>
      </c>
      <c r="U27" s="99">
        <f t="shared" si="24"/>
        <v>73000</v>
      </c>
    </row>
    <row r="28" spans="1:21" s="24" customFormat="1" ht="15" customHeight="1">
      <c r="B28" s="71"/>
      <c r="D28" s="140"/>
      <c r="E28" s="104"/>
      <c r="F28" s="104"/>
      <c r="G28" s="104"/>
      <c r="H28" s="105"/>
      <c r="I28" s="95"/>
      <c r="J28" s="152"/>
      <c r="K28" s="63"/>
      <c r="L28" s="88"/>
      <c r="M28" s="89"/>
      <c r="N28" s="51"/>
      <c r="O28" s="95"/>
      <c r="P28" s="98"/>
      <c r="Q28" s="153"/>
      <c r="R28" s="100"/>
      <c r="S28" s="100"/>
      <c r="T28" s="100"/>
      <c r="U28" s="100"/>
    </row>
    <row r="29" spans="1:21" s="24" customFormat="1" ht="15" customHeight="1" thickBot="1">
      <c r="A29" s="37"/>
      <c r="B29" s="71"/>
      <c r="D29" s="140"/>
      <c r="E29" s="51"/>
      <c r="F29" s="51"/>
      <c r="G29" s="51"/>
      <c r="H29" s="91"/>
      <c r="I29" s="53" t="s">
        <v>52</v>
      </c>
      <c r="J29" s="152"/>
      <c r="K29" s="63"/>
      <c r="L29" s="88"/>
      <c r="M29" s="88"/>
      <c r="N29" s="51"/>
      <c r="O29" s="67" t="s">
        <v>53</v>
      </c>
      <c r="P29" s="98"/>
      <c r="Q29" s="147">
        <f>'Model-R'!L96</f>
        <v>1</v>
      </c>
      <c r="R29" s="82">
        <f>SUM(R20,R27)</f>
        <v>78000</v>
      </c>
      <c r="S29" s="82">
        <f t="shared" ref="S29:U29" si="25">SUM(S20,S27)</f>
        <v>84000</v>
      </c>
      <c r="T29" s="82">
        <f t="shared" si="25"/>
        <v>90000</v>
      </c>
      <c r="U29" s="82">
        <f t="shared" si="25"/>
        <v>98000</v>
      </c>
    </row>
    <row r="30" spans="1:21" s="24" customFormat="1" ht="15" customHeight="1" thickBot="1">
      <c r="B30" s="67" t="s">
        <v>13</v>
      </c>
      <c r="C30" s="68"/>
      <c r="D30" s="147">
        <f>'Model-R'!L31</f>
        <v>1</v>
      </c>
      <c r="E30" s="106">
        <f>SUM(E22,E27)</f>
        <v>7000</v>
      </c>
      <c r="F30" s="106">
        <f t="shared" ref="F30:G30" si="26">SUM(F22,F27)</f>
        <v>9000</v>
      </c>
      <c r="G30" s="106">
        <f t="shared" si="26"/>
        <v>10000</v>
      </c>
      <c r="H30" s="91"/>
      <c r="I30" s="58" t="s">
        <v>54</v>
      </c>
      <c r="J30" s="147">
        <f>'Model-R'!L63</f>
        <v>1</v>
      </c>
      <c r="K30" s="61">
        <f>R7</f>
        <v>5000</v>
      </c>
      <c r="L30" s="61">
        <f t="shared" ref="L30:M30" si="27">S7</f>
        <v>11000</v>
      </c>
      <c r="M30" s="61">
        <f t="shared" si="27"/>
        <v>17000</v>
      </c>
      <c r="N30" s="51"/>
      <c r="O30" s="108"/>
      <c r="P30" s="109"/>
      <c r="Q30" s="155"/>
      <c r="R30" s="110"/>
      <c r="S30" s="110"/>
      <c r="T30" s="110"/>
      <c r="U30" s="110"/>
    </row>
    <row r="31" spans="1:21" s="24" customFormat="1" ht="15" customHeight="1">
      <c r="A31" s="111"/>
      <c r="E31" s="104"/>
      <c r="F31" s="104"/>
      <c r="G31" s="104"/>
      <c r="H31" s="51"/>
      <c r="I31" s="58" t="s">
        <v>55</v>
      </c>
      <c r="J31" s="147">
        <f>'Model-R'!L64</f>
        <v>1</v>
      </c>
      <c r="K31" s="61">
        <f>K13+K18+K26</f>
        <v>6000</v>
      </c>
      <c r="L31" s="61">
        <f t="shared" ref="L31:M31" si="28">L13+L18+L26</f>
        <v>6000</v>
      </c>
      <c r="M31" s="61">
        <f t="shared" si="28"/>
        <v>8000</v>
      </c>
      <c r="N31" s="51"/>
      <c r="Q31" s="140"/>
    </row>
    <row r="32" spans="1:21" ht="15" customHeight="1" thickBot="1">
      <c r="A32" s="24"/>
      <c r="I32" s="67" t="s">
        <v>56</v>
      </c>
      <c r="J32" s="147">
        <f>'Model-R'!L65</f>
        <v>1</v>
      </c>
      <c r="K32" s="82">
        <f>SUM(K30:K31)</f>
        <v>11000</v>
      </c>
      <c r="L32" s="82">
        <f t="shared" ref="L32:M32" si="29">SUM(L30:L31)</f>
        <v>17000</v>
      </c>
      <c r="M32" s="82">
        <f t="shared" si="29"/>
        <v>25000</v>
      </c>
      <c r="O32" s="112" t="s">
        <v>57</v>
      </c>
      <c r="Q32" s="147">
        <f>'Model-R'!L99</f>
        <v>1</v>
      </c>
      <c r="R32" s="114">
        <f>R11-R29</f>
        <v>0</v>
      </c>
      <c r="S32" s="114">
        <f t="shared" ref="S32:U32" si="30">S11-S29</f>
        <v>0</v>
      </c>
      <c r="T32" s="114">
        <f t="shared" si="30"/>
        <v>0</v>
      </c>
      <c r="U32" s="114">
        <f t="shared" si="30"/>
        <v>0</v>
      </c>
    </row>
    <row r="33" spans="1:21" ht="15" customHeight="1">
      <c r="A33" s="24"/>
      <c r="I33" s="24"/>
      <c r="J33" s="24"/>
      <c r="K33" s="24"/>
      <c r="L33" s="24"/>
      <c r="M33" s="24"/>
      <c r="O33" s="24"/>
      <c r="P33" s="24"/>
      <c r="Q33" s="24"/>
      <c r="R33" s="24"/>
      <c r="S33" s="24"/>
      <c r="T33" s="24"/>
      <c r="U33" s="24"/>
    </row>
    <row r="34" spans="1:21" ht="15" customHeight="1">
      <c r="A34" s="24"/>
      <c r="B34" s="115"/>
      <c r="C34" s="115"/>
      <c r="D34" s="115"/>
      <c r="E34" s="115"/>
      <c r="F34" s="115"/>
      <c r="G34" s="115"/>
      <c r="H34" s="85"/>
      <c r="I34" s="115"/>
      <c r="J34" s="116"/>
      <c r="K34" s="116"/>
      <c r="L34" s="116"/>
      <c r="M34" s="116"/>
      <c r="N34" s="85"/>
      <c r="O34" s="115"/>
      <c r="P34" s="115"/>
      <c r="Q34" s="115"/>
      <c r="R34" s="115"/>
      <c r="S34" s="115"/>
      <c r="T34" s="115"/>
      <c r="U34" s="115" t="s">
        <v>5</v>
      </c>
    </row>
  </sheetData>
  <conditionalFormatting sqref="R32:U32">
    <cfRule type="expression" dxfId="1" priority="1">
      <formula>R32&lt;&gt;0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fitToWidth="0" fitToHeight="0" orientation="portrait" r:id="rId1"/>
  <headerFooter>
    <oddFooter>&amp;L&amp;"Open Sans,Bold"&amp;10&amp;K002060Compact 3-Statement Model&amp;C&amp;"Open Sans,Bold"&amp;10&amp;K002060Page &amp;P of &amp;N&amp;R&amp;"Open Sans,Bold"&amp;K002060&amp;G</oddFooter>
  </headerFooter>
  <rowBreaks count="1" manualBreakCount="1">
    <brk id="1" max="15" man="1"/>
  </rowBreaks>
  <ignoredErrors>
    <ignoredError sqref="K7:M9 K13:M32 S7:U10 R11:U11 S16:U18 S19:U19 R20:U20 S25:U27 R27 R29:U29" unlockedFormula="1"/>
  </ignoredError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EC2D-D658-4BB9-B009-F55B4C3A473C}">
  <sheetPr>
    <tabColor theme="1"/>
    <pageSetUpPr autoPageBreaks="0"/>
  </sheetPr>
  <dimension ref="A1:U102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4.6640625" style="27" customWidth="1"/>
    <col min="2" max="2" width="14.6640625" style="27" customWidth="1"/>
    <col min="3" max="3" width="10.6640625" style="27" customWidth="1"/>
    <col min="4" max="4" width="6.6640625" style="27" customWidth="1"/>
    <col min="5" max="8" width="11.6640625" style="27" customWidth="1"/>
    <col min="9" max="9" width="4.5" style="27" customWidth="1"/>
    <col min="10" max="12" width="10.5" style="31" customWidth="1"/>
    <col min="13" max="13" width="11.6640625" style="31" customWidth="1"/>
    <col min="14" max="14" width="6.6640625" style="27" customWidth="1"/>
    <col min="15" max="15" width="12.6640625" style="27" customWidth="1"/>
    <col min="16" max="16" width="15.6640625" style="27" customWidth="1"/>
    <col min="17" max="17" width="4.6640625" style="27" customWidth="1"/>
    <col min="18" max="21" width="11.6640625" style="27" customWidth="1"/>
    <col min="22" max="16384" width="9.1640625" style="27"/>
  </cols>
  <sheetData>
    <row r="1" spans="1:21" ht="50.25" customHeight="1">
      <c r="A1" s="24"/>
      <c r="B1" s="120"/>
      <c r="C1" s="120"/>
      <c r="D1" s="120"/>
      <c r="E1" s="120"/>
      <c r="F1" s="25"/>
      <c r="G1" s="25"/>
      <c r="H1" s="25"/>
      <c r="I1" s="25"/>
      <c r="J1" s="25"/>
      <c r="K1" s="25"/>
      <c r="L1" s="25"/>
      <c r="M1" s="122"/>
      <c r="O1" s="122"/>
      <c r="P1" s="122"/>
      <c r="Q1" s="122"/>
      <c r="R1" s="122"/>
      <c r="S1" s="122"/>
      <c r="T1" s="122"/>
      <c r="U1" s="122"/>
    </row>
    <row r="2" spans="1:21" ht="15" customHeight="1">
      <c r="A2" s="28"/>
      <c r="B2" s="28"/>
      <c r="C2" s="29"/>
      <c r="D2" s="29"/>
      <c r="E2" s="30"/>
      <c r="F2" s="30"/>
      <c r="G2" s="30"/>
      <c r="H2" s="26"/>
    </row>
    <row r="3" spans="1:21" s="37" customFormat="1" ht="15" customHeight="1">
      <c r="A3" s="24"/>
      <c r="B3" s="32" t="s">
        <v>6</v>
      </c>
      <c r="C3" s="33"/>
      <c r="D3" s="33"/>
      <c r="E3" s="33"/>
      <c r="F3" s="34"/>
      <c r="G3" s="34"/>
      <c r="H3" s="34"/>
      <c r="I3" s="40"/>
      <c r="J3" s="34"/>
      <c r="K3" s="34"/>
      <c r="L3" s="34"/>
    </row>
    <row r="4" spans="1:21" s="37" customFormat="1" ht="15" customHeight="1">
      <c r="B4" s="38"/>
      <c r="C4" s="39"/>
      <c r="D4" s="39"/>
      <c r="F4" s="40"/>
      <c r="G4" s="40"/>
      <c r="H4" s="40"/>
    </row>
    <row r="5" spans="1:21" s="37" customFormat="1" ht="15" customHeight="1" thickBot="1">
      <c r="B5" s="45" t="s">
        <v>9</v>
      </c>
      <c r="C5" s="39"/>
      <c r="D5" s="39"/>
      <c r="F5" s="46">
        <v>2023</v>
      </c>
      <c r="G5" s="46">
        <f t="shared" ref="G5:H5" si="0">F5+1</f>
        <v>2024</v>
      </c>
      <c r="H5" s="46">
        <f t="shared" si="0"/>
        <v>2025</v>
      </c>
      <c r="J5" s="127" t="s">
        <v>58</v>
      </c>
      <c r="K5" s="128" t="s">
        <v>59</v>
      </c>
      <c r="L5" s="129" t="s">
        <v>60</v>
      </c>
    </row>
    <row r="6" spans="1:21" s="37" customFormat="1" ht="15" customHeight="1">
      <c r="B6" s="45"/>
      <c r="C6" s="39"/>
      <c r="D6" s="39"/>
      <c r="F6" s="49"/>
      <c r="G6" s="49"/>
      <c r="H6" s="49"/>
    </row>
    <row r="7" spans="1:21" ht="15" customHeight="1">
      <c r="A7" s="37"/>
      <c r="F7" s="51"/>
      <c r="G7" s="51"/>
      <c r="H7" s="51"/>
    </row>
    <row r="8" spans="1:21" ht="15" customHeight="1">
      <c r="A8" s="37"/>
      <c r="B8" s="58" t="s">
        <v>12</v>
      </c>
      <c r="C8" s="59"/>
      <c r="D8" s="59"/>
      <c r="F8" s="60">
        <v>58000</v>
      </c>
      <c r="G8" s="60">
        <v>62000</v>
      </c>
      <c r="H8" s="60">
        <v>65000</v>
      </c>
    </row>
    <row r="9" spans="1:21" s="24" customFormat="1" ht="15" customHeight="1">
      <c r="B9" s="58" t="s">
        <v>15</v>
      </c>
      <c r="C9" s="59"/>
      <c r="D9" s="59"/>
      <c r="F9" s="65">
        <v>-30000</v>
      </c>
      <c r="G9" s="65">
        <v>-31000</v>
      </c>
      <c r="H9" s="65">
        <v>-32000</v>
      </c>
    </row>
    <row r="10" spans="1:21" s="24" customFormat="1" ht="15" customHeight="1">
      <c r="B10" s="67" t="s">
        <v>18</v>
      </c>
      <c r="C10" s="68"/>
      <c r="D10" s="68"/>
      <c r="F10" s="69">
        <f>SUM(Model!E7:E8)</f>
        <v>28000</v>
      </c>
      <c r="G10" s="69">
        <f>SUM(Model!F7:F8)</f>
        <v>31000</v>
      </c>
      <c r="H10" s="69">
        <f>SUM(Model!G7:G8)</f>
        <v>33000</v>
      </c>
      <c r="J10" s="133">
        <f>SUM(Model!E9:G9)</f>
        <v>92000</v>
      </c>
      <c r="K10" s="132">
        <f>SUM(F10:H10)</f>
        <v>92000</v>
      </c>
      <c r="L10" s="138" cm="1">
        <f t="array" ref="L10">IF(SUM(ISBLANK(Model!E9:G9)*1)&gt;0,0,IF(J10=K10,1,0))</f>
        <v>1</v>
      </c>
    </row>
    <row r="11" spans="1:21" s="24" customFormat="1" ht="15" customHeight="1">
      <c r="B11" s="71"/>
      <c r="C11" s="72"/>
      <c r="D11" s="72"/>
      <c r="F11" s="73"/>
      <c r="G11" s="73"/>
      <c r="H11" s="73"/>
      <c r="L11" s="139"/>
    </row>
    <row r="12" spans="1:21" s="24" customFormat="1" ht="15" customHeight="1">
      <c r="A12" s="37"/>
      <c r="B12" s="58"/>
      <c r="C12" s="77"/>
      <c r="D12" s="77"/>
      <c r="F12" s="78"/>
      <c r="G12" s="78"/>
      <c r="H12" s="78"/>
      <c r="L12" s="139"/>
    </row>
    <row r="13" spans="1:21" s="24" customFormat="1" ht="15" customHeight="1">
      <c r="A13" s="37"/>
      <c r="B13" s="58" t="s">
        <v>25</v>
      </c>
      <c r="C13" s="83"/>
      <c r="D13" s="83"/>
      <c r="F13" s="60">
        <v>-6000</v>
      </c>
      <c r="G13" s="60">
        <v>-7000</v>
      </c>
      <c r="H13" s="60">
        <v>-8000</v>
      </c>
      <c r="L13" s="139"/>
    </row>
    <row r="14" spans="1:21" s="24" customFormat="1" ht="15" customHeight="1">
      <c r="B14" s="58" t="s">
        <v>27</v>
      </c>
      <c r="C14" s="83"/>
      <c r="D14" s="83"/>
      <c r="F14" s="65">
        <v>-2000</v>
      </c>
      <c r="G14" s="65">
        <v>-2000</v>
      </c>
      <c r="H14" s="65">
        <v>-2000</v>
      </c>
      <c r="L14" s="140"/>
    </row>
    <row r="15" spans="1:21" s="24" customFormat="1" ht="15" customHeight="1">
      <c r="B15" s="67" t="s">
        <v>29</v>
      </c>
      <c r="C15" s="68"/>
      <c r="D15" s="68"/>
      <c r="F15" s="69">
        <f>Model!E9+SUM(Model!E12:E13)</f>
        <v>20000</v>
      </c>
      <c r="G15" s="69">
        <f>Model!F9+SUM(Model!F12:F13)</f>
        <v>22000</v>
      </c>
      <c r="H15" s="69">
        <f>Model!G9+SUM(Model!G12:G13)</f>
        <v>23000</v>
      </c>
      <c r="J15" s="133">
        <f>SUM(Model!E14:G14)</f>
        <v>65000</v>
      </c>
      <c r="K15" s="132">
        <f>SUM(F15:H15)</f>
        <v>65000</v>
      </c>
      <c r="L15" s="138" cm="1">
        <f t="array" ref="L15">IF(SUM(ISBLANK(Model!E14:G14)*1)&gt;0,0,IF(J15=K15,1,0))</f>
        <v>1</v>
      </c>
    </row>
    <row r="16" spans="1:21" s="24" customFormat="1" ht="15" customHeight="1">
      <c r="B16" s="71"/>
      <c r="C16" s="72"/>
      <c r="D16" s="72"/>
      <c r="F16" s="73"/>
      <c r="G16" s="73"/>
      <c r="H16" s="73"/>
      <c r="L16" s="139"/>
    </row>
    <row r="17" spans="1:12" s="24" customFormat="1" ht="15" customHeight="1">
      <c r="A17" s="37"/>
      <c r="B17" s="58"/>
      <c r="C17" s="77"/>
      <c r="D17" s="77"/>
      <c r="F17" s="73"/>
      <c r="G17" s="73"/>
      <c r="H17" s="73"/>
      <c r="L17" s="139"/>
    </row>
    <row r="18" spans="1:12" s="24" customFormat="1" ht="15" customHeight="1">
      <c r="B18" s="58" t="s">
        <v>16</v>
      </c>
      <c r="C18" s="83"/>
      <c r="D18" s="83"/>
      <c r="F18" s="65">
        <v>-4000</v>
      </c>
      <c r="G18" s="65">
        <v>-4000</v>
      </c>
      <c r="H18" s="65">
        <v>-4000</v>
      </c>
      <c r="L18" s="139"/>
    </row>
    <row r="19" spans="1:12" s="24" customFormat="1" ht="15" customHeight="1">
      <c r="B19" s="67" t="s">
        <v>35</v>
      </c>
      <c r="C19" s="68"/>
      <c r="D19" s="68"/>
      <c r="F19" s="69">
        <f>Model!E17+Model!E14</f>
        <v>16000</v>
      </c>
      <c r="G19" s="69">
        <f>Model!F17+Model!F14</f>
        <v>18000</v>
      </c>
      <c r="H19" s="69">
        <f>Model!G17+Model!G14</f>
        <v>19000</v>
      </c>
      <c r="J19" s="133">
        <f>SUM(Model!E18:G18)</f>
        <v>53000</v>
      </c>
      <c r="K19" s="132">
        <f>SUM(F19:H19)</f>
        <v>53000</v>
      </c>
      <c r="L19" s="138" cm="1">
        <f t="array" ref="L19">IF(SUM(ISBLANK(Model!E18:G18)*1)&gt;0,0,IF(J19=K19,1,0))</f>
        <v>1</v>
      </c>
    </row>
    <row r="20" spans="1:12" s="24" customFormat="1" ht="15" customHeight="1">
      <c r="B20" s="71"/>
      <c r="C20" s="72"/>
      <c r="D20" s="72"/>
      <c r="F20" s="73"/>
      <c r="G20" s="73"/>
      <c r="H20" s="73"/>
      <c r="L20" s="139"/>
    </row>
    <row r="21" spans="1:12" s="24" customFormat="1" ht="15" customHeight="1">
      <c r="A21" s="37"/>
      <c r="B21" s="58"/>
      <c r="C21" s="77"/>
      <c r="D21" s="77"/>
      <c r="F21" s="97"/>
      <c r="G21" s="97"/>
      <c r="H21" s="97"/>
      <c r="L21" s="139"/>
    </row>
    <row r="22" spans="1:12" s="24" customFormat="1" ht="15" customHeight="1">
      <c r="B22" s="58" t="s">
        <v>39</v>
      </c>
      <c r="C22" s="83"/>
      <c r="D22" s="83"/>
      <c r="F22" s="65">
        <v>-6000</v>
      </c>
      <c r="G22" s="65">
        <v>-6000</v>
      </c>
      <c r="H22" s="65">
        <v>-6000</v>
      </c>
      <c r="L22" s="139"/>
    </row>
    <row r="23" spans="1:12" s="24" customFormat="1" ht="15" customHeight="1">
      <c r="B23" s="67" t="s">
        <v>41</v>
      </c>
      <c r="C23" s="68"/>
      <c r="D23" s="68"/>
      <c r="F23" s="69">
        <f>Model!E21+Model!E18</f>
        <v>10000</v>
      </c>
      <c r="G23" s="69">
        <f>Model!F21+Model!F18</f>
        <v>12000</v>
      </c>
      <c r="H23" s="69">
        <f>Model!G21+Model!G18</f>
        <v>13000</v>
      </c>
      <c r="J23" s="133">
        <f>SUM(Model!E22:G22)</f>
        <v>35000</v>
      </c>
      <c r="K23" s="132">
        <f>SUM(F23:H23)</f>
        <v>35000</v>
      </c>
      <c r="L23" s="138" cm="1">
        <f t="array" ref="L23">IF(SUM(ISBLANK(Model!E22:G22)*1)&gt;0,0,IF(J23=K23,1,0))</f>
        <v>1</v>
      </c>
    </row>
    <row r="24" spans="1:12" s="24" customFormat="1" ht="15" customHeight="1">
      <c r="A24" s="37"/>
      <c r="B24" s="71"/>
      <c r="C24" s="72"/>
      <c r="D24" s="72"/>
      <c r="F24" s="73"/>
      <c r="G24" s="73"/>
      <c r="H24" s="73"/>
      <c r="L24" s="139"/>
    </row>
    <row r="25" spans="1:12" s="24" customFormat="1" ht="15" customHeight="1">
      <c r="A25" s="37"/>
      <c r="B25" s="71"/>
      <c r="F25" s="51"/>
      <c r="G25" s="51"/>
      <c r="H25" s="51"/>
      <c r="L25" s="139"/>
    </row>
    <row r="26" spans="1:12" s="24" customFormat="1" ht="15" customHeight="1">
      <c r="A26" s="37"/>
      <c r="B26" s="58" t="s">
        <v>46</v>
      </c>
      <c r="C26" s="83"/>
      <c r="D26" s="83"/>
      <c r="F26" s="60">
        <v>-1000</v>
      </c>
      <c r="G26" s="60">
        <v>-1000</v>
      </c>
      <c r="H26" s="60">
        <v>-1000</v>
      </c>
      <c r="L26" s="139"/>
    </row>
    <row r="27" spans="1:12" s="24" customFormat="1" ht="15" customHeight="1">
      <c r="B27" s="58" t="s">
        <v>19</v>
      </c>
      <c r="C27" s="83"/>
      <c r="D27" s="83"/>
      <c r="F27" s="65">
        <v>-2000</v>
      </c>
      <c r="G27" s="65">
        <v>-2000</v>
      </c>
      <c r="H27" s="65">
        <v>-2000</v>
      </c>
      <c r="L27" s="139"/>
    </row>
    <row r="28" spans="1:12" s="24" customFormat="1" ht="15" customHeight="1">
      <c r="B28" s="58" t="s">
        <v>50</v>
      </c>
      <c r="C28" s="68"/>
      <c r="D28" s="68"/>
      <c r="F28" s="103">
        <f>SUM(Model!E25:E26)</f>
        <v>-3000</v>
      </c>
      <c r="G28" s="103">
        <f>SUM(Model!F25:F26)</f>
        <v>-3000</v>
      </c>
      <c r="H28" s="103">
        <f>SUM(Model!G25:G26)</f>
        <v>-3000</v>
      </c>
      <c r="J28" s="133">
        <f>SUM(Model!E27:G27)</f>
        <v>-9000</v>
      </c>
      <c r="K28" s="132">
        <f>SUM(F28:H28)</f>
        <v>-9000</v>
      </c>
      <c r="L28" s="138" cm="1">
        <f t="array" ref="L28">IF(SUM(ISBLANK(Model!E27:G27)*1)&gt;0,0,IF(J28=K28,1,0))</f>
        <v>1</v>
      </c>
    </row>
    <row r="29" spans="1:12" s="24" customFormat="1" ht="15" customHeight="1">
      <c r="B29" s="71"/>
      <c r="F29" s="104"/>
      <c r="G29" s="104"/>
      <c r="H29" s="104"/>
      <c r="L29" s="139"/>
    </row>
    <row r="30" spans="1:12" s="24" customFormat="1" ht="15" customHeight="1">
      <c r="A30" s="37"/>
      <c r="B30" s="71"/>
      <c r="F30" s="51"/>
      <c r="G30" s="51"/>
      <c r="H30" s="51"/>
      <c r="L30" s="139"/>
    </row>
    <row r="31" spans="1:12" s="24" customFormat="1" ht="15" customHeight="1" thickBot="1">
      <c r="B31" s="67" t="s">
        <v>13</v>
      </c>
      <c r="C31" s="68"/>
      <c r="D31" s="68"/>
      <c r="F31" s="106">
        <f>Model!E27+Model!E22</f>
        <v>7000</v>
      </c>
      <c r="G31" s="106">
        <f>Model!F27+Model!F22</f>
        <v>9000</v>
      </c>
      <c r="H31" s="106">
        <f>Model!G27+Model!G22</f>
        <v>10000</v>
      </c>
      <c r="J31" s="136">
        <f>SUM(Model!E30:G30)</f>
        <v>26000</v>
      </c>
      <c r="K31" s="137">
        <f>SUM(F31:H31)</f>
        <v>26000</v>
      </c>
      <c r="L31" s="141" cm="1">
        <f t="array" ref="L31">IF(SUM(ISBLANK(Model!E30:G30)*1)&gt;0,0,IF(J31=K31,1,0))</f>
        <v>1</v>
      </c>
    </row>
    <row r="32" spans="1:12" s="24" customFormat="1" ht="15" customHeight="1">
      <c r="A32" s="111"/>
      <c r="F32" s="104"/>
      <c r="G32" s="104"/>
      <c r="H32" s="104"/>
      <c r="L32" s="130"/>
    </row>
    <row r="33" spans="1:13" ht="15" customHeight="1">
      <c r="A33" s="24"/>
      <c r="B33" s="115"/>
      <c r="C33" s="115"/>
      <c r="D33" s="115"/>
      <c r="E33" s="115"/>
      <c r="F33" s="115"/>
      <c r="G33" s="115"/>
      <c r="H33" s="115"/>
      <c r="J33" s="115"/>
      <c r="K33" s="115"/>
      <c r="L33" s="115"/>
    </row>
    <row r="34" spans="1:13" ht="15" customHeight="1">
      <c r="J34" s="27"/>
      <c r="K34" s="27"/>
      <c r="L34" s="27"/>
    </row>
    <row r="35" spans="1:13" ht="15" customHeight="1">
      <c r="B35" s="32" t="s">
        <v>7</v>
      </c>
      <c r="D35" s="35"/>
      <c r="E35" s="35"/>
      <c r="F35" s="35"/>
      <c r="G35" s="36"/>
      <c r="H35" s="36"/>
      <c r="I35" s="43"/>
      <c r="J35" s="36"/>
      <c r="K35" s="36"/>
      <c r="L35" s="36"/>
    </row>
    <row r="36" spans="1:13" ht="15" customHeight="1">
      <c r="B36" s="41"/>
      <c r="D36" s="42"/>
      <c r="F36" s="43"/>
      <c r="G36" s="43"/>
      <c r="H36" s="43"/>
      <c r="L36" s="131"/>
    </row>
    <row r="37" spans="1:13" ht="15" customHeight="1" thickBot="1">
      <c r="B37" s="45" t="s">
        <v>9</v>
      </c>
      <c r="D37" s="47"/>
      <c r="F37" s="46">
        <f>F$5</f>
        <v>2023</v>
      </c>
      <c r="G37" s="46">
        <f>G$5</f>
        <v>2024</v>
      </c>
      <c r="H37" s="46">
        <f>H$5</f>
        <v>2025</v>
      </c>
      <c r="J37" s="127" t="s">
        <v>58</v>
      </c>
      <c r="K37" s="128" t="s">
        <v>59</v>
      </c>
      <c r="L37" s="129" t="s">
        <v>60</v>
      </c>
    </row>
    <row r="38" spans="1:13" ht="15" customHeight="1">
      <c r="B38" s="45"/>
      <c r="D38" s="47"/>
      <c r="F38" s="50"/>
      <c r="G38" s="50"/>
      <c r="H38" s="50"/>
      <c r="L38" s="131"/>
    </row>
    <row r="39" spans="1:13" ht="15" customHeight="1">
      <c r="B39" s="53" t="s">
        <v>10</v>
      </c>
      <c r="D39" s="54"/>
      <c r="F39" s="55"/>
      <c r="G39" s="55"/>
      <c r="H39" s="55"/>
    </row>
    <row r="40" spans="1:13" ht="15" customHeight="1">
      <c r="B40" s="58" t="s">
        <v>13</v>
      </c>
      <c r="D40" s="52"/>
      <c r="F40" s="61">
        <f>Model!E30</f>
        <v>7000</v>
      </c>
      <c r="G40" s="61">
        <f>Model!F30</f>
        <v>9000</v>
      </c>
      <c r="H40" s="61">
        <f>Model!G30</f>
        <v>10000</v>
      </c>
      <c r="J40" s="134">
        <f>SUM(Model!K7:M7)</f>
        <v>26000</v>
      </c>
      <c r="K40" s="135">
        <f>SUM(F40:H40)</f>
        <v>26000</v>
      </c>
      <c r="L40" s="142" cm="1">
        <f t="array" ref="L40">IF(SUM(ISBLANK(Model!K7:M7)*1)&gt;0,0,IF(J40=K40,1,0))</f>
        <v>1</v>
      </c>
    </row>
    <row r="41" spans="1:13" ht="15" customHeight="1">
      <c r="B41" s="58" t="s">
        <v>16</v>
      </c>
      <c r="D41" s="52"/>
      <c r="F41" s="61">
        <f>-Model!E17</f>
        <v>4000</v>
      </c>
      <c r="G41" s="61">
        <f>-Model!F17</f>
        <v>4000</v>
      </c>
      <c r="H41" s="61">
        <f>-Model!G17</f>
        <v>4000</v>
      </c>
      <c r="J41" s="125">
        <f>SUM(Model!K8:M8)</f>
        <v>12000</v>
      </c>
      <c r="K41" s="123">
        <f>SUM(F41:H41)</f>
        <v>12000</v>
      </c>
      <c r="L41" s="143" cm="1">
        <f t="array" ref="L41">IF(SUM(ISBLANK(Model!K8:M8)*1)&gt;0,0,IF(J41=K41,1,0))</f>
        <v>1</v>
      </c>
    </row>
    <row r="42" spans="1:13" ht="15" customHeight="1">
      <c r="B42" s="58" t="s">
        <v>19</v>
      </c>
      <c r="D42" s="52"/>
      <c r="F42" s="61">
        <f>-Model!E26</f>
        <v>2000</v>
      </c>
      <c r="G42" s="61">
        <f>-Model!F26</f>
        <v>2000</v>
      </c>
      <c r="H42" s="61">
        <f>-Model!G26</f>
        <v>2000</v>
      </c>
      <c r="J42" s="126">
        <f>SUM(Model!K9:M9)</f>
        <v>6000</v>
      </c>
      <c r="K42" s="124">
        <f t="shared" ref="K42" si="1">SUM(F42:H42)</f>
        <v>6000</v>
      </c>
      <c r="L42" s="144" cm="1">
        <f t="array" ref="L42">IF(SUM(ISBLANK(Model!K9:M9)*1)&gt;0,0,IF(J42=K42,1,0))</f>
        <v>1</v>
      </c>
    </row>
    <row r="43" spans="1:13" ht="15" customHeight="1">
      <c r="B43" s="74" t="s">
        <v>21</v>
      </c>
      <c r="D43" s="52"/>
      <c r="F43" s="70">
        <v>1000</v>
      </c>
      <c r="G43" s="70">
        <v>1000</v>
      </c>
      <c r="H43" s="70">
        <v>1000</v>
      </c>
      <c r="L43" s="145"/>
    </row>
    <row r="44" spans="1:13" ht="15" customHeight="1">
      <c r="B44" s="74" t="s">
        <v>23</v>
      </c>
      <c r="D44" s="52"/>
      <c r="F44" s="70">
        <v>-1000</v>
      </c>
      <c r="G44" s="70">
        <v>-1000</v>
      </c>
      <c r="H44" s="70">
        <v>-1000</v>
      </c>
      <c r="L44" s="145"/>
    </row>
    <row r="45" spans="1:13" ht="15" customHeight="1">
      <c r="B45" s="74" t="s">
        <v>26</v>
      </c>
      <c r="D45" s="52"/>
      <c r="F45" s="84">
        <v>1000</v>
      </c>
      <c r="G45" s="84">
        <v>1000</v>
      </c>
      <c r="H45" s="84">
        <v>1000</v>
      </c>
      <c r="J45" s="27"/>
      <c r="K45" s="27"/>
      <c r="L45" s="140"/>
      <c r="M45" s="27"/>
    </row>
    <row r="46" spans="1:13" ht="15" customHeight="1">
      <c r="B46" s="58" t="s">
        <v>28</v>
      </c>
      <c r="D46" s="81"/>
      <c r="F46" s="61">
        <f>SUM(Model!K7:K12)</f>
        <v>14000</v>
      </c>
      <c r="G46" s="61">
        <f>SUM(Model!L7:L12)</f>
        <v>16000</v>
      </c>
      <c r="H46" s="61">
        <f>SUM(Model!M7:M12)</f>
        <v>17000</v>
      </c>
      <c r="J46" s="133">
        <f>SUM(Model!K13:M13)</f>
        <v>47000</v>
      </c>
      <c r="K46" s="132">
        <f>SUM(F46:H46)</f>
        <v>47000</v>
      </c>
      <c r="L46" s="138" cm="1">
        <f t="array" ref="L46">IF(SUM(ISBLANK(Model!K13:M13)*1)&gt;0,0,IF(J46=K46,1,0))</f>
        <v>1</v>
      </c>
    </row>
    <row r="47" spans="1:13" ht="15" customHeight="1">
      <c r="B47" s="51"/>
      <c r="D47" s="56"/>
      <c r="F47" s="63"/>
      <c r="G47" s="88"/>
      <c r="H47" s="51"/>
      <c r="L47" s="145"/>
    </row>
    <row r="48" spans="1:13" ht="15" customHeight="1">
      <c r="B48" s="51"/>
      <c r="D48" s="56"/>
      <c r="F48" s="63"/>
      <c r="G48" s="88"/>
      <c r="H48" s="89"/>
      <c r="L48" s="145"/>
    </row>
    <row r="49" spans="2:13" ht="15" customHeight="1">
      <c r="B49" s="53" t="s">
        <v>31</v>
      </c>
      <c r="D49" s="56"/>
      <c r="F49" s="63"/>
      <c r="G49" s="88"/>
      <c r="H49" s="88"/>
      <c r="L49" s="145"/>
    </row>
    <row r="50" spans="2:13" ht="15" customHeight="1">
      <c r="B50" s="58" t="s">
        <v>33</v>
      </c>
      <c r="D50" s="93"/>
      <c r="F50" s="84">
        <v>-4000</v>
      </c>
      <c r="G50" s="84">
        <v>-4000</v>
      </c>
      <c r="H50" s="84">
        <v>-4000</v>
      </c>
      <c r="J50" s="27"/>
      <c r="K50" s="27"/>
      <c r="L50" s="140"/>
      <c r="M50" s="27"/>
    </row>
    <row r="51" spans="2:13" ht="15" customHeight="1">
      <c r="B51" s="58" t="s">
        <v>28</v>
      </c>
      <c r="D51" s="81"/>
      <c r="F51" s="61">
        <f>Model!K17</f>
        <v>-4000</v>
      </c>
      <c r="G51" s="61">
        <f>Model!L17</f>
        <v>-4000</v>
      </c>
      <c r="H51" s="61">
        <f>Model!M17</f>
        <v>-4000</v>
      </c>
      <c r="J51" s="133">
        <f>SUM(Model!K18:M18)</f>
        <v>-12000</v>
      </c>
      <c r="K51" s="132">
        <f>SUM(F51:H51)</f>
        <v>-12000</v>
      </c>
      <c r="L51" s="138" cm="1">
        <f t="array" ref="L51">IF(SUM(ISBLANK(Model!K18:M18)*1)&gt;0,0,IF(J51=K51,1,0))</f>
        <v>1</v>
      </c>
    </row>
    <row r="52" spans="2:13" ht="15" customHeight="1">
      <c r="B52" s="95"/>
      <c r="D52" s="56"/>
      <c r="F52" s="63"/>
      <c r="G52" s="88"/>
      <c r="H52" s="51"/>
      <c r="L52" s="145"/>
    </row>
    <row r="53" spans="2:13" ht="15" customHeight="1">
      <c r="B53" s="95"/>
      <c r="D53" s="56"/>
      <c r="F53" s="63"/>
      <c r="G53" s="88"/>
      <c r="H53" s="89"/>
      <c r="L53" s="145"/>
    </row>
    <row r="54" spans="2:13" ht="15" customHeight="1">
      <c r="B54" s="53" t="s">
        <v>40</v>
      </c>
      <c r="D54" s="56"/>
      <c r="F54" s="63"/>
      <c r="G54" s="88"/>
      <c r="H54" s="88"/>
      <c r="L54" s="145"/>
    </row>
    <row r="55" spans="2:13" ht="15" customHeight="1">
      <c r="B55" s="58" t="s">
        <v>42</v>
      </c>
      <c r="D55" s="93"/>
      <c r="F55" s="70">
        <v>-1000</v>
      </c>
      <c r="G55" s="64">
        <v>-2000</v>
      </c>
      <c r="H55" s="64">
        <v>-1000</v>
      </c>
      <c r="L55" s="145"/>
    </row>
    <row r="56" spans="2:13" ht="15" customHeight="1">
      <c r="B56" s="58" t="s">
        <v>43</v>
      </c>
      <c r="D56" s="93"/>
      <c r="F56" s="70">
        <v>-3000</v>
      </c>
      <c r="G56" s="70">
        <v>-3000</v>
      </c>
      <c r="H56" s="70">
        <v>-3000</v>
      </c>
      <c r="L56" s="145"/>
    </row>
    <row r="57" spans="2:13" ht="15" customHeight="1">
      <c r="B57" s="58" t="s">
        <v>44</v>
      </c>
      <c r="D57" s="93"/>
      <c r="F57" s="70">
        <v>1000</v>
      </c>
      <c r="G57" s="70">
        <v>0</v>
      </c>
      <c r="H57" s="70">
        <v>0</v>
      </c>
      <c r="L57" s="145"/>
    </row>
    <row r="58" spans="2:13" ht="15" customHeight="1">
      <c r="B58" s="58" t="s">
        <v>47</v>
      </c>
      <c r="D58" s="93"/>
      <c r="F58" s="84">
        <v>-1000</v>
      </c>
      <c r="G58" s="84">
        <v>-1000</v>
      </c>
      <c r="H58" s="84">
        <v>-1000</v>
      </c>
      <c r="J58" s="27"/>
      <c r="K58" s="27"/>
      <c r="L58" s="140"/>
    </row>
    <row r="59" spans="2:13" ht="15" customHeight="1">
      <c r="B59" s="58" t="s">
        <v>28</v>
      </c>
      <c r="D59" s="81"/>
      <c r="F59" s="61">
        <f>SUM(Model!K22:K25)</f>
        <v>-4000</v>
      </c>
      <c r="G59" s="61">
        <f>SUM(Model!L22:L25)</f>
        <v>-6000</v>
      </c>
      <c r="H59" s="61">
        <f>SUM(Model!M22:M25)</f>
        <v>-5000</v>
      </c>
      <c r="J59" s="133">
        <f>SUM(Model!K26:M26)</f>
        <v>-15000</v>
      </c>
      <c r="K59" s="132">
        <f>SUM(F59:H59)</f>
        <v>-15000</v>
      </c>
      <c r="L59" s="138" cm="1">
        <f t="array" ref="L59">IF(SUM(ISBLANK(Model!K26:M26)*1)&gt;0,0,IF(J59=K59,1,0))</f>
        <v>1</v>
      </c>
    </row>
    <row r="60" spans="2:13" ht="15" customHeight="1">
      <c r="B60" s="51"/>
      <c r="D60" s="93"/>
      <c r="F60" s="63"/>
      <c r="G60" s="63"/>
      <c r="H60" s="63"/>
      <c r="L60" s="145"/>
    </row>
    <row r="61" spans="2:13" ht="15" customHeight="1">
      <c r="B61" s="95"/>
      <c r="D61" s="56"/>
      <c r="F61" s="63"/>
      <c r="G61" s="88"/>
      <c r="H61" s="89"/>
      <c r="L61" s="145"/>
    </row>
    <row r="62" spans="2:13" ht="15" customHeight="1">
      <c r="B62" s="53" t="s">
        <v>52</v>
      </c>
      <c r="D62" s="56"/>
      <c r="F62" s="63"/>
      <c r="G62" s="88"/>
      <c r="H62" s="88"/>
      <c r="J62" s="27"/>
      <c r="K62" s="27"/>
      <c r="L62" s="140"/>
    </row>
    <row r="63" spans="2:13" ht="15" customHeight="1">
      <c r="B63" s="58" t="s">
        <v>54</v>
      </c>
      <c r="D63" s="81"/>
      <c r="F63" s="61">
        <f>Model!R7</f>
        <v>5000</v>
      </c>
      <c r="G63" s="107">
        <f>Model!K32</f>
        <v>11000</v>
      </c>
      <c r="H63" s="107">
        <f>Model!L32</f>
        <v>17000</v>
      </c>
      <c r="J63" s="134">
        <f>SUM(Model!K30:M30)</f>
        <v>33000</v>
      </c>
      <c r="K63" s="135">
        <f>SUM(F63:H63)</f>
        <v>33000</v>
      </c>
      <c r="L63" s="142" cm="1">
        <f t="array" ref="L63">IF(SUM(ISBLANK(Model!K30:M30)*1)&gt;0,0,IF(J63=K63,1,0))</f>
        <v>1</v>
      </c>
    </row>
    <row r="64" spans="2:13" ht="15" customHeight="1">
      <c r="B64" s="58" t="s">
        <v>55</v>
      </c>
      <c r="D64" s="81"/>
      <c r="F64" s="61">
        <f>Model!K13+Model!K18+Model!K26</f>
        <v>6000</v>
      </c>
      <c r="G64" s="61">
        <f>Model!L13+Model!L18+Model!L26</f>
        <v>6000</v>
      </c>
      <c r="H64" s="61">
        <f>Model!M13+Model!M18+Model!M26</f>
        <v>8000</v>
      </c>
      <c r="J64" s="125">
        <f>SUM(Model!K31:M31)</f>
        <v>20000</v>
      </c>
      <c r="K64" s="123">
        <f>SUM(F64:H64)</f>
        <v>20000</v>
      </c>
      <c r="L64" s="143" cm="1">
        <f t="array" ref="L64">IF(SUM(ISBLANK(Model!K31:M31)*1)&gt;0,0,IF(J64=K64,1,0))</f>
        <v>1</v>
      </c>
    </row>
    <row r="65" spans="2:13" ht="15" customHeight="1" thickBot="1">
      <c r="B65" s="67" t="s">
        <v>56</v>
      </c>
      <c r="D65" s="81"/>
      <c r="F65" s="82">
        <f>SUM(Model!K30:K31)</f>
        <v>11000</v>
      </c>
      <c r="G65" s="82">
        <f>SUM(Model!L30:L31)</f>
        <v>17000</v>
      </c>
      <c r="H65" s="82">
        <f>SUM(Model!M30:M31)</f>
        <v>25000</v>
      </c>
      <c r="J65" s="126">
        <f>SUM(Model!K32:M32)</f>
        <v>53000</v>
      </c>
      <c r="K65" s="124">
        <f t="shared" ref="K65" si="2">SUM(F65:H65)</f>
        <v>53000</v>
      </c>
      <c r="L65" s="144" cm="1">
        <f t="array" ref="L65">IF(SUM(ISBLANK(Model!K32:M32)*1)&gt;0,0,IF(J65=K65,1,0))</f>
        <v>1</v>
      </c>
    </row>
    <row r="66" spans="2:13" ht="15" customHeight="1">
      <c r="B66" s="24"/>
      <c r="D66" s="24"/>
      <c r="F66" s="24"/>
      <c r="G66" s="24"/>
      <c r="H66" s="24"/>
    </row>
    <row r="67" spans="2:13" ht="15" customHeight="1">
      <c r="B67" s="121"/>
      <c r="C67" s="115"/>
      <c r="D67" s="116"/>
      <c r="E67" s="116"/>
      <c r="F67" s="116"/>
      <c r="G67" s="116"/>
      <c r="H67" s="121"/>
      <c r="I67" s="85"/>
      <c r="J67" s="121"/>
      <c r="K67" s="121"/>
      <c r="L67" s="121"/>
    </row>
    <row r="68" spans="2:13" ht="15" customHeight="1">
      <c r="D68" s="31"/>
      <c r="E68" s="31"/>
      <c r="F68" s="31"/>
      <c r="G68" s="31"/>
      <c r="J68" s="27"/>
      <c r="K68" s="27"/>
      <c r="L68" s="27"/>
    </row>
    <row r="69" spans="2:13" ht="15" customHeight="1">
      <c r="B69" s="32" t="s">
        <v>8</v>
      </c>
      <c r="C69" s="35"/>
      <c r="D69" s="36"/>
      <c r="E69" s="36"/>
      <c r="F69" s="36"/>
      <c r="G69" s="36"/>
      <c r="H69" s="36"/>
      <c r="I69" s="43"/>
      <c r="J69" s="36"/>
      <c r="K69" s="36"/>
      <c r="L69" s="36"/>
    </row>
    <row r="70" spans="2:13" ht="15" customHeight="1">
      <c r="B70" s="41"/>
      <c r="C70" s="42"/>
      <c r="D70" s="43"/>
      <c r="E70" s="44"/>
      <c r="F70" s="43"/>
      <c r="G70" s="43"/>
      <c r="H70" s="43"/>
      <c r="I70" s="37"/>
    </row>
    <row r="71" spans="2:13" ht="15" customHeight="1" thickBot="1">
      <c r="B71" s="45" t="s">
        <v>9</v>
      </c>
      <c r="C71" s="47"/>
      <c r="D71" s="47"/>
      <c r="E71" s="48">
        <f>F71-1</f>
        <v>2022</v>
      </c>
      <c r="F71" s="46">
        <f>F$5</f>
        <v>2023</v>
      </c>
      <c r="G71" s="46">
        <f>G$5</f>
        <v>2024</v>
      </c>
      <c r="H71" s="46">
        <f>H$5</f>
        <v>2025</v>
      </c>
      <c r="I71" s="37"/>
      <c r="J71" s="127" t="s">
        <v>58</v>
      </c>
      <c r="K71" s="128" t="s">
        <v>59</v>
      </c>
      <c r="L71" s="129" t="s">
        <v>60</v>
      </c>
    </row>
    <row r="72" spans="2:13" ht="15" customHeight="1">
      <c r="B72" s="45"/>
      <c r="C72" s="47"/>
      <c r="D72" s="47"/>
      <c r="E72" s="50"/>
      <c r="F72" s="50"/>
      <c r="G72" s="50"/>
      <c r="H72" s="50"/>
      <c r="I72" s="37"/>
    </row>
    <row r="73" spans="2:13" ht="15" customHeight="1">
      <c r="B73" s="53" t="s">
        <v>11</v>
      </c>
      <c r="C73" s="56"/>
      <c r="D73" s="55"/>
      <c r="E73" s="51"/>
      <c r="F73" s="55"/>
      <c r="G73" s="57"/>
      <c r="H73" s="57"/>
    </row>
    <row r="74" spans="2:13" ht="15" customHeight="1">
      <c r="B74" s="58" t="s">
        <v>14</v>
      </c>
      <c r="C74" s="62"/>
      <c r="D74" s="63"/>
      <c r="E74" s="64">
        <v>5000</v>
      </c>
      <c r="F74" s="61">
        <f>Model!K32</f>
        <v>11000</v>
      </c>
      <c r="G74" s="61">
        <f>Model!L32</f>
        <v>17000</v>
      </c>
      <c r="H74" s="61">
        <f>Model!M32</f>
        <v>25000</v>
      </c>
      <c r="J74" s="134">
        <f>SUM(Model!S7:U7)</f>
        <v>53000</v>
      </c>
      <c r="K74" s="135">
        <f>SUM(F74:H74)</f>
        <v>53000</v>
      </c>
      <c r="L74" s="142" cm="1">
        <f t="array" ref="L74">IF(SUM(ISBLANK(Model!S7:U7)*1)&gt;0,0,IF(J74=K74,1,0))</f>
        <v>1</v>
      </c>
    </row>
    <row r="75" spans="2:13" ht="15" customHeight="1">
      <c r="B75" s="58" t="s">
        <v>17</v>
      </c>
      <c r="C75" s="62"/>
      <c r="D75" s="66"/>
      <c r="E75" s="64">
        <v>6000</v>
      </c>
      <c r="F75" s="61">
        <f>Model!R8-Model!K10</f>
        <v>5000</v>
      </c>
      <c r="G75" s="61">
        <f>Model!S8-Model!L10</f>
        <v>4000</v>
      </c>
      <c r="H75" s="61">
        <f>Model!T8-Model!M10</f>
        <v>3000</v>
      </c>
      <c r="I75" s="24"/>
      <c r="J75" s="125">
        <f>SUM(Model!S8:U8)</f>
        <v>12000</v>
      </c>
      <c r="K75" s="123">
        <f t="shared" ref="K75:K76" si="3">SUM(F75:H75)</f>
        <v>12000</v>
      </c>
      <c r="L75" s="143" cm="1">
        <f t="array" ref="L75">IF(SUM(ISBLANK(Model!S8:U8)*1)&gt;0,0,IF(J75=K75,1,0))</f>
        <v>1</v>
      </c>
    </row>
    <row r="76" spans="2:13" ht="15" customHeight="1">
      <c r="B76" s="58" t="s">
        <v>20</v>
      </c>
      <c r="C76" s="62"/>
      <c r="D76" s="66"/>
      <c r="E76" s="70">
        <v>2000</v>
      </c>
      <c r="F76" s="61">
        <f>Model!R9-Model!K11</f>
        <v>3000</v>
      </c>
      <c r="G76" s="61">
        <f>Model!S9-Model!L11</f>
        <v>4000</v>
      </c>
      <c r="H76" s="61">
        <f>Model!T9-Model!M11</f>
        <v>5000</v>
      </c>
      <c r="I76" s="24"/>
      <c r="J76" s="125">
        <f>SUM(Model!S9:U9)</f>
        <v>12000</v>
      </c>
      <c r="K76" s="123">
        <f t="shared" si="3"/>
        <v>12000</v>
      </c>
      <c r="L76" s="143" cm="1">
        <f t="array" ref="L76">IF(SUM(ISBLANK(Model!S9:U9)*1)&gt;0,0,IF(J76=K76,1,0))</f>
        <v>1</v>
      </c>
    </row>
    <row r="77" spans="2:13" ht="15" customHeight="1">
      <c r="B77" s="58" t="s">
        <v>22</v>
      </c>
      <c r="C77" s="75"/>
      <c r="D77" s="76"/>
      <c r="E77" s="70">
        <v>65000</v>
      </c>
      <c r="F77" s="61">
        <f>Model!R10-Model!K17-Model!K8</f>
        <v>65000</v>
      </c>
      <c r="G77" s="61">
        <f>Model!S10-Model!L17-Model!L8</f>
        <v>65000</v>
      </c>
      <c r="H77" s="61">
        <f>Model!T10-Model!M17-Model!M8</f>
        <v>65000</v>
      </c>
      <c r="I77" s="24"/>
      <c r="J77" s="125">
        <f>SUM(Model!S10:U10)</f>
        <v>195000</v>
      </c>
      <c r="K77" s="123">
        <f>SUM(F77:H77)</f>
        <v>195000</v>
      </c>
      <c r="L77" s="143" cm="1">
        <f t="array" ref="L77">IF(SUM(ISBLANK(Model!S10:U10)*1)&gt;0,0,IF(J77=K77,1,0))</f>
        <v>1</v>
      </c>
    </row>
    <row r="78" spans="2:13" ht="15" customHeight="1" thickBot="1">
      <c r="B78" s="67" t="s">
        <v>24</v>
      </c>
      <c r="C78" s="80"/>
      <c r="D78" s="81"/>
      <c r="E78" s="82">
        <f>SUM(Model!R7:R10)</f>
        <v>78000</v>
      </c>
      <c r="F78" s="82">
        <f>SUM(Model!S7:S10)</f>
        <v>84000</v>
      </c>
      <c r="G78" s="82">
        <f>SUM(Model!T7:T10)</f>
        <v>90000</v>
      </c>
      <c r="H78" s="82">
        <f>SUM(Model!U7:U10)</f>
        <v>98000</v>
      </c>
      <c r="I78" s="24"/>
      <c r="J78" s="126">
        <f>SUM(Model!R11:U11)</f>
        <v>350000</v>
      </c>
      <c r="K78" s="124">
        <f>SUM(E78:H78)</f>
        <v>350000</v>
      </c>
      <c r="L78" s="144" cm="1">
        <f t="array" ref="L78">IF(SUM(ISBLANK(Model!R11:U11)*1)&gt;0,0,IF(J78=K78,1,0))</f>
        <v>1</v>
      </c>
      <c r="M78" s="24"/>
    </row>
    <row r="79" spans="2:13" ht="15" customHeight="1">
      <c r="B79" s="24"/>
      <c r="C79" s="24"/>
      <c r="D79" s="24"/>
      <c r="E79" s="24"/>
      <c r="F79" s="24"/>
      <c r="G79" s="24"/>
      <c r="H79" s="24"/>
      <c r="I79" s="24"/>
      <c r="L79" s="146"/>
    </row>
    <row r="80" spans="2:13" ht="15" customHeight="1">
      <c r="B80" s="86"/>
      <c r="C80" s="80"/>
      <c r="D80" s="87"/>
      <c r="E80" s="88"/>
      <c r="F80" s="88"/>
      <c r="G80" s="88"/>
      <c r="H80" s="88"/>
      <c r="I80" s="24"/>
      <c r="L80" s="146"/>
    </row>
    <row r="81" spans="2:13" ht="15" customHeight="1">
      <c r="B81" s="24"/>
      <c r="C81" s="24"/>
      <c r="D81" s="24"/>
      <c r="E81" s="24"/>
      <c r="F81" s="24"/>
      <c r="G81" s="24"/>
      <c r="H81" s="24"/>
      <c r="I81" s="24"/>
      <c r="L81" s="146"/>
    </row>
    <row r="82" spans="2:13" ht="15" customHeight="1">
      <c r="B82" s="53" t="s">
        <v>30</v>
      </c>
      <c r="C82" s="62"/>
      <c r="D82" s="90"/>
      <c r="E82" s="88"/>
      <c r="F82" s="88"/>
      <c r="G82" s="88"/>
      <c r="H82" s="88"/>
      <c r="I82" s="24"/>
      <c r="J82" s="24"/>
      <c r="K82" s="24"/>
      <c r="L82" s="140"/>
    </row>
    <row r="83" spans="2:13" ht="15" customHeight="1">
      <c r="B83" s="58" t="s">
        <v>32</v>
      </c>
      <c r="C83" s="62"/>
      <c r="D83" s="92"/>
      <c r="E83" s="70">
        <v>3000</v>
      </c>
      <c r="F83" s="61">
        <f>Model!R16+Model!K12</f>
        <v>4000</v>
      </c>
      <c r="G83" s="61">
        <f>Model!S16+Model!L12</f>
        <v>5000</v>
      </c>
      <c r="H83" s="61">
        <f>Model!T16+Model!M12</f>
        <v>6000</v>
      </c>
      <c r="I83" s="24"/>
      <c r="J83" s="134">
        <f>SUM(Model!S16:U16)</f>
        <v>15000</v>
      </c>
      <c r="K83" s="135">
        <f>SUM(F83:H83)</f>
        <v>15000</v>
      </c>
      <c r="L83" s="142">
        <f t="array" ref="L83">IF(SUM(ISBLANK(Model!S16:U16)*1)&gt;0,0,IF(J83=K83,1,0))</f>
        <v>1</v>
      </c>
    </row>
    <row r="84" spans="2:13" ht="15" customHeight="1">
      <c r="B84" s="58" t="s">
        <v>34</v>
      </c>
      <c r="C84" s="62"/>
      <c r="D84" s="76"/>
      <c r="E84" s="70">
        <v>5000</v>
      </c>
      <c r="F84" s="61">
        <f>Model!R17+Model!K22</f>
        <v>4000</v>
      </c>
      <c r="G84" s="61">
        <f>Model!S17+Model!L22</f>
        <v>2000</v>
      </c>
      <c r="H84" s="61">
        <f>Model!T17+Model!M22</f>
        <v>1000</v>
      </c>
      <c r="I84" s="24"/>
      <c r="J84" s="125">
        <f>SUM(Model!S17:U17)</f>
        <v>7000</v>
      </c>
      <c r="K84" s="123">
        <f t="shared" ref="K84:K85" si="4">SUM(F84:H84)</f>
        <v>7000</v>
      </c>
      <c r="L84" s="143" cm="1">
        <f t="array" ref="L84">IF(SUM(ISBLANK(Model!S17:U17)*1)&gt;0,0,IF(J84=K84,1,0))</f>
        <v>1</v>
      </c>
    </row>
    <row r="85" spans="2:13" ht="15" customHeight="1">
      <c r="B85" s="58" t="s">
        <v>36</v>
      </c>
      <c r="C85" s="94"/>
      <c r="D85" s="76"/>
      <c r="E85" s="70">
        <v>20000</v>
      </c>
      <c r="F85" s="61">
        <f>Model!R18+Model!K23</f>
        <v>17000</v>
      </c>
      <c r="G85" s="61">
        <f>Model!S18+Model!L23</f>
        <v>14000</v>
      </c>
      <c r="H85" s="61">
        <f>Model!T18+Model!M23</f>
        <v>11000</v>
      </c>
      <c r="I85" s="24"/>
      <c r="J85" s="125">
        <f>SUM(Model!S18:U18)</f>
        <v>42000</v>
      </c>
      <c r="K85" s="123">
        <f t="shared" si="4"/>
        <v>42000</v>
      </c>
      <c r="L85" s="143" cm="1">
        <f t="array" ref="L85">IF(SUM(ISBLANK(Model!S18:U18)*1)&gt;0,0,IF(J85=K85,1,0))</f>
        <v>1</v>
      </c>
    </row>
    <row r="86" spans="2:13" ht="15" customHeight="1">
      <c r="B86" s="58" t="s">
        <v>37</v>
      </c>
      <c r="C86" s="94"/>
      <c r="D86" s="76"/>
      <c r="E86" s="70">
        <v>1000</v>
      </c>
      <c r="F86" s="96">
        <f>Model!R19+Model!K9</f>
        <v>3000</v>
      </c>
      <c r="G86" s="96">
        <f>Model!S19+Model!L9</f>
        <v>5000</v>
      </c>
      <c r="H86" s="96">
        <f>Model!T19+Model!M9</f>
        <v>7000</v>
      </c>
      <c r="I86" s="24"/>
      <c r="J86" s="125">
        <f>SUM(Model!S19:U19)</f>
        <v>15000</v>
      </c>
      <c r="K86" s="123">
        <f>SUM(F86:H86)</f>
        <v>15000</v>
      </c>
      <c r="L86" s="143" cm="1">
        <f t="array" ref="L86">IF(SUM(ISBLANK(Model!S19:U19)*1)&gt;0,0,IF(J86=K86,1,0))</f>
        <v>1</v>
      </c>
    </row>
    <row r="87" spans="2:13" ht="15" customHeight="1">
      <c r="B87" s="67" t="s">
        <v>38</v>
      </c>
      <c r="C87" s="98"/>
      <c r="D87" s="81"/>
      <c r="E87" s="99">
        <f>SUM(Model!R16:R19)</f>
        <v>29000</v>
      </c>
      <c r="F87" s="99">
        <f>SUM(Model!S16:S19)</f>
        <v>28000</v>
      </c>
      <c r="G87" s="99">
        <f>SUM(Model!T16:T19)</f>
        <v>26000</v>
      </c>
      <c r="H87" s="99">
        <f>SUM(Model!U16:U19)</f>
        <v>25000</v>
      </c>
      <c r="I87" s="24"/>
      <c r="J87" s="126">
        <f>SUM(Model!R20:U20)</f>
        <v>108000</v>
      </c>
      <c r="K87" s="124">
        <f>SUM(E87:H87)</f>
        <v>108000</v>
      </c>
      <c r="L87" s="144" cm="1">
        <f t="array" ref="L87">IF(SUM(ISBLANK(Model!R20:U20)*1)&gt;0,0,IF(J87=K87,1,0))</f>
        <v>1</v>
      </c>
    </row>
    <row r="88" spans="2:13" ht="15" customHeight="1">
      <c r="B88" s="95"/>
      <c r="C88" s="98"/>
      <c r="D88" s="87"/>
      <c r="E88" s="100"/>
      <c r="F88" s="100"/>
      <c r="G88" s="100"/>
      <c r="H88" s="100"/>
      <c r="I88" s="24"/>
      <c r="L88" s="146"/>
    </row>
    <row r="89" spans="2:13" ht="15" customHeight="1">
      <c r="B89" s="51"/>
      <c r="C89" s="51"/>
      <c r="D89" s="101"/>
      <c r="E89" s="51"/>
      <c r="F89" s="51"/>
      <c r="G89" s="51"/>
      <c r="H89" s="51"/>
      <c r="I89" s="24"/>
      <c r="L89" s="146"/>
    </row>
    <row r="90" spans="2:13" ht="15" customHeight="1">
      <c r="B90" s="24"/>
      <c r="C90" s="24"/>
      <c r="D90" s="24"/>
      <c r="E90" s="24"/>
      <c r="F90" s="24"/>
      <c r="G90" s="24"/>
      <c r="H90" s="24"/>
      <c r="I90" s="24"/>
      <c r="L90" s="146"/>
    </row>
    <row r="91" spans="2:13" ht="15" customHeight="1">
      <c r="B91" s="53" t="s">
        <v>45</v>
      </c>
      <c r="C91" s="98"/>
      <c r="D91" s="87"/>
      <c r="E91" s="100"/>
      <c r="F91" s="100"/>
      <c r="G91" s="100"/>
      <c r="H91" s="100"/>
      <c r="I91" s="24"/>
      <c r="J91" s="24"/>
      <c r="K91" s="24"/>
      <c r="L91" s="140"/>
    </row>
    <row r="92" spans="2:13" ht="15" customHeight="1">
      <c r="B92" s="58" t="s">
        <v>48</v>
      </c>
      <c r="C92" s="56"/>
      <c r="D92" s="76"/>
      <c r="E92" s="70">
        <v>44000</v>
      </c>
      <c r="F92" s="61">
        <f>Model!R25+Model!K24</f>
        <v>45000</v>
      </c>
      <c r="G92" s="61">
        <f>Model!S25+Model!L24</f>
        <v>45000</v>
      </c>
      <c r="H92" s="61">
        <f>Model!T25+Model!M24</f>
        <v>45000</v>
      </c>
      <c r="I92" s="24"/>
      <c r="J92" s="134">
        <f>SUM(Model!S25:U25)</f>
        <v>135000</v>
      </c>
      <c r="K92" s="135">
        <f>SUM(F92:H92)</f>
        <v>135000</v>
      </c>
      <c r="L92" s="142">
        <f t="array" ref="L92">IF(SUM(ISBLANK(Model!S25:U25)*1)&gt;0,0,IF(J92=K92,1,0))</f>
        <v>1</v>
      </c>
    </row>
    <row r="93" spans="2:13" ht="15" customHeight="1">
      <c r="B93" s="58" t="s">
        <v>49</v>
      </c>
      <c r="C93" s="56"/>
      <c r="D93" s="76"/>
      <c r="E93" s="70">
        <v>5000</v>
      </c>
      <c r="F93" s="96">
        <f>Model!R26+Model!K7+Model!K25</f>
        <v>11000</v>
      </c>
      <c r="G93" s="96">
        <f>Model!S26+Model!L7+Model!L25</f>
        <v>19000</v>
      </c>
      <c r="H93" s="96">
        <f>Model!T26+Model!M7+Model!M25</f>
        <v>28000</v>
      </c>
      <c r="I93" s="24"/>
      <c r="J93" s="125">
        <f>SUM(Model!S26:U26)</f>
        <v>58000</v>
      </c>
      <c r="K93" s="123">
        <f t="shared" ref="K93" si="5">SUM(F93:H93)</f>
        <v>58000</v>
      </c>
      <c r="L93" s="143" cm="1">
        <f t="array" ref="L93">IF(SUM(ISBLANK(Model!S26:U26)*1)&gt;0,0,IF(J93=K93,1,0))</f>
        <v>1</v>
      </c>
    </row>
    <row r="94" spans="2:13" ht="15" customHeight="1">
      <c r="B94" s="67" t="s">
        <v>51</v>
      </c>
      <c r="C94" s="98"/>
      <c r="D94" s="81"/>
      <c r="E94" s="99">
        <f>SUM(Model!R25:R26)</f>
        <v>49000</v>
      </c>
      <c r="F94" s="99">
        <f>SUM(Model!S25:S26)</f>
        <v>56000</v>
      </c>
      <c r="G94" s="99">
        <f>SUM(Model!T25:T26)</f>
        <v>64000</v>
      </c>
      <c r="H94" s="99">
        <f>SUM(Model!U25:U26)</f>
        <v>73000</v>
      </c>
      <c r="I94" s="24"/>
      <c r="J94" s="126">
        <f>SUM(Model!R27:U27)</f>
        <v>242000</v>
      </c>
      <c r="K94" s="124">
        <f>SUM(E94:H94)</f>
        <v>242000</v>
      </c>
      <c r="L94" s="144" cm="1">
        <f t="array" ref="L94">IF(SUM(ISBLANK(Model!R27:U27)*1)&gt;0,0,IF(J94=K94,1,0))</f>
        <v>1</v>
      </c>
      <c r="M94" s="24"/>
    </row>
    <row r="95" spans="2:13" ht="15" customHeight="1">
      <c r="B95" s="95"/>
      <c r="C95" s="98"/>
      <c r="D95" s="87"/>
      <c r="E95" s="100"/>
      <c r="F95" s="100"/>
      <c r="G95" s="100"/>
      <c r="H95" s="100"/>
      <c r="I95" s="24"/>
      <c r="L95" s="146"/>
    </row>
    <row r="96" spans="2:13" ht="15" customHeight="1" thickBot="1">
      <c r="B96" s="67" t="s">
        <v>53</v>
      </c>
      <c r="C96" s="98"/>
      <c r="D96" s="81"/>
      <c r="E96" s="82">
        <f>Model!R27+Model!R20</f>
        <v>78000</v>
      </c>
      <c r="F96" s="82">
        <f>Model!S27+Model!S20</f>
        <v>84000</v>
      </c>
      <c r="G96" s="82">
        <f>Model!T27+Model!T20</f>
        <v>90000</v>
      </c>
      <c r="H96" s="82">
        <f>Model!U27+Model!U20</f>
        <v>98000</v>
      </c>
      <c r="I96" s="24"/>
      <c r="J96" s="133">
        <f>SUM(Model!R29:U29)</f>
        <v>350000</v>
      </c>
      <c r="K96" s="132">
        <f>SUM(E96:H96)</f>
        <v>350000</v>
      </c>
      <c r="L96" s="138" cm="1">
        <f t="array" ref="L96">IF(SUM(ISBLANK(Model!R29:U29)*1)&gt;0,0,IF(J96=K96,1,0))</f>
        <v>1</v>
      </c>
    </row>
    <row r="97" spans="2:12" ht="15" customHeight="1">
      <c r="B97" s="108"/>
      <c r="C97" s="109"/>
      <c r="D97" s="108"/>
      <c r="E97" s="110"/>
      <c r="F97" s="110"/>
      <c r="G97" s="110"/>
      <c r="H97" s="110"/>
      <c r="I97" s="24"/>
      <c r="L97" s="146"/>
    </row>
    <row r="98" spans="2:12" ht="15" customHeight="1">
      <c r="B98" s="24"/>
      <c r="C98" s="24"/>
      <c r="D98" s="24"/>
      <c r="E98" s="24"/>
      <c r="F98" s="24"/>
      <c r="G98" s="24"/>
      <c r="H98" s="24"/>
      <c r="I98" s="24"/>
      <c r="L98" s="146"/>
    </row>
    <row r="99" spans="2:12" ht="15" customHeight="1">
      <c r="B99" s="112" t="s">
        <v>57</v>
      </c>
      <c r="D99" s="113"/>
      <c r="E99" s="114">
        <f>Model!R11-Model!R29</f>
        <v>0</v>
      </c>
      <c r="F99" s="114">
        <f>Model!S11-Model!S29</f>
        <v>0</v>
      </c>
      <c r="G99" s="114">
        <f>Model!T11-Model!T29</f>
        <v>0</v>
      </c>
      <c r="H99" s="114">
        <f>Model!U11-Model!U29</f>
        <v>0</v>
      </c>
      <c r="J99" s="133">
        <f>SUM(Model!R32:U32)</f>
        <v>0</v>
      </c>
      <c r="K99" s="132">
        <f>SUM(E99:H99)</f>
        <v>0</v>
      </c>
      <c r="L99" s="138" cm="1">
        <f t="array" ref="L99">IF(SUM(ISBLANK(Model!R32:U32)*1)&gt;0,0,IF(J99=K99,1,0))</f>
        <v>1</v>
      </c>
    </row>
    <row r="100" spans="2:12" ht="15" customHeight="1">
      <c r="B100" s="24"/>
      <c r="C100" s="24"/>
      <c r="D100" s="24"/>
      <c r="E100" s="24"/>
      <c r="F100" s="24"/>
      <c r="G100" s="24"/>
      <c r="H100" s="24"/>
    </row>
    <row r="101" spans="2:12" ht="15" customHeight="1">
      <c r="B101" s="115"/>
      <c r="C101" s="115"/>
      <c r="D101" s="115"/>
      <c r="E101" s="115"/>
      <c r="F101" s="115"/>
      <c r="G101" s="115"/>
      <c r="H101" s="115" t="s">
        <v>5</v>
      </c>
      <c r="I101" s="27" t="s">
        <v>5</v>
      </c>
      <c r="J101" s="115" t="s">
        <v>5</v>
      </c>
      <c r="K101" s="115" t="s">
        <v>5</v>
      </c>
      <c r="L101" s="115" t="s">
        <v>5</v>
      </c>
    </row>
    <row r="102" spans="2:12" ht="15" customHeight="1">
      <c r="J102" s="27"/>
      <c r="K102" s="27"/>
      <c r="L102" s="27"/>
    </row>
  </sheetData>
  <conditionalFormatting sqref="E99:H99">
    <cfRule type="expression" dxfId="0" priority="1">
      <formula>E99&lt;&gt;0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fitToWidth="0" fitToHeight="0" orientation="portrait" r:id="rId1"/>
  <headerFooter>
    <oddFooter>&amp;L&amp;"Open Sans,Bold"&amp;10&amp;K002060Compact 3-Statement Model&amp;C&amp;"Open Sans,Bold"&amp;10&amp;K002060Page &amp;P of &amp;N&amp;R&amp;"Open Sans,Bold"&amp;K002060&amp;G</oddFooter>
  </headerFooter>
  <rowBreaks count="1" manualBreakCount="1">
    <brk id="2" max="15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Cover</vt:lpstr>
      <vt:lpstr>Model</vt:lpstr>
      <vt:lpstr>Cover!Print_Area</vt:lpstr>
      <vt:lpstr>Model!Print_Area</vt:lpstr>
      <vt:lpstr>'Model-R'!Print_Area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Shravani Goud Dindu</cp:lastModifiedBy>
  <cp:revision/>
  <dcterms:created xsi:type="dcterms:W3CDTF">1899-12-30T05:00:00Z</dcterms:created>
  <dcterms:modified xsi:type="dcterms:W3CDTF">2025-09-25T05:45:57Z</dcterms:modified>
  <cp:category/>
  <cp:contentStatus/>
  <dc:language/>
  <cp:version/>
</cp:coreProperties>
</file>