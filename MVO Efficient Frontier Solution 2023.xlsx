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donaldson/Desktop/"/>
    </mc:Choice>
  </mc:AlternateContent>
  <xr:revisionPtr revIDLastSave="0" documentId="8_{9AD0B3DF-E4E1-1148-B6A9-BE5EC30D0870}" xr6:coauthVersionLast="47" xr6:coauthVersionMax="47" xr10:uidLastSave="{00000000-0000-0000-0000-000000000000}"/>
  <bookViews>
    <workbookView xWindow="0" yWindow="760" windowWidth="33600" windowHeight="19980" activeTab="2" xr2:uid="{2F7C162F-8E33-454F-8BEE-8EC79DABE4B8}"/>
  </bookViews>
  <sheets>
    <sheet name="Input Data" sheetId="1" r:id="rId1"/>
    <sheet name="MVO - Efficient Frontier" sheetId="2" r:id="rId2"/>
    <sheet name="MVO Graph" sheetId="3" r:id="rId3"/>
  </sheets>
  <definedNames>
    <definedName name="Covar">'MVO - Efficient Frontier'!$B$9:$K$18</definedName>
    <definedName name="Returns">'MVO - Efficient Frontier'!$B$3:$K$3</definedName>
    <definedName name="solver_adj" localSheetId="1" hidden="1">'MVO - Efficient Frontier'!$B$5:$K$5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itr" localSheetId="1" hidden="1">2147483647</definedName>
    <definedName name="solver_lhs1" localSheetId="1" hidden="1">'MVO - Efficient Frontier'!$L$3</definedName>
    <definedName name="solver_lhs2" localSheetId="1" hidden="1">'MVO - Efficient Frontier'!$M$5</definedName>
    <definedName name="solver_lhs3" localSheetId="1" hidden="1">'MVO - Efficient Frontier'!$B$5:$K$5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3</definedName>
    <definedName name="solver_opt" localSheetId="1" hidden="1">'MVO - Efficient Frontier'!$A$23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el2" localSheetId="1" hidden="1">2</definedName>
    <definedName name="solver_rel3" localSheetId="1" hidden="1">3</definedName>
    <definedName name="solver_rhs1" localSheetId="1" hidden="1">'MVO - Efficient Frontier'!$A$21</definedName>
    <definedName name="solver_rhs2" localSheetId="1" hidden="1">1</definedName>
    <definedName name="solver_rhs3" localSheetId="1" hidden="1">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2</definedName>
    <definedName name="Weights">'MVO - Efficient Frontier'!$B$5:$K$5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" i="1" l="1"/>
  <c r="O26" i="1"/>
  <c r="P26" i="1"/>
  <c r="Q26" i="1"/>
  <c r="R26" i="1"/>
  <c r="S26" i="1"/>
  <c r="T26" i="1"/>
  <c r="U26" i="1"/>
  <c r="V26" i="1"/>
  <c r="W26" i="1"/>
  <c r="N27" i="1"/>
  <c r="O27" i="1"/>
  <c r="P27" i="1"/>
  <c r="Q27" i="1"/>
  <c r="R27" i="1"/>
  <c r="S27" i="1"/>
  <c r="T27" i="1"/>
  <c r="U27" i="1"/>
  <c r="V27" i="1"/>
  <c r="W27" i="1"/>
  <c r="N28" i="1"/>
  <c r="O28" i="1"/>
  <c r="P28" i="1"/>
  <c r="Q28" i="1"/>
  <c r="R28" i="1"/>
  <c r="S28" i="1"/>
  <c r="T28" i="1"/>
  <c r="U28" i="1"/>
  <c r="V28" i="1"/>
  <c r="W28" i="1"/>
  <c r="N29" i="1"/>
  <c r="O29" i="1"/>
  <c r="P29" i="1"/>
  <c r="Q29" i="1"/>
  <c r="R29" i="1"/>
  <c r="S29" i="1"/>
  <c r="T29" i="1"/>
  <c r="U29" i="1"/>
  <c r="V29" i="1"/>
  <c r="W29" i="1"/>
  <c r="N30" i="1"/>
  <c r="O30" i="1"/>
  <c r="P30" i="1"/>
  <c r="Q30" i="1"/>
  <c r="R30" i="1"/>
  <c r="S30" i="1"/>
  <c r="T30" i="1"/>
  <c r="U30" i="1"/>
  <c r="V30" i="1"/>
  <c r="W30" i="1"/>
  <c r="N31" i="1"/>
  <c r="O31" i="1"/>
  <c r="P31" i="1"/>
  <c r="Q31" i="1"/>
  <c r="R31" i="1"/>
  <c r="S31" i="1"/>
  <c r="T31" i="1"/>
  <c r="U31" i="1"/>
  <c r="V31" i="1"/>
  <c r="W31" i="1"/>
  <c r="N32" i="1"/>
  <c r="O32" i="1"/>
  <c r="P32" i="1"/>
  <c r="Q32" i="1"/>
  <c r="R32" i="1"/>
  <c r="S32" i="1"/>
  <c r="T32" i="1"/>
  <c r="U32" i="1"/>
  <c r="V32" i="1"/>
  <c r="W32" i="1"/>
  <c r="N33" i="1"/>
  <c r="O33" i="1"/>
  <c r="P33" i="1"/>
  <c r="Q33" i="1"/>
  <c r="R33" i="1"/>
  <c r="S33" i="1"/>
  <c r="T33" i="1"/>
  <c r="U33" i="1"/>
  <c r="V33" i="1"/>
  <c r="W33" i="1"/>
  <c r="N34" i="1"/>
  <c r="O34" i="1"/>
  <c r="P34" i="1"/>
  <c r="Q34" i="1"/>
  <c r="R34" i="1"/>
  <c r="S34" i="1"/>
  <c r="T34" i="1"/>
  <c r="U34" i="1"/>
  <c r="V34" i="1"/>
  <c r="W34" i="1"/>
  <c r="N35" i="1"/>
  <c r="O35" i="1"/>
  <c r="P35" i="1"/>
  <c r="Q35" i="1"/>
  <c r="R35" i="1"/>
  <c r="S35" i="1"/>
  <c r="T35" i="1"/>
  <c r="U35" i="1"/>
  <c r="V35" i="1"/>
  <c r="W35" i="1"/>
  <c r="N36" i="1"/>
  <c r="O36" i="1"/>
  <c r="P36" i="1"/>
  <c r="Q36" i="1"/>
  <c r="R36" i="1"/>
  <c r="S36" i="1"/>
  <c r="T36" i="1"/>
  <c r="U36" i="1"/>
  <c r="V36" i="1"/>
  <c r="W36" i="1"/>
  <c r="N37" i="1"/>
  <c r="O37" i="1"/>
  <c r="P37" i="1"/>
  <c r="Q37" i="1"/>
  <c r="R37" i="1"/>
  <c r="S37" i="1"/>
  <c r="T37" i="1"/>
  <c r="U37" i="1"/>
  <c r="V37" i="1"/>
  <c r="W37" i="1"/>
  <c r="N38" i="1"/>
  <c r="O38" i="1"/>
  <c r="P38" i="1"/>
  <c r="Q38" i="1"/>
  <c r="R38" i="1"/>
  <c r="S38" i="1"/>
  <c r="T38" i="1"/>
  <c r="U38" i="1"/>
  <c r="V38" i="1"/>
  <c r="W38" i="1"/>
  <c r="N39" i="1"/>
  <c r="O39" i="1"/>
  <c r="P39" i="1"/>
  <c r="Q39" i="1"/>
  <c r="R39" i="1"/>
  <c r="S39" i="1"/>
  <c r="T39" i="1"/>
  <c r="U39" i="1"/>
  <c r="V39" i="1"/>
  <c r="W39" i="1"/>
  <c r="N40" i="1"/>
  <c r="O40" i="1"/>
  <c r="P40" i="1"/>
  <c r="Q40" i="1"/>
  <c r="R40" i="1"/>
  <c r="S40" i="1"/>
  <c r="T40" i="1"/>
  <c r="U40" i="1"/>
  <c r="V40" i="1"/>
  <c r="W40" i="1"/>
  <c r="N41" i="1"/>
  <c r="O41" i="1"/>
  <c r="P41" i="1"/>
  <c r="Q41" i="1"/>
  <c r="R41" i="1"/>
  <c r="S41" i="1"/>
  <c r="T41" i="1"/>
  <c r="U41" i="1"/>
  <c r="V41" i="1"/>
  <c r="W41" i="1"/>
  <c r="N42" i="1"/>
  <c r="O42" i="1"/>
  <c r="P42" i="1"/>
  <c r="Q42" i="1"/>
  <c r="R42" i="1"/>
  <c r="S42" i="1"/>
  <c r="T42" i="1"/>
  <c r="U42" i="1"/>
  <c r="V42" i="1"/>
  <c r="W42" i="1"/>
  <c r="N43" i="1"/>
  <c r="O43" i="1"/>
  <c r="P43" i="1"/>
  <c r="Q43" i="1"/>
  <c r="R43" i="1"/>
  <c r="S43" i="1"/>
  <c r="T43" i="1"/>
  <c r="U43" i="1"/>
  <c r="V43" i="1"/>
  <c r="W43" i="1"/>
  <c r="N44" i="1"/>
  <c r="O44" i="1"/>
  <c r="P44" i="1"/>
  <c r="Q44" i="1"/>
  <c r="R44" i="1"/>
  <c r="S44" i="1"/>
  <c r="T44" i="1"/>
  <c r="U44" i="1"/>
  <c r="V44" i="1"/>
  <c r="W44" i="1"/>
  <c r="N45" i="1"/>
  <c r="O45" i="1"/>
  <c r="P45" i="1"/>
  <c r="Q45" i="1"/>
  <c r="R45" i="1"/>
  <c r="S45" i="1"/>
  <c r="T45" i="1"/>
  <c r="U45" i="1"/>
  <c r="V45" i="1"/>
  <c r="W45" i="1"/>
  <c r="N46" i="1"/>
  <c r="O46" i="1"/>
  <c r="P46" i="1"/>
  <c r="Q46" i="1"/>
  <c r="R46" i="1"/>
  <c r="S46" i="1"/>
  <c r="T46" i="1"/>
  <c r="U46" i="1"/>
  <c r="V46" i="1"/>
  <c r="W46" i="1"/>
  <c r="N47" i="1"/>
  <c r="O47" i="1"/>
  <c r="P47" i="1"/>
  <c r="Q47" i="1"/>
  <c r="R47" i="1"/>
  <c r="S47" i="1"/>
  <c r="T47" i="1"/>
  <c r="U47" i="1"/>
  <c r="V47" i="1"/>
  <c r="W47" i="1"/>
  <c r="N48" i="1"/>
  <c r="O48" i="1"/>
  <c r="P48" i="1"/>
  <c r="Q48" i="1"/>
  <c r="R48" i="1"/>
  <c r="S48" i="1"/>
  <c r="T48" i="1"/>
  <c r="U48" i="1"/>
  <c r="V48" i="1"/>
  <c r="W48" i="1"/>
  <c r="N49" i="1"/>
  <c r="O49" i="1"/>
  <c r="P49" i="1"/>
  <c r="Q49" i="1"/>
  <c r="R49" i="1"/>
  <c r="S49" i="1"/>
  <c r="T49" i="1"/>
  <c r="U49" i="1"/>
  <c r="V49" i="1"/>
  <c r="W49" i="1"/>
  <c r="N50" i="1"/>
  <c r="O50" i="1"/>
  <c r="P50" i="1"/>
  <c r="Q50" i="1"/>
  <c r="R50" i="1"/>
  <c r="S50" i="1"/>
  <c r="T50" i="1"/>
  <c r="U50" i="1"/>
  <c r="V50" i="1"/>
  <c r="W50" i="1"/>
  <c r="N51" i="1"/>
  <c r="O51" i="1"/>
  <c r="P51" i="1"/>
  <c r="Q51" i="1"/>
  <c r="R51" i="1"/>
  <c r="S51" i="1"/>
  <c r="T51" i="1"/>
  <c r="U51" i="1"/>
  <c r="V51" i="1"/>
  <c r="W51" i="1"/>
  <c r="N52" i="1"/>
  <c r="O52" i="1"/>
  <c r="P52" i="1"/>
  <c r="Q52" i="1"/>
  <c r="R52" i="1"/>
  <c r="S52" i="1"/>
  <c r="T52" i="1"/>
  <c r="U52" i="1"/>
  <c r="V52" i="1"/>
  <c r="W52" i="1"/>
  <c r="N53" i="1"/>
  <c r="O53" i="1"/>
  <c r="P53" i="1"/>
  <c r="Q53" i="1"/>
  <c r="R53" i="1"/>
  <c r="S53" i="1"/>
  <c r="T53" i="1"/>
  <c r="U53" i="1"/>
  <c r="V53" i="1"/>
  <c r="W53" i="1"/>
  <c r="N54" i="1"/>
  <c r="O54" i="1"/>
  <c r="P54" i="1"/>
  <c r="Q54" i="1"/>
  <c r="R54" i="1"/>
  <c r="S54" i="1"/>
  <c r="T54" i="1"/>
  <c r="U54" i="1"/>
  <c r="V54" i="1"/>
  <c r="W54" i="1"/>
  <c r="N55" i="1"/>
  <c r="O55" i="1"/>
  <c r="P55" i="1"/>
  <c r="Q55" i="1"/>
  <c r="R55" i="1"/>
  <c r="S55" i="1"/>
  <c r="T55" i="1"/>
  <c r="U55" i="1"/>
  <c r="V55" i="1"/>
  <c r="W55" i="1"/>
  <c r="N56" i="1"/>
  <c r="O56" i="1"/>
  <c r="P56" i="1"/>
  <c r="Q56" i="1"/>
  <c r="R56" i="1"/>
  <c r="S56" i="1"/>
  <c r="T56" i="1"/>
  <c r="U56" i="1"/>
  <c r="V56" i="1"/>
  <c r="W56" i="1"/>
  <c r="N57" i="1"/>
  <c r="O57" i="1"/>
  <c r="P57" i="1"/>
  <c r="Q57" i="1"/>
  <c r="R57" i="1"/>
  <c r="S57" i="1"/>
  <c r="T57" i="1"/>
  <c r="U57" i="1"/>
  <c r="V57" i="1"/>
  <c r="W57" i="1"/>
  <c r="N58" i="1"/>
  <c r="O58" i="1"/>
  <c r="P58" i="1"/>
  <c r="Q58" i="1"/>
  <c r="R58" i="1"/>
  <c r="S58" i="1"/>
  <c r="T58" i="1"/>
  <c r="U58" i="1"/>
  <c r="V58" i="1"/>
  <c r="W58" i="1"/>
  <c r="N59" i="1"/>
  <c r="O59" i="1"/>
  <c r="P59" i="1"/>
  <c r="Q59" i="1"/>
  <c r="R59" i="1"/>
  <c r="S59" i="1"/>
  <c r="T59" i="1"/>
  <c r="U59" i="1"/>
  <c r="V59" i="1"/>
  <c r="W59" i="1"/>
  <c r="N60" i="1"/>
  <c r="O60" i="1"/>
  <c r="P60" i="1"/>
  <c r="Q60" i="1"/>
  <c r="R60" i="1"/>
  <c r="S60" i="1"/>
  <c r="T60" i="1"/>
  <c r="U60" i="1"/>
  <c r="V60" i="1"/>
  <c r="W60" i="1"/>
  <c r="N61" i="1"/>
  <c r="O61" i="1"/>
  <c r="P61" i="1"/>
  <c r="Q61" i="1"/>
  <c r="R61" i="1"/>
  <c r="S61" i="1"/>
  <c r="T61" i="1"/>
  <c r="U61" i="1"/>
  <c r="V61" i="1"/>
  <c r="W61" i="1"/>
  <c r="N62" i="1"/>
  <c r="O62" i="1"/>
  <c r="P62" i="1"/>
  <c r="Q62" i="1"/>
  <c r="R62" i="1"/>
  <c r="S62" i="1"/>
  <c r="T62" i="1"/>
  <c r="U62" i="1"/>
  <c r="V62" i="1"/>
  <c r="W62" i="1"/>
  <c r="N63" i="1"/>
  <c r="O63" i="1"/>
  <c r="P63" i="1"/>
  <c r="Q63" i="1"/>
  <c r="R63" i="1"/>
  <c r="S63" i="1"/>
  <c r="T63" i="1"/>
  <c r="U63" i="1"/>
  <c r="V63" i="1"/>
  <c r="W63" i="1"/>
  <c r="N64" i="1"/>
  <c r="O64" i="1"/>
  <c r="P64" i="1"/>
  <c r="Q64" i="1"/>
  <c r="R64" i="1"/>
  <c r="S64" i="1"/>
  <c r="T64" i="1"/>
  <c r="U64" i="1"/>
  <c r="V64" i="1"/>
  <c r="W64" i="1"/>
  <c r="N65" i="1"/>
  <c r="O65" i="1"/>
  <c r="P65" i="1"/>
  <c r="Q65" i="1"/>
  <c r="R65" i="1"/>
  <c r="S65" i="1"/>
  <c r="T65" i="1"/>
  <c r="U65" i="1"/>
  <c r="V65" i="1"/>
  <c r="W65" i="1"/>
  <c r="N66" i="1"/>
  <c r="O66" i="1"/>
  <c r="P66" i="1"/>
  <c r="Q66" i="1"/>
  <c r="R66" i="1"/>
  <c r="S66" i="1"/>
  <c r="T66" i="1"/>
  <c r="U66" i="1"/>
  <c r="V66" i="1"/>
  <c r="W66" i="1"/>
  <c r="N67" i="1"/>
  <c r="O67" i="1"/>
  <c r="P67" i="1"/>
  <c r="Q67" i="1"/>
  <c r="R67" i="1"/>
  <c r="S67" i="1"/>
  <c r="T67" i="1"/>
  <c r="U67" i="1"/>
  <c r="V67" i="1"/>
  <c r="W67" i="1"/>
  <c r="N68" i="1"/>
  <c r="O68" i="1"/>
  <c r="P68" i="1"/>
  <c r="Q68" i="1"/>
  <c r="R68" i="1"/>
  <c r="S68" i="1"/>
  <c r="T68" i="1"/>
  <c r="U68" i="1"/>
  <c r="V68" i="1"/>
  <c r="W68" i="1"/>
  <c r="N69" i="1"/>
  <c r="O69" i="1"/>
  <c r="P69" i="1"/>
  <c r="Q69" i="1"/>
  <c r="R69" i="1"/>
  <c r="S69" i="1"/>
  <c r="T69" i="1"/>
  <c r="U69" i="1"/>
  <c r="V69" i="1"/>
  <c r="W69" i="1"/>
  <c r="N70" i="1"/>
  <c r="O70" i="1"/>
  <c r="P70" i="1"/>
  <c r="Q70" i="1"/>
  <c r="R70" i="1"/>
  <c r="S70" i="1"/>
  <c r="T70" i="1"/>
  <c r="U70" i="1"/>
  <c r="V70" i="1"/>
  <c r="W70" i="1"/>
  <c r="N71" i="1"/>
  <c r="O71" i="1"/>
  <c r="P71" i="1"/>
  <c r="Q71" i="1"/>
  <c r="R71" i="1"/>
  <c r="S71" i="1"/>
  <c r="T71" i="1"/>
  <c r="U71" i="1"/>
  <c r="V71" i="1"/>
  <c r="W71" i="1"/>
  <c r="N72" i="1"/>
  <c r="O72" i="1"/>
  <c r="P72" i="1"/>
  <c r="Q72" i="1"/>
  <c r="R72" i="1"/>
  <c r="S72" i="1"/>
  <c r="T72" i="1"/>
  <c r="U72" i="1"/>
  <c r="V72" i="1"/>
  <c r="W72" i="1"/>
  <c r="N73" i="1"/>
  <c r="O73" i="1"/>
  <c r="P73" i="1"/>
  <c r="Q73" i="1"/>
  <c r="R73" i="1"/>
  <c r="S73" i="1"/>
  <c r="T73" i="1"/>
  <c r="U73" i="1"/>
  <c r="V73" i="1"/>
  <c r="W73" i="1"/>
  <c r="N74" i="1"/>
  <c r="O74" i="1"/>
  <c r="P74" i="1"/>
  <c r="Q74" i="1"/>
  <c r="R74" i="1"/>
  <c r="S74" i="1"/>
  <c r="T74" i="1"/>
  <c r="U74" i="1"/>
  <c r="V74" i="1"/>
  <c r="W74" i="1"/>
  <c r="N75" i="1"/>
  <c r="O75" i="1"/>
  <c r="P75" i="1"/>
  <c r="Q75" i="1"/>
  <c r="R75" i="1"/>
  <c r="S75" i="1"/>
  <c r="T75" i="1"/>
  <c r="U75" i="1"/>
  <c r="V75" i="1"/>
  <c r="W75" i="1"/>
  <c r="N76" i="1"/>
  <c r="O76" i="1"/>
  <c r="P76" i="1"/>
  <c r="Q76" i="1"/>
  <c r="R76" i="1"/>
  <c r="S76" i="1"/>
  <c r="T76" i="1"/>
  <c r="U76" i="1"/>
  <c r="V76" i="1"/>
  <c r="W76" i="1"/>
  <c r="N77" i="1"/>
  <c r="O77" i="1"/>
  <c r="P77" i="1"/>
  <c r="Q77" i="1"/>
  <c r="R77" i="1"/>
  <c r="S77" i="1"/>
  <c r="T77" i="1"/>
  <c r="U77" i="1"/>
  <c r="V77" i="1"/>
  <c r="W77" i="1"/>
  <c r="N78" i="1"/>
  <c r="O78" i="1"/>
  <c r="P78" i="1"/>
  <c r="Q78" i="1"/>
  <c r="R78" i="1"/>
  <c r="S78" i="1"/>
  <c r="T78" i="1"/>
  <c r="U78" i="1"/>
  <c r="V78" i="1"/>
  <c r="W78" i="1"/>
  <c r="N79" i="1"/>
  <c r="O79" i="1"/>
  <c r="P79" i="1"/>
  <c r="Q79" i="1"/>
  <c r="R79" i="1"/>
  <c r="S79" i="1"/>
  <c r="T79" i="1"/>
  <c r="U79" i="1"/>
  <c r="V79" i="1"/>
  <c r="W79" i="1"/>
  <c r="N80" i="1"/>
  <c r="O80" i="1"/>
  <c r="P80" i="1"/>
  <c r="Q80" i="1"/>
  <c r="R80" i="1"/>
  <c r="S80" i="1"/>
  <c r="T80" i="1"/>
  <c r="U80" i="1"/>
  <c r="V80" i="1"/>
  <c r="W80" i="1"/>
  <c r="N81" i="1"/>
  <c r="O81" i="1"/>
  <c r="P81" i="1"/>
  <c r="Q81" i="1"/>
  <c r="R81" i="1"/>
  <c r="S81" i="1"/>
  <c r="T81" i="1"/>
  <c r="U81" i="1"/>
  <c r="V81" i="1"/>
  <c r="W81" i="1"/>
  <c r="N82" i="1"/>
  <c r="O82" i="1"/>
  <c r="P82" i="1"/>
  <c r="Q82" i="1"/>
  <c r="R82" i="1"/>
  <c r="S82" i="1"/>
  <c r="T82" i="1"/>
  <c r="U82" i="1"/>
  <c r="V82" i="1"/>
  <c r="W82" i="1"/>
  <c r="N83" i="1"/>
  <c r="O83" i="1"/>
  <c r="P83" i="1"/>
  <c r="Q83" i="1"/>
  <c r="R83" i="1"/>
  <c r="S83" i="1"/>
  <c r="T83" i="1"/>
  <c r="U83" i="1"/>
  <c r="V83" i="1"/>
  <c r="W83" i="1"/>
  <c r="N84" i="1"/>
  <c r="O84" i="1"/>
  <c r="P84" i="1"/>
  <c r="Q84" i="1"/>
  <c r="R84" i="1"/>
  <c r="S84" i="1"/>
  <c r="T84" i="1"/>
  <c r="U84" i="1"/>
  <c r="V84" i="1"/>
  <c r="W84" i="1"/>
  <c r="N85" i="1"/>
  <c r="O85" i="1"/>
  <c r="P85" i="1"/>
  <c r="Q85" i="1"/>
  <c r="R85" i="1"/>
  <c r="S85" i="1"/>
  <c r="T85" i="1"/>
  <c r="U85" i="1"/>
  <c r="V85" i="1"/>
  <c r="W85" i="1"/>
  <c r="N86" i="1"/>
  <c r="O86" i="1"/>
  <c r="P86" i="1"/>
  <c r="Q86" i="1"/>
  <c r="R86" i="1"/>
  <c r="S86" i="1"/>
  <c r="T86" i="1"/>
  <c r="U86" i="1"/>
  <c r="V86" i="1"/>
  <c r="W86" i="1"/>
  <c r="N87" i="1"/>
  <c r="O87" i="1"/>
  <c r="P87" i="1"/>
  <c r="Q87" i="1"/>
  <c r="R87" i="1"/>
  <c r="S87" i="1"/>
  <c r="T87" i="1"/>
  <c r="U87" i="1"/>
  <c r="V87" i="1"/>
  <c r="W87" i="1"/>
  <c r="N88" i="1"/>
  <c r="O88" i="1"/>
  <c r="P88" i="1"/>
  <c r="Q88" i="1"/>
  <c r="R88" i="1"/>
  <c r="S88" i="1"/>
  <c r="T88" i="1"/>
  <c r="U88" i="1"/>
  <c r="V88" i="1"/>
  <c r="W88" i="1"/>
  <c r="N89" i="1"/>
  <c r="O89" i="1"/>
  <c r="P89" i="1"/>
  <c r="Q89" i="1"/>
  <c r="R89" i="1"/>
  <c r="S89" i="1"/>
  <c r="T89" i="1"/>
  <c r="U89" i="1"/>
  <c r="V89" i="1"/>
  <c r="W89" i="1"/>
  <c r="N90" i="1"/>
  <c r="O90" i="1"/>
  <c r="P90" i="1"/>
  <c r="Q90" i="1"/>
  <c r="R90" i="1"/>
  <c r="S90" i="1"/>
  <c r="T90" i="1"/>
  <c r="U90" i="1"/>
  <c r="V90" i="1"/>
  <c r="W90" i="1"/>
  <c r="N91" i="1"/>
  <c r="O91" i="1"/>
  <c r="P91" i="1"/>
  <c r="Q91" i="1"/>
  <c r="R91" i="1"/>
  <c r="S91" i="1"/>
  <c r="T91" i="1"/>
  <c r="U91" i="1"/>
  <c r="V91" i="1"/>
  <c r="W91" i="1"/>
  <c r="N92" i="1"/>
  <c r="O92" i="1"/>
  <c r="P92" i="1"/>
  <c r="Q92" i="1"/>
  <c r="R92" i="1"/>
  <c r="S92" i="1"/>
  <c r="T92" i="1"/>
  <c r="U92" i="1"/>
  <c r="V92" i="1"/>
  <c r="W92" i="1"/>
  <c r="N93" i="1"/>
  <c r="O93" i="1"/>
  <c r="P93" i="1"/>
  <c r="Q93" i="1"/>
  <c r="R93" i="1"/>
  <c r="S93" i="1"/>
  <c r="T93" i="1"/>
  <c r="U93" i="1"/>
  <c r="V93" i="1"/>
  <c r="W93" i="1"/>
  <c r="N94" i="1"/>
  <c r="O94" i="1"/>
  <c r="P94" i="1"/>
  <c r="Q94" i="1"/>
  <c r="R94" i="1"/>
  <c r="S94" i="1"/>
  <c r="T94" i="1"/>
  <c r="U94" i="1"/>
  <c r="V94" i="1"/>
  <c r="W94" i="1"/>
  <c r="N95" i="1"/>
  <c r="O95" i="1"/>
  <c r="P95" i="1"/>
  <c r="Q95" i="1"/>
  <c r="R95" i="1"/>
  <c r="S95" i="1"/>
  <c r="T95" i="1"/>
  <c r="U95" i="1"/>
  <c r="V95" i="1"/>
  <c r="W95" i="1"/>
  <c r="N96" i="1"/>
  <c r="O96" i="1"/>
  <c r="P96" i="1"/>
  <c r="Q96" i="1"/>
  <c r="R96" i="1"/>
  <c r="S96" i="1"/>
  <c r="T96" i="1"/>
  <c r="U96" i="1"/>
  <c r="V96" i="1"/>
  <c r="W96" i="1"/>
  <c r="N97" i="1"/>
  <c r="O97" i="1"/>
  <c r="P97" i="1"/>
  <c r="Q97" i="1"/>
  <c r="R97" i="1"/>
  <c r="S97" i="1"/>
  <c r="T97" i="1"/>
  <c r="U97" i="1"/>
  <c r="V97" i="1"/>
  <c r="W97" i="1"/>
  <c r="N98" i="1"/>
  <c r="O98" i="1"/>
  <c r="P98" i="1"/>
  <c r="Q98" i="1"/>
  <c r="R98" i="1"/>
  <c r="S98" i="1"/>
  <c r="T98" i="1"/>
  <c r="U98" i="1"/>
  <c r="V98" i="1"/>
  <c r="W98" i="1"/>
  <c r="N99" i="1"/>
  <c r="O99" i="1"/>
  <c r="P99" i="1"/>
  <c r="Q99" i="1"/>
  <c r="R99" i="1"/>
  <c r="S99" i="1"/>
  <c r="T99" i="1"/>
  <c r="U99" i="1"/>
  <c r="V99" i="1"/>
  <c r="W99" i="1"/>
  <c r="N100" i="1"/>
  <c r="O100" i="1"/>
  <c r="P100" i="1"/>
  <c r="Q100" i="1"/>
  <c r="R100" i="1"/>
  <c r="S100" i="1"/>
  <c r="T100" i="1"/>
  <c r="U100" i="1"/>
  <c r="V100" i="1"/>
  <c r="W100" i="1"/>
  <c r="N101" i="1"/>
  <c r="O101" i="1"/>
  <c r="P101" i="1"/>
  <c r="Q101" i="1"/>
  <c r="R101" i="1"/>
  <c r="S101" i="1"/>
  <c r="T101" i="1"/>
  <c r="U101" i="1"/>
  <c r="V101" i="1"/>
  <c r="W101" i="1"/>
  <c r="N102" i="1"/>
  <c r="O102" i="1"/>
  <c r="P102" i="1"/>
  <c r="Q102" i="1"/>
  <c r="R102" i="1"/>
  <c r="S102" i="1"/>
  <c r="T102" i="1"/>
  <c r="U102" i="1"/>
  <c r="V102" i="1"/>
  <c r="W102" i="1"/>
  <c r="N103" i="1"/>
  <c r="O103" i="1"/>
  <c r="P103" i="1"/>
  <c r="Q103" i="1"/>
  <c r="R103" i="1"/>
  <c r="S103" i="1"/>
  <c r="T103" i="1"/>
  <c r="U103" i="1"/>
  <c r="V103" i="1"/>
  <c r="W103" i="1"/>
  <c r="N104" i="1"/>
  <c r="O104" i="1"/>
  <c r="P104" i="1"/>
  <c r="Q104" i="1"/>
  <c r="R104" i="1"/>
  <c r="S104" i="1"/>
  <c r="T104" i="1"/>
  <c r="U104" i="1"/>
  <c r="V104" i="1"/>
  <c r="W104" i="1"/>
  <c r="N105" i="1"/>
  <c r="O105" i="1"/>
  <c r="P105" i="1"/>
  <c r="Q105" i="1"/>
  <c r="R105" i="1"/>
  <c r="S105" i="1"/>
  <c r="T105" i="1"/>
  <c r="U105" i="1"/>
  <c r="V105" i="1"/>
  <c r="W105" i="1"/>
  <c r="N106" i="1"/>
  <c r="O106" i="1"/>
  <c r="P106" i="1"/>
  <c r="Q106" i="1"/>
  <c r="R106" i="1"/>
  <c r="S106" i="1"/>
  <c r="T106" i="1"/>
  <c r="U106" i="1"/>
  <c r="V106" i="1"/>
  <c r="W106" i="1"/>
  <c r="N107" i="1"/>
  <c r="O107" i="1"/>
  <c r="P107" i="1"/>
  <c r="Q107" i="1"/>
  <c r="R107" i="1"/>
  <c r="S107" i="1"/>
  <c r="T107" i="1"/>
  <c r="U107" i="1"/>
  <c r="V107" i="1"/>
  <c r="W107" i="1"/>
  <c r="N108" i="1"/>
  <c r="O108" i="1"/>
  <c r="P108" i="1"/>
  <c r="Q108" i="1"/>
  <c r="R108" i="1"/>
  <c r="S108" i="1"/>
  <c r="T108" i="1"/>
  <c r="U108" i="1"/>
  <c r="V108" i="1"/>
  <c r="W108" i="1"/>
  <c r="N109" i="1"/>
  <c r="O109" i="1"/>
  <c r="P109" i="1"/>
  <c r="Q109" i="1"/>
  <c r="R109" i="1"/>
  <c r="S109" i="1"/>
  <c r="T109" i="1"/>
  <c r="U109" i="1"/>
  <c r="V109" i="1"/>
  <c r="W109" i="1"/>
  <c r="N110" i="1"/>
  <c r="O110" i="1"/>
  <c r="P110" i="1"/>
  <c r="Q110" i="1"/>
  <c r="R110" i="1"/>
  <c r="S110" i="1"/>
  <c r="T110" i="1"/>
  <c r="U110" i="1"/>
  <c r="V110" i="1"/>
  <c r="W110" i="1"/>
  <c r="N111" i="1"/>
  <c r="O111" i="1"/>
  <c r="P111" i="1"/>
  <c r="Q111" i="1"/>
  <c r="R111" i="1"/>
  <c r="S111" i="1"/>
  <c r="T111" i="1"/>
  <c r="U111" i="1"/>
  <c r="V111" i="1"/>
  <c r="W111" i="1"/>
  <c r="N112" i="1"/>
  <c r="O112" i="1"/>
  <c r="P112" i="1"/>
  <c r="Q112" i="1"/>
  <c r="R112" i="1"/>
  <c r="S112" i="1"/>
  <c r="T112" i="1"/>
  <c r="U112" i="1"/>
  <c r="V112" i="1"/>
  <c r="W112" i="1"/>
  <c r="N113" i="1"/>
  <c r="O113" i="1"/>
  <c r="P113" i="1"/>
  <c r="Q113" i="1"/>
  <c r="R113" i="1"/>
  <c r="S113" i="1"/>
  <c r="T113" i="1"/>
  <c r="U113" i="1"/>
  <c r="V113" i="1"/>
  <c r="W113" i="1"/>
  <c r="N114" i="1"/>
  <c r="O114" i="1"/>
  <c r="P114" i="1"/>
  <c r="Q114" i="1"/>
  <c r="R114" i="1"/>
  <c r="S114" i="1"/>
  <c r="T114" i="1"/>
  <c r="U114" i="1"/>
  <c r="V114" i="1"/>
  <c r="W114" i="1"/>
  <c r="N115" i="1"/>
  <c r="O115" i="1"/>
  <c r="P115" i="1"/>
  <c r="Q115" i="1"/>
  <c r="R115" i="1"/>
  <c r="S115" i="1"/>
  <c r="T115" i="1"/>
  <c r="U115" i="1"/>
  <c r="V115" i="1"/>
  <c r="W115" i="1"/>
  <c r="N116" i="1"/>
  <c r="O116" i="1"/>
  <c r="P116" i="1"/>
  <c r="Q116" i="1"/>
  <c r="R116" i="1"/>
  <c r="S116" i="1"/>
  <c r="T116" i="1"/>
  <c r="U116" i="1"/>
  <c r="V116" i="1"/>
  <c r="W116" i="1"/>
  <c r="N117" i="1"/>
  <c r="O117" i="1"/>
  <c r="P117" i="1"/>
  <c r="Q117" i="1"/>
  <c r="R117" i="1"/>
  <c r="S117" i="1"/>
  <c r="T117" i="1"/>
  <c r="U117" i="1"/>
  <c r="V117" i="1"/>
  <c r="W117" i="1"/>
  <c r="N118" i="1"/>
  <c r="O118" i="1"/>
  <c r="P118" i="1"/>
  <c r="Q118" i="1"/>
  <c r="R118" i="1"/>
  <c r="S118" i="1"/>
  <c r="T118" i="1"/>
  <c r="U118" i="1"/>
  <c r="V118" i="1"/>
  <c r="W118" i="1"/>
  <c r="N119" i="1"/>
  <c r="O119" i="1"/>
  <c r="P119" i="1"/>
  <c r="Q119" i="1"/>
  <c r="R119" i="1"/>
  <c r="S119" i="1"/>
  <c r="T119" i="1"/>
  <c r="U119" i="1"/>
  <c r="V119" i="1"/>
  <c r="W119" i="1"/>
  <c r="N120" i="1"/>
  <c r="O120" i="1"/>
  <c r="P120" i="1"/>
  <c r="Q120" i="1"/>
  <c r="R120" i="1"/>
  <c r="S120" i="1"/>
  <c r="T120" i="1"/>
  <c r="U120" i="1"/>
  <c r="V120" i="1"/>
  <c r="W120" i="1"/>
  <c r="N121" i="1"/>
  <c r="O121" i="1"/>
  <c r="P121" i="1"/>
  <c r="Q121" i="1"/>
  <c r="R121" i="1"/>
  <c r="S121" i="1"/>
  <c r="T121" i="1"/>
  <c r="U121" i="1"/>
  <c r="V121" i="1"/>
  <c r="W121" i="1"/>
  <c r="N122" i="1"/>
  <c r="O122" i="1"/>
  <c r="P122" i="1"/>
  <c r="Q122" i="1"/>
  <c r="R122" i="1"/>
  <c r="S122" i="1"/>
  <c r="T122" i="1"/>
  <c r="U122" i="1"/>
  <c r="V122" i="1"/>
  <c r="W122" i="1"/>
  <c r="N123" i="1"/>
  <c r="O123" i="1"/>
  <c r="P123" i="1"/>
  <c r="Q123" i="1"/>
  <c r="R123" i="1"/>
  <c r="S123" i="1"/>
  <c r="T123" i="1"/>
  <c r="U123" i="1"/>
  <c r="V123" i="1"/>
  <c r="W123" i="1"/>
  <c r="N124" i="1"/>
  <c r="O124" i="1"/>
  <c r="P124" i="1"/>
  <c r="Q124" i="1"/>
  <c r="R124" i="1"/>
  <c r="S124" i="1"/>
  <c r="T124" i="1"/>
  <c r="U124" i="1"/>
  <c r="V124" i="1"/>
  <c r="W124" i="1"/>
  <c r="N125" i="1"/>
  <c r="O125" i="1"/>
  <c r="P125" i="1"/>
  <c r="Q125" i="1"/>
  <c r="R125" i="1"/>
  <c r="S125" i="1"/>
  <c r="T125" i="1"/>
  <c r="U125" i="1"/>
  <c r="V125" i="1"/>
  <c r="W125" i="1"/>
  <c r="N126" i="1"/>
  <c r="O126" i="1"/>
  <c r="P126" i="1"/>
  <c r="Q126" i="1"/>
  <c r="R126" i="1"/>
  <c r="S126" i="1"/>
  <c r="T126" i="1"/>
  <c r="U126" i="1"/>
  <c r="V126" i="1"/>
  <c r="W126" i="1"/>
  <c r="N127" i="1"/>
  <c r="O127" i="1"/>
  <c r="P127" i="1"/>
  <c r="Q127" i="1"/>
  <c r="R127" i="1"/>
  <c r="S127" i="1"/>
  <c r="T127" i="1"/>
  <c r="U127" i="1"/>
  <c r="V127" i="1"/>
  <c r="W127" i="1"/>
  <c r="N128" i="1"/>
  <c r="O128" i="1"/>
  <c r="P128" i="1"/>
  <c r="Q128" i="1"/>
  <c r="R128" i="1"/>
  <c r="S128" i="1"/>
  <c r="T128" i="1"/>
  <c r="U128" i="1"/>
  <c r="V128" i="1"/>
  <c r="W128" i="1"/>
  <c r="N129" i="1"/>
  <c r="O129" i="1"/>
  <c r="P129" i="1"/>
  <c r="Q129" i="1"/>
  <c r="R129" i="1"/>
  <c r="S129" i="1"/>
  <c r="T129" i="1"/>
  <c r="U129" i="1"/>
  <c r="V129" i="1"/>
  <c r="W129" i="1"/>
  <c r="N130" i="1"/>
  <c r="O130" i="1"/>
  <c r="P130" i="1"/>
  <c r="Q130" i="1"/>
  <c r="R130" i="1"/>
  <c r="S130" i="1"/>
  <c r="T130" i="1"/>
  <c r="U130" i="1"/>
  <c r="V130" i="1"/>
  <c r="W130" i="1"/>
  <c r="N131" i="1"/>
  <c r="O131" i="1"/>
  <c r="P131" i="1"/>
  <c r="Q131" i="1"/>
  <c r="R131" i="1"/>
  <c r="S131" i="1"/>
  <c r="T131" i="1"/>
  <c r="U131" i="1"/>
  <c r="V131" i="1"/>
  <c r="W131" i="1"/>
  <c r="N132" i="1"/>
  <c r="O132" i="1"/>
  <c r="P132" i="1"/>
  <c r="Q132" i="1"/>
  <c r="R132" i="1"/>
  <c r="S132" i="1"/>
  <c r="T132" i="1"/>
  <c r="U132" i="1"/>
  <c r="V132" i="1"/>
  <c r="W132" i="1"/>
  <c r="N133" i="1"/>
  <c r="O133" i="1"/>
  <c r="P133" i="1"/>
  <c r="Q133" i="1"/>
  <c r="R133" i="1"/>
  <c r="S133" i="1"/>
  <c r="T133" i="1"/>
  <c r="U133" i="1"/>
  <c r="V133" i="1"/>
  <c r="W133" i="1"/>
  <c r="N134" i="1"/>
  <c r="O134" i="1"/>
  <c r="P134" i="1"/>
  <c r="Q134" i="1"/>
  <c r="R134" i="1"/>
  <c r="S134" i="1"/>
  <c r="T134" i="1"/>
  <c r="U134" i="1"/>
  <c r="V134" i="1"/>
  <c r="W134" i="1"/>
  <c r="N135" i="1"/>
  <c r="O135" i="1"/>
  <c r="P135" i="1"/>
  <c r="Q135" i="1"/>
  <c r="R135" i="1"/>
  <c r="S135" i="1"/>
  <c r="T135" i="1"/>
  <c r="U135" i="1"/>
  <c r="V135" i="1"/>
  <c r="W135" i="1"/>
  <c r="N136" i="1"/>
  <c r="O136" i="1"/>
  <c r="P136" i="1"/>
  <c r="Q136" i="1"/>
  <c r="R136" i="1"/>
  <c r="S136" i="1"/>
  <c r="T136" i="1"/>
  <c r="U136" i="1"/>
  <c r="V136" i="1"/>
  <c r="W136" i="1"/>
  <c r="N137" i="1"/>
  <c r="O137" i="1"/>
  <c r="P137" i="1"/>
  <c r="Q137" i="1"/>
  <c r="R137" i="1"/>
  <c r="S137" i="1"/>
  <c r="T137" i="1"/>
  <c r="U137" i="1"/>
  <c r="V137" i="1"/>
  <c r="W137" i="1"/>
  <c r="N138" i="1"/>
  <c r="O138" i="1"/>
  <c r="P138" i="1"/>
  <c r="Q138" i="1"/>
  <c r="R138" i="1"/>
  <c r="S138" i="1"/>
  <c r="T138" i="1"/>
  <c r="U138" i="1"/>
  <c r="V138" i="1"/>
  <c r="W138" i="1"/>
  <c r="N139" i="1"/>
  <c r="O139" i="1"/>
  <c r="P139" i="1"/>
  <c r="Q139" i="1"/>
  <c r="R139" i="1"/>
  <c r="S139" i="1"/>
  <c r="T139" i="1"/>
  <c r="U139" i="1"/>
  <c r="V139" i="1"/>
  <c r="W139" i="1"/>
  <c r="N140" i="1"/>
  <c r="O140" i="1"/>
  <c r="P140" i="1"/>
  <c r="Q140" i="1"/>
  <c r="R140" i="1"/>
  <c r="S140" i="1"/>
  <c r="T140" i="1"/>
  <c r="U140" i="1"/>
  <c r="V140" i="1"/>
  <c r="W140" i="1"/>
  <c r="N141" i="1"/>
  <c r="O141" i="1"/>
  <c r="P141" i="1"/>
  <c r="Q141" i="1"/>
  <c r="R141" i="1"/>
  <c r="S141" i="1"/>
  <c r="T141" i="1"/>
  <c r="U141" i="1"/>
  <c r="V141" i="1"/>
  <c r="W141" i="1"/>
  <c r="N142" i="1"/>
  <c r="O142" i="1"/>
  <c r="P142" i="1"/>
  <c r="Q142" i="1"/>
  <c r="R142" i="1"/>
  <c r="S142" i="1"/>
  <c r="T142" i="1"/>
  <c r="U142" i="1"/>
  <c r="V142" i="1"/>
  <c r="W142" i="1"/>
  <c r="N143" i="1"/>
  <c r="O143" i="1"/>
  <c r="P143" i="1"/>
  <c r="Q143" i="1"/>
  <c r="R143" i="1"/>
  <c r="S143" i="1"/>
  <c r="T143" i="1"/>
  <c r="U143" i="1"/>
  <c r="V143" i="1"/>
  <c r="W143" i="1"/>
  <c r="N144" i="1"/>
  <c r="O144" i="1"/>
  <c r="P144" i="1"/>
  <c r="Q144" i="1"/>
  <c r="R144" i="1"/>
  <c r="S144" i="1"/>
  <c r="T144" i="1"/>
  <c r="U144" i="1"/>
  <c r="V144" i="1"/>
  <c r="W144" i="1"/>
  <c r="M62" i="2" l="1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K8" i="2"/>
  <c r="I8" i="2"/>
  <c r="H8" i="2"/>
  <c r="F8" i="2"/>
  <c r="B8" i="2"/>
  <c r="M5" i="2"/>
  <c r="L3" i="2"/>
  <c r="J8" i="2"/>
  <c r="G8" i="2"/>
  <c r="E8" i="2"/>
  <c r="D8" i="2"/>
  <c r="C8" i="2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B8" i="1"/>
  <c r="X34" i="1"/>
  <c r="X33" i="1"/>
  <c r="E8" i="1"/>
  <c r="X32" i="1"/>
  <c r="X31" i="1"/>
  <c r="B6" i="1"/>
  <c r="X30" i="1"/>
  <c r="L7" i="1" s="1"/>
  <c r="C7" i="1"/>
  <c r="G5" i="1"/>
  <c r="X29" i="1"/>
  <c r="B7" i="1"/>
  <c r="X28" i="1"/>
  <c r="E6" i="1"/>
  <c r="F5" i="1"/>
  <c r="X27" i="1"/>
  <c r="X26" i="1"/>
  <c r="K6" i="1"/>
  <c r="J10" i="1"/>
  <c r="H5" i="1"/>
  <c r="H9" i="1"/>
  <c r="X24" i="1"/>
  <c r="W24" i="1"/>
  <c r="AI24" i="1" s="1"/>
  <c r="V24" i="1"/>
  <c r="AH24" i="1" s="1"/>
  <c r="U24" i="1"/>
  <c r="AG24" i="1" s="1"/>
  <c r="T24" i="1"/>
  <c r="AF24" i="1" s="1"/>
  <c r="S24" i="1"/>
  <c r="AE24" i="1" s="1"/>
  <c r="R24" i="1"/>
  <c r="AD24" i="1" s="1"/>
  <c r="Q24" i="1"/>
  <c r="AC24" i="1" s="1"/>
  <c r="P24" i="1"/>
  <c r="AB24" i="1" s="1"/>
  <c r="O24" i="1"/>
  <c r="AA24" i="1" s="1"/>
  <c r="N24" i="1"/>
  <c r="Z24" i="1" s="1"/>
  <c r="A15" i="1"/>
  <c r="A14" i="1"/>
  <c r="N14" i="1" s="1"/>
  <c r="A13" i="1"/>
  <c r="N13" i="1" s="1"/>
  <c r="A12" i="1"/>
  <c r="N12" i="1" s="1"/>
  <c r="A11" i="1"/>
  <c r="N11" i="1" s="1"/>
  <c r="A10" i="1"/>
  <c r="N10" i="1" s="1"/>
  <c r="A9" i="1"/>
  <c r="N9" i="1" s="1"/>
  <c r="A8" i="1"/>
  <c r="N8" i="1" s="1"/>
  <c r="A7" i="1"/>
  <c r="N7" i="1" s="1"/>
  <c r="A6" i="1"/>
  <c r="N6" i="1" s="1"/>
  <c r="K5" i="1"/>
  <c r="A5" i="1"/>
  <c r="N5" i="1" s="1"/>
  <c r="L4" i="1"/>
  <c r="K4" i="1"/>
  <c r="X4" i="1" s="1"/>
  <c r="J4" i="1"/>
  <c r="W4" i="1" s="1"/>
  <c r="I4" i="1"/>
  <c r="V4" i="1" s="1"/>
  <c r="H4" i="1"/>
  <c r="U4" i="1" s="1"/>
  <c r="G4" i="1"/>
  <c r="T4" i="1" s="1"/>
  <c r="F4" i="1"/>
  <c r="S4" i="1" s="1"/>
  <c r="E4" i="1"/>
  <c r="R4" i="1" s="1"/>
  <c r="D4" i="1"/>
  <c r="Q4" i="1" s="1"/>
  <c r="C4" i="1"/>
  <c r="P4" i="1" s="1"/>
  <c r="B4" i="1"/>
  <c r="O4" i="1" s="1"/>
  <c r="L10" i="1" l="1"/>
  <c r="L6" i="1"/>
  <c r="L5" i="1"/>
  <c r="L12" i="1"/>
  <c r="E7" i="1"/>
  <c r="G9" i="1"/>
  <c r="G11" i="1"/>
  <c r="P20" i="1"/>
  <c r="H7" i="1"/>
  <c r="H8" i="1"/>
  <c r="C6" i="1"/>
  <c r="J13" i="1"/>
  <c r="B5" i="1"/>
  <c r="D6" i="1"/>
  <c r="H13" i="1"/>
  <c r="C5" i="1"/>
  <c r="B9" i="1"/>
  <c r="D5" i="1"/>
  <c r="E9" i="1"/>
  <c r="D8" i="1"/>
  <c r="E5" i="1"/>
  <c r="G10" i="1"/>
  <c r="H6" i="1"/>
  <c r="D14" i="1"/>
  <c r="F14" i="1"/>
  <c r="I9" i="1"/>
  <c r="I11" i="1"/>
  <c r="N20" i="1"/>
  <c r="D7" i="1"/>
  <c r="G8" i="1"/>
  <c r="J9" i="1"/>
  <c r="J11" i="1"/>
  <c r="L15" i="1"/>
  <c r="K9" i="1"/>
  <c r="K11" i="1"/>
  <c r="F6" i="1"/>
  <c r="G7" i="1"/>
  <c r="I8" i="1"/>
  <c r="L9" i="1"/>
  <c r="L11" i="1"/>
  <c r="G6" i="1"/>
  <c r="J8" i="1"/>
  <c r="I12" i="1"/>
  <c r="I7" i="1"/>
  <c r="K8" i="1"/>
  <c r="B10" i="1"/>
  <c r="G12" i="1"/>
  <c r="I6" i="1"/>
  <c r="J7" i="1"/>
  <c r="L8" i="1"/>
  <c r="J12" i="1"/>
  <c r="I5" i="1"/>
  <c r="J5" i="1"/>
  <c r="J6" i="1"/>
  <c r="K7" i="1"/>
  <c r="I10" i="1"/>
  <c r="Q21" i="1"/>
  <c r="F8" i="1"/>
  <c r="E10" i="1"/>
  <c r="C8" i="1"/>
  <c r="E14" i="1"/>
  <c r="Q19" i="1"/>
  <c r="Q18" i="1"/>
  <c r="AC86" i="1" s="1"/>
  <c r="F7" i="1"/>
  <c r="H10" i="1"/>
  <c r="B11" i="1"/>
  <c r="T19" i="1"/>
  <c r="K10" i="1"/>
  <c r="B13" i="1"/>
  <c r="H11" i="1"/>
  <c r="H12" i="1"/>
  <c r="I13" i="1"/>
  <c r="R18" i="1"/>
  <c r="AD123" i="1" s="1"/>
  <c r="R19" i="1"/>
  <c r="AC108" i="1"/>
  <c r="S19" i="1"/>
  <c r="T18" i="1"/>
  <c r="AF53" i="1" s="1"/>
  <c r="AC47" i="1"/>
  <c r="K12" i="1"/>
  <c r="B12" i="1"/>
  <c r="C13" i="1"/>
  <c r="G14" i="1"/>
  <c r="U19" i="1"/>
  <c r="V18" i="1"/>
  <c r="AH42" i="1" s="1"/>
  <c r="C9" i="1"/>
  <c r="C10" i="1"/>
  <c r="C11" i="1"/>
  <c r="C12" i="1"/>
  <c r="D13" i="1"/>
  <c r="I14" i="1"/>
  <c r="B14" i="1"/>
  <c r="X18" i="1"/>
  <c r="L18" i="1" s="1"/>
  <c r="O18" i="1"/>
  <c r="C18" i="1" s="1"/>
  <c r="P18" i="1"/>
  <c r="AB96" i="1" s="1"/>
  <c r="D9" i="1"/>
  <c r="D10" i="1"/>
  <c r="D11" i="1"/>
  <c r="D12" i="1"/>
  <c r="E13" i="1"/>
  <c r="D15" i="1"/>
  <c r="AD32" i="1"/>
  <c r="AF34" i="1"/>
  <c r="E11" i="1"/>
  <c r="E12" i="1"/>
  <c r="F13" i="1"/>
  <c r="J15" i="1"/>
  <c r="R20" i="1"/>
  <c r="AD31" i="1"/>
  <c r="AD43" i="1"/>
  <c r="AD55" i="1"/>
  <c r="AD79" i="1"/>
  <c r="F9" i="1"/>
  <c r="F10" i="1"/>
  <c r="F11" i="1"/>
  <c r="F12" i="1"/>
  <c r="G13" i="1"/>
  <c r="K15" i="1"/>
  <c r="AD42" i="1"/>
  <c r="AF124" i="1"/>
  <c r="AD134" i="1"/>
  <c r="AF136" i="1"/>
  <c r="AD121" i="1"/>
  <c r="AF123" i="1"/>
  <c r="AD120" i="1"/>
  <c r="AH124" i="1"/>
  <c r="AD132" i="1"/>
  <c r="AD131" i="1"/>
  <c r="AF133" i="1"/>
  <c r="AC142" i="1"/>
  <c r="AD118" i="1"/>
  <c r="AD142" i="1"/>
  <c r="AF144" i="1"/>
  <c r="AD45" i="1"/>
  <c r="AD81" i="1"/>
  <c r="AF46" i="1"/>
  <c r="AD56" i="1"/>
  <c r="AD68" i="1"/>
  <c r="AD80" i="1"/>
  <c r="AD140" i="1"/>
  <c r="AD103" i="1"/>
  <c r="AD115" i="1"/>
  <c r="AD139" i="1"/>
  <c r="AF141" i="1"/>
  <c r="AF44" i="1"/>
  <c r="AD54" i="1"/>
  <c r="AB64" i="1"/>
  <c r="AC65" i="1"/>
  <c r="AD66" i="1"/>
  <c r="AD78" i="1"/>
  <c r="AF80" i="1"/>
  <c r="AD90" i="1"/>
  <c r="AF92" i="1"/>
  <c r="AD102" i="1"/>
  <c r="AD114" i="1"/>
  <c r="AF116" i="1"/>
  <c r="AH118" i="1"/>
  <c r="AD126" i="1"/>
  <c r="AD138" i="1"/>
  <c r="O20" i="1"/>
  <c r="R21" i="1"/>
  <c r="AD29" i="1"/>
  <c r="AD41" i="1"/>
  <c r="AF43" i="1"/>
  <c r="AD53" i="1"/>
  <c r="AC64" i="1"/>
  <c r="AD65" i="1"/>
  <c r="AD77" i="1"/>
  <c r="AF79" i="1"/>
  <c r="AD89" i="1"/>
  <c r="AB111" i="1"/>
  <c r="AD113" i="1"/>
  <c r="AD137" i="1"/>
  <c r="AD28" i="1"/>
  <c r="S18" i="1"/>
  <c r="AE75" i="1" s="1"/>
  <c r="AF30" i="1"/>
  <c r="U18" i="1"/>
  <c r="AG54" i="1" s="1"/>
  <c r="AD40" i="1"/>
  <c r="AD52" i="1"/>
  <c r="AF54" i="1"/>
  <c r="AD64" i="1"/>
  <c r="AD76" i="1"/>
  <c r="AF78" i="1"/>
  <c r="AH92" i="1"/>
  <c r="AD100" i="1"/>
  <c r="AF102" i="1"/>
  <c r="AD112" i="1"/>
  <c r="AF114" i="1"/>
  <c r="AC123" i="1"/>
  <c r="AD124" i="1"/>
  <c r="AD136" i="1"/>
  <c r="AF59" i="1"/>
  <c r="AF71" i="1"/>
  <c r="AF83" i="1"/>
  <c r="AF107" i="1"/>
  <c r="AF119" i="1"/>
  <c r="AF70" i="1"/>
  <c r="AF82" i="1"/>
  <c r="AF94" i="1"/>
  <c r="AF106" i="1"/>
  <c r="AF118" i="1"/>
  <c r="AF130" i="1"/>
  <c r="V20" i="1"/>
  <c r="Q20" i="1"/>
  <c r="P21" i="1"/>
  <c r="I15" i="1"/>
  <c r="N19" i="1"/>
  <c r="N18" i="1"/>
  <c r="Z95" i="1" s="1"/>
  <c r="O21" i="1"/>
  <c r="P19" i="1"/>
  <c r="J14" i="1"/>
  <c r="K14" i="1"/>
  <c r="L14" i="1"/>
  <c r="K13" i="1"/>
  <c r="V19" i="1"/>
  <c r="L13" i="1"/>
  <c r="B15" i="1"/>
  <c r="W19" i="1"/>
  <c r="C15" i="1"/>
  <c r="X19" i="1"/>
  <c r="G15" i="1"/>
  <c r="U21" i="1"/>
  <c r="T20" i="1"/>
  <c r="U20" i="1"/>
  <c r="I20" i="1" s="1"/>
  <c r="V21" i="1"/>
  <c r="C14" i="1"/>
  <c r="E15" i="1"/>
  <c r="S21" i="1"/>
  <c r="T21" i="1"/>
  <c r="S20" i="1"/>
  <c r="W21" i="1"/>
  <c r="F15" i="1"/>
  <c r="W18" i="1"/>
  <c r="AI31" i="1" s="1"/>
  <c r="X21" i="1"/>
  <c r="W20" i="1"/>
  <c r="H14" i="1"/>
  <c r="H15" i="1"/>
  <c r="O19" i="1"/>
  <c r="N21" i="1"/>
  <c r="AB138" i="1" l="1"/>
  <c r="AH72" i="1"/>
  <c r="AH46" i="1"/>
  <c r="AH122" i="1"/>
  <c r="AH125" i="1"/>
  <c r="AH58" i="1"/>
  <c r="AH134" i="1"/>
  <c r="AB122" i="1"/>
  <c r="AH81" i="1"/>
  <c r="AH60" i="1"/>
  <c r="AH116" i="1"/>
  <c r="AH68" i="1"/>
  <c r="AB116" i="1"/>
  <c r="AH36" i="1"/>
  <c r="AH93" i="1"/>
  <c r="AH137" i="1"/>
  <c r="AB74" i="1"/>
  <c r="AH120" i="1"/>
  <c r="AH141" i="1"/>
  <c r="AH133" i="1"/>
  <c r="AH110" i="1"/>
  <c r="AH138" i="1"/>
  <c r="AH56" i="1"/>
  <c r="AH69" i="1"/>
  <c r="AH82" i="1"/>
  <c r="AH119" i="1"/>
  <c r="AH109" i="1"/>
  <c r="AB77" i="1"/>
  <c r="AH84" i="1"/>
  <c r="AH80" i="1"/>
  <c r="AH45" i="1"/>
  <c r="AH132" i="1"/>
  <c r="AH94" i="1"/>
  <c r="AB135" i="1"/>
  <c r="AH142" i="1"/>
  <c r="AH85" i="1"/>
  <c r="AH135" i="1"/>
  <c r="AH59" i="1"/>
  <c r="B20" i="1"/>
  <c r="AH128" i="1"/>
  <c r="AH105" i="1"/>
  <c r="AH108" i="1"/>
  <c r="AB110" i="1"/>
  <c r="AH104" i="1"/>
  <c r="AH129" i="1"/>
  <c r="AB113" i="1"/>
  <c r="AB132" i="1"/>
  <c r="AH33" i="1"/>
  <c r="L19" i="1"/>
  <c r="X22" i="1"/>
  <c r="AA101" i="1"/>
  <c r="AB50" i="1"/>
  <c r="AH117" i="1"/>
  <c r="AB63" i="1"/>
  <c r="AH130" i="1"/>
  <c r="AA112" i="1"/>
  <c r="AH49" i="1"/>
  <c r="AH32" i="1"/>
  <c r="B19" i="1"/>
  <c r="N22" i="1"/>
  <c r="AH96" i="1"/>
  <c r="AH140" i="1"/>
  <c r="AH44" i="1"/>
  <c r="AH57" i="1"/>
  <c r="AH107" i="1"/>
  <c r="AA115" i="1"/>
  <c r="AH98" i="1"/>
  <c r="AA49" i="1"/>
  <c r="AA137" i="1"/>
  <c r="AA110" i="1"/>
  <c r="AH136" i="1"/>
  <c r="AH126" i="1"/>
  <c r="AH71" i="1"/>
  <c r="AA138" i="1"/>
  <c r="AA113" i="1"/>
  <c r="AH48" i="1"/>
  <c r="AH112" i="1"/>
  <c r="AH34" i="1"/>
  <c r="AA102" i="1"/>
  <c r="AA73" i="1"/>
  <c r="AA90" i="1"/>
  <c r="AA131" i="1"/>
  <c r="AA89" i="1"/>
  <c r="AA77" i="1"/>
  <c r="AA54" i="1"/>
  <c r="AA74" i="1"/>
  <c r="AF131" i="1"/>
  <c r="AF138" i="1"/>
  <c r="AF139" i="1"/>
  <c r="AF117" i="1"/>
  <c r="AE42" i="1"/>
  <c r="AE78" i="1"/>
  <c r="AF95" i="1"/>
  <c r="AE77" i="1"/>
  <c r="AF42" i="1"/>
  <c r="AF127" i="1"/>
  <c r="AF108" i="1"/>
  <c r="AA130" i="1"/>
  <c r="AF57" i="1"/>
  <c r="AF61" i="1"/>
  <c r="AE94" i="1"/>
  <c r="AF31" i="1"/>
  <c r="AF104" i="1"/>
  <c r="AF47" i="1"/>
  <c r="AF32" i="1"/>
  <c r="AD59" i="1"/>
  <c r="AF96" i="1"/>
  <c r="AF58" i="1"/>
  <c r="AF103" i="1"/>
  <c r="AF140" i="1"/>
  <c r="AF129" i="1"/>
  <c r="AF132" i="1"/>
  <c r="AF134" i="1"/>
  <c r="AD94" i="1"/>
  <c r="AE106" i="1"/>
  <c r="AE139" i="1"/>
  <c r="AE57" i="1"/>
  <c r="AD74" i="1"/>
  <c r="J19" i="1"/>
  <c r="V22" i="1"/>
  <c r="AE138" i="1"/>
  <c r="C19" i="1"/>
  <c r="O22" i="1"/>
  <c r="AE133" i="1"/>
  <c r="E19" i="1"/>
  <c r="Q22" i="1"/>
  <c r="I19" i="1"/>
  <c r="U22" i="1"/>
  <c r="K19" i="1"/>
  <c r="W22" i="1"/>
  <c r="AE113" i="1"/>
  <c r="AD82" i="1"/>
  <c r="AD109" i="1"/>
  <c r="F19" i="1"/>
  <c r="R22" i="1"/>
  <c r="D19" i="1"/>
  <c r="P22" i="1"/>
  <c r="G19" i="1"/>
  <c r="S22" i="1"/>
  <c r="AE46" i="1"/>
  <c r="AE144" i="1"/>
  <c r="AD110" i="1"/>
  <c r="H19" i="1"/>
  <c r="T22" i="1"/>
  <c r="AE137" i="1"/>
  <c r="AE91" i="1"/>
  <c r="AB131" i="1"/>
  <c r="AD98" i="1"/>
  <c r="Z48" i="1"/>
  <c r="AE67" i="1"/>
  <c r="AA141" i="1"/>
  <c r="AE109" i="1"/>
  <c r="AH38" i="1"/>
  <c r="AD71" i="1"/>
  <c r="AD48" i="1"/>
  <c r="AE111" i="1"/>
  <c r="AD75" i="1"/>
  <c r="Z140" i="1"/>
  <c r="Z141" i="1"/>
  <c r="AF36" i="1"/>
  <c r="AH63" i="1"/>
  <c r="AH43" i="1"/>
  <c r="AI106" i="1"/>
  <c r="AB31" i="1"/>
  <c r="AH78" i="1"/>
  <c r="AF49" i="1"/>
  <c r="AE56" i="1"/>
  <c r="AH66" i="1"/>
  <c r="AE125" i="1"/>
  <c r="Z72" i="1"/>
  <c r="Z36" i="1"/>
  <c r="AE102" i="1"/>
  <c r="AE66" i="1"/>
  <c r="AA38" i="1"/>
  <c r="AA123" i="1"/>
  <c r="AA87" i="1"/>
  <c r="Z50" i="1"/>
  <c r="Z111" i="1"/>
  <c r="AA139" i="1"/>
  <c r="AA140" i="1"/>
  <c r="AB80" i="1"/>
  <c r="AH100" i="1"/>
  <c r="AH101" i="1"/>
  <c r="Z129" i="1"/>
  <c r="AE101" i="1"/>
  <c r="AA98" i="1"/>
  <c r="AE121" i="1"/>
  <c r="Z118" i="1"/>
  <c r="Z51" i="1"/>
  <c r="AH74" i="1"/>
  <c r="AD107" i="1"/>
  <c r="AF98" i="1"/>
  <c r="AH77" i="1"/>
  <c r="AD26" i="1"/>
  <c r="G20" i="1"/>
  <c r="AB54" i="1"/>
  <c r="AE82" i="1"/>
  <c r="AG31" i="1"/>
  <c r="AH114" i="1"/>
  <c r="AH95" i="1"/>
  <c r="AH47" i="1"/>
  <c r="Z28" i="1"/>
  <c r="Z54" i="1"/>
  <c r="AB105" i="1"/>
  <c r="AD96" i="1"/>
  <c r="AF75" i="1"/>
  <c r="AH139" i="1"/>
  <c r="Z96" i="1"/>
  <c r="AE126" i="1"/>
  <c r="AE90" i="1"/>
  <c r="AB79" i="1"/>
  <c r="Z117" i="1"/>
  <c r="Z110" i="1"/>
  <c r="AA88" i="1"/>
  <c r="AH50" i="1"/>
  <c r="AH99" i="1"/>
  <c r="AD72" i="1"/>
  <c r="AD73" i="1"/>
  <c r="AD135" i="1"/>
  <c r="AA121" i="1"/>
  <c r="AB123" i="1"/>
  <c r="AA62" i="1"/>
  <c r="AA111" i="1"/>
  <c r="AH70" i="1"/>
  <c r="AH73" i="1"/>
  <c r="AF120" i="1"/>
  <c r="AH123" i="1"/>
  <c r="AG111" i="1"/>
  <c r="AH113" i="1"/>
  <c r="AH83" i="1"/>
  <c r="AF48" i="1"/>
  <c r="AD95" i="1"/>
  <c r="AE61" i="1"/>
  <c r="AH29" i="1"/>
  <c r="AD87" i="1"/>
  <c r="AB137" i="1"/>
  <c r="AE130" i="1"/>
  <c r="AE58" i="1"/>
  <c r="AI117" i="1"/>
  <c r="AE89" i="1"/>
  <c r="AE29" i="1"/>
  <c r="AB87" i="1"/>
  <c r="Z61" i="1"/>
  <c r="AH106" i="1"/>
  <c r="AF68" i="1"/>
  <c r="AH131" i="1"/>
  <c r="AE69" i="1"/>
  <c r="AH61" i="1"/>
  <c r="AF121" i="1"/>
  <c r="AF110" i="1"/>
  <c r="Z142" i="1"/>
  <c r="Z38" i="1"/>
  <c r="AF81" i="1"/>
  <c r="Z27" i="1"/>
  <c r="AD46" i="1"/>
  <c r="AF73" i="1"/>
  <c r="AD60" i="1"/>
  <c r="AH79" i="1"/>
  <c r="AI125" i="1"/>
  <c r="Z52" i="1"/>
  <c r="Z66" i="1"/>
  <c r="AF85" i="1"/>
  <c r="AB33" i="1"/>
  <c r="AF86" i="1"/>
  <c r="AA33" i="1"/>
  <c r="AI90" i="1"/>
  <c r="AE50" i="1"/>
  <c r="AH90" i="1"/>
  <c r="AE51" i="1"/>
  <c r="AH115" i="1"/>
  <c r="AD63" i="1"/>
  <c r="AI32" i="1"/>
  <c r="AE118" i="1"/>
  <c r="AE70" i="1"/>
  <c r="AF126" i="1"/>
  <c r="Z108" i="1"/>
  <c r="AD88" i="1"/>
  <c r="AB62" i="1"/>
  <c r="AE41" i="1"/>
  <c r="AB26" i="1"/>
  <c r="AA122" i="1"/>
  <c r="Z73" i="1"/>
  <c r="AA50" i="1"/>
  <c r="AE30" i="1"/>
  <c r="AF128" i="1"/>
  <c r="AE103" i="1"/>
  <c r="AB76" i="1"/>
  <c r="AF56" i="1"/>
  <c r="AE128" i="1"/>
  <c r="AB101" i="1"/>
  <c r="AE45" i="1"/>
  <c r="AD57" i="1"/>
  <c r="AE131" i="1"/>
  <c r="AD143" i="1"/>
  <c r="AE120" i="1"/>
  <c r="AI114" i="1"/>
  <c r="AD122" i="1"/>
  <c r="AE31" i="1"/>
  <c r="AF93" i="1"/>
  <c r="AF69" i="1"/>
  <c r="AH35" i="1"/>
  <c r="AA41" i="1"/>
  <c r="AH37" i="1"/>
  <c r="AH62" i="1"/>
  <c r="AD83" i="1"/>
  <c r="AH27" i="1"/>
  <c r="AD84" i="1"/>
  <c r="AI29" i="1"/>
  <c r="AH89" i="1"/>
  <c r="AD49" i="1"/>
  <c r="AD86" i="1"/>
  <c r="AD50" i="1"/>
  <c r="AF113" i="1"/>
  <c r="Z59" i="1"/>
  <c r="E20" i="1"/>
  <c r="AG108" i="1"/>
  <c r="AA66" i="1"/>
  <c r="AI105" i="1"/>
  <c r="AB86" i="1"/>
  <c r="AA61" i="1"/>
  <c r="AG92" i="1"/>
  <c r="Z49" i="1"/>
  <c r="AA75" i="1"/>
  <c r="AD127" i="1"/>
  <c r="AA100" i="1"/>
  <c r="AD44" i="1"/>
  <c r="AD130" i="1"/>
  <c r="AD119" i="1"/>
  <c r="AG123" i="1"/>
  <c r="AF135" i="1"/>
  <c r="AB120" i="1"/>
  <c r="AD30" i="1"/>
  <c r="AD91" i="1"/>
  <c r="AD67" i="1"/>
  <c r="AF33" i="1"/>
  <c r="Z40" i="1"/>
  <c r="AF35" i="1"/>
  <c r="AF60" i="1"/>
  <c r="Z79" i="1"/>
  <c r="AG75" i="1"/>
  <c r="AH28" i="1"/>
  <c r="AF87" i="1"/>
  <c r="AD37" i="1"/>
  <c r="AA83" i="1"/>
  <c r="AE39" i="1"/>
  <c r="AD111" i="1"/>
  <c r="AH55" i="1"/>
  <c r="AB102" i="1"/>
  <c r="AA65" i="1"/>
  <c r="Z60" i="1"/>
  <c r="AB38" i="1"/>
  <c r="AG140" i="1"/>
  <c r="AF115" i="1"/>
  <c r="AF91" i="1"/>
  <c r="AF67" i="1"/>
  <c r="AI46" i="1"/>
  <c r="AB124" i="1"/>
  <c r="Z74" i="1"/>
  <c r="AA51" i="1"/>
  <c r="AA124" i="1"/>
  <c r="Z99" i="1"/>
  <c r="AB42" i="1"/>
  <c r="AG48" i="1"/>
  <c r="AA127" i="1"/>
  <c r="AB141" i="1"/>
  <c r="AD144" i="1"/>
  <c r="AF122" i="1"/>
  <c r="AD133" i="1"/>
  <c r="AA143" i="1"/>
  <c r="AA119" i="1"/>
  <c r="Z26" i="1"/>
  <c r="AB89" i="1"/>
  <c r="Z63" i="1"/>
  <c r="AE32" i="1"/>
  <c r="AD33" i="1"/>
  <c r="AD58" i="1"/>
  <c r="AH75" i="1"/>
  <c r="AD108" i="1"/>
  <c r="AE73" i="1"/>
  <c r="AF26" i="1"/>
  <c r="AD85" i="1"/>
  <c r="AC36" i="1"/>
  <c r="AI79" i="1"/>
  <c r="AD38" i="1"/>
  <c r="AF101" i="1"/>
  <c r="AD51" i="1"/>
  <c r="AG103" i="1"/>
  <c r="AG93" i="1"/>
  <c r="AA105" i="1"/>
  <c r="AI78" i="1"/>
  <c r="AA34" i="1"/>
  <c r="AD99" i="1"/>
  <c r="AG59" i="1"/>
  <c r="AI33" i="1"/>
  <c r="AI47" i="1"/>
  <c r="AI136" i="1"/>
  <c r="AI115" i="1"/>
  <c r="Z87" i="1"/>
  <c r="AA28" i="1"/>
  <c r="AI101" i="1"/>
  <c r="AF76" i="1"/>
  <c r="AG141" i="1"/>
  <c r="AI73" i="1"/>
  <c r="AI137" i="1"/>
  <c r="AG76" i="1"/>
  <c r="Z143" i="1"/>
  <c r="AB85" i="1"/>
  <c r="AI67" i="1"/>
  <c r="AA79" i="1"/>
  <c r="AA106" i="1"/>
  <c r="AG83" i="1"/>
  <c r="AI34" i="1"/>
  <c r="AI124" i="1"/>
  <c r="AB93" i="1"/>
  <c r="AI89" i="1"/>
  <c r="AA45" i="1"/>
  <c r="AG64" i="1"/>
  <c r="AG65" i="1"/>
  <c r="Z131" i="1"/>
  <c r="AB73" i="1"/>
  <c r="AB134" i="1"/>
  <c r="AG91" i="1"/>
  <c r="AI45" i="1"/>
  <c r="AB136" i="1"/>
  <c r="AA63" i="1"/>
  <c r="AB143" i="1"/>
  <c r="AB119" i="1"/>
  <c r="Z130" i="1"/>
  <c r="Z135" i="1"/>
  <c r="AA76" i="1"/>
  <c r="AF45" i="1"/>
  <c r="AD70" i="1"/>
  <c r="AE35" i="1"/>
  <c r="Z91" i="1"/>
  <c r="AD47" i="1"/>
  <c r="AH88" i="1"/>
  <c r="AH40" i="1"/>
  <c r="AD97" i="1"/>
  <c r="AE62" i="1"/>
  <c r="AC97" i="1"/>
  <c r="AD62" i="1"/>
  <c r="AH127" i="1"/>
  <c r="Z71" i="1"/>
  <c r="AD39" i="1"/>
  <c r="AI107" i="1"/>
  <c r="AI74" i="1"/>
  <c r="AB114" i="1"/>
  <c r="AB78" i="1"/>
  <c r="AA126" i="1"/>
  <c r="AG72" i="1"/>
  <c r="AA133" i="1"/>
  <c r="AF90" i="1"/>
  <c r="AF66" i="1"/>
  <c r="AD125" i="1"/>
  <c r="AD101" i="1"/>
  <c r="AB75" i="1"/>
  <c r="AF55" i="1"/>
  <c r="AG32" i="1"/>
  <c r="AA135" i="1"/>
  <c r="AG105" i="1"/>
  <c r="AE79" i="1"/>
  <c r="Z62" i="1"/>
  <c r="AG130" i="1"/>
  <c r="AF105" i="1"/>
  <c r="AD69" i="1"/>
  <c r="AG133" i="1"/>
  <c r="AD106" i="1"/>
  <c r="AG122" i="1"/>
  <c r="AA129" i="1"/>
  <c r="AA142" i="1"/>
  <c r="AA118" i="1"/>
  <c r="AG33" i="1"/>
  <c r="Z123" i="1"/>
  <c r="Z75" i="1"/>
  <c r="AE44" i="1"/>
  <c r="AB68" i="1"/>
  <c r="AD34" i="1"/>
  <c r="AH87" i="1"/>
  <c r="AD35" i="1"/>
  <c r="AG87" i="1"/>
  <c r="AD36" i="1"/>
  <c r="AA94" i="1"/>
  <c r="AD61" i="1"/>
  <c r="AA95" i="1"/>
  <c r="AG53" i="1"/>
  <c r="AH67" i="1"/>
  <c r="AA36" i="1"/>
  <c r="AC138" i="1"/>
  <c r="AC63" i="1"/>
  <c r="AC125" i="1"/>
  <c r="AC114" i="1"/>
  <c r="AC117" i="1"/>
  <c r="AC132" i="1"/>
  <c r="AC133" i="1"/>
  <c r="AI35" i="1"/>
  <c r="AC90" i="1"/>
  <c r="AI60" i="1"/>
  <c r="AG46" i="1"/>
  <c r="AC32" i="1"/>
  <c r="AE95" i="1"/>
  <c r="AC81" i="1"/>
  <c r="AA67" i="1"/>
  <c r="AI51" i="1"/>
  <c r="AG37" i="1"/>
  <c r="AC106" i="1"/>
  <c r="AA92" i="1"/>
  <c r="AI76" i="1"/>
  <c r="AG62" i="1"/>
  <c r="AE48" i="1"/>
  <c r="AC34" i="1"/>
  <c r="Z104" i="1"/>
  <c r="AF74" i="1"/>
  <c r="AB46" i="1"/>
  <c r="Z32" i="1"/>
  <c r="AB107" i="1"/>
  <c r="Z93" i="1"/>
  <c r="AF63" i="1"/>
  <c r="AB35" i="1"/>
  <c r="Z82" i="1"/>
  <c r="AF52" i="1"/>
  <c r="AA144" i="1"/>
  <c r="AI128" i="1"/>
  <c r="AG114" i="1"/>
  <c r="AE100" i="1"/>
  <c r="AA72" i="1"/>
  <c r="AI56" i="1"/>
  <c r="AG42" i="1"/>
  <c r="Z35" i="1"/>
  <c r="E18" i="1"/>
  <c r="AC140" i="1"/>
  <c r="AC139" i="1"/>
  <c r="AC92" i="1"/>
  <c r="AC116" i="1"/>
  <c r="AC103" i="1"/>
  <c r="AC127" i="1"/>
  <c r="AC80" i="1"/>
  <c r="AC104" i="1"/>
  <c r="AC128" i="1"/>
  <c r="AC141" i="1"/>
  <c r="AC76" i="1"/>
  <c r="AI72" i="1"/>
  <c r="AG58" i="1"/>
  <c r="AC30" i="1"/>
  <c r="AI37" i="1"/>
  <c r="D18" i="1"/>
  <c r="AB103" i="1"/>
  <c r="AB127" i="1"/>
  <c r="AB140" i="1"/>
  <c r="AC93" i="1"/>
  <c r="AI63" i="1"/>
  <c r="AG49" i="1"/>
  <c r="AA104" i="1"/>
  <c r="AI88" i="1"/>
  <c r="AG74" i="1"/>
  <c r="AE60" i="1"/>
  <c r="AC46" i="1"/>
  <c r="AA32" i="1"/>
  <c r="AB58" i="1"/>
  <c r="Z44" i="1"/>
  <c r="Z105" i="1"/>
  <c r="AB47" i="1"/>
  <c r="Z33" i="1"/>
  <c r="AB108" i="1"/>
  <c r="Z94" i="1"/>
  <c r="AF64" i="1"/>
  <c r="AB36" i="1"/>
  <c r="AI140" i="1"/>
  <c r="AG126" i="1"/>
  <c r="AE112" i="1"/>
  <c r="AC98" i="1"/>
  <c r="AA84" i="1"/>
  <c r="AI68" i="1"/>
  <c r="AH31" i="1"/>
  <c r="AC109" i="1"/>
  <c r="AC37" i="1"/>
  <c r="I18" i="1"/>
  <c r="AG144" i="1"/>
  <c r="AG143" i="1"/>
  <c r="AG142" i="1"/>
  <c r="AG104" i="1"/>
  <c r="AG44" i="1"/>
  <c r="AC137" i="1"/>
  <c r="AI119" i="1"/>
  <c r="AC89" i="1"/>
  <c r="AI59" i="1"/>
  <c r="AG45" i="1"/>
  <c r="AC126" i="1"/>
  <c r="AI133" i="1"/>
  <c r="AI61" i="1"/>
  <c r="AC68" i="1"/>
  <c r="AC129" i="1"/>
  <c r="AI111" i="1"/>
  <c r="AG135" i="1"/>
  <c r="AB29" i="1"/>
  <c r="AA30" i="1"/>
  <c r="Z126" i="1"/>
  <c r="AB92" i="1"/>
  <c r="Z78" i="1"/>
  <c r="Z139" i="1"/>
  <c r="Z103" i="1"/>
  <c r="AB45" i="1"/>
  <c r="Z31" i="1"/>
  <c r="AG99" i="1"/>
  <c r="AE85" i="1"/>
  <c r="AC71" i="1"/>
  <c r="AA57" i="1"/>
  <c r="AI41" i="1"/>
  <c r="AG27" i="1"/>
  <c r="AI102" i="1"/>
  <c r="AG88" i="1"/>
  <c r="AE74" i="1"/>
  <c r="AC60" i="1"/>
  <c r="AA46" i="1"/>
  <c r="AI30" i="1"/>
  <c r="AA107" i="1"/>
  <c r="AI91" i="1"/>
  <c r="AG77" i="1"/>
  <c r="AE63" i="1"/>
  <c r="AC49" i="1"/>
  <c r="AA35" i="1"/>
  <c r="AF125" i="1"/>
  <c r="AB97" i="1"/>
  <c r="Z83" i="1"/>
  <c r="AG30" i="1"/>
  <c r="AC59" i="1"/>
  <c r="AC48" i="1"/>
  <c r="AC67" i="1"/>
  <c r="AC144" i="1"/>
  <c r="AG107" i="1"/>
  <c r="AG60" i="1"/>
  <c r="AG115" i="1"/>
  <c r="AC87" i="1"/>
  <c r="AI57" i="1"/>
  <c r="AG43" i="1"/>
  <c r="AC136" i="1"/>
  <c r="AI118" i="1"/>
  <c r="AC88" i="1"/>
  <c r="AB88" i="1"/>
  <c r="AB125" i="1"/>
  <c r="AI108" i="1"/>
  <c r="AC115" i="1"/>
  <c r="AB139" i="1"/>
  <c r="AB67" i="1"/>
  <c r="AC44" i="1"/>
  <c r="AB128" i="1"/>
  <c r="AG134" i="1"/>
  <c r="AI126" i="1"/>
  <c r="AI127" i="1"/>
  <c r="AG113" i="1"/>
  <c r="AI84" i="1"/>
  <c r="AG70" i="1"/>
  <c r="AC42" i="1"/>
  <c r="AG35" i="1"/>
  <c r="Z114" i="1"/>
  <c r="AA91" i="1"/>
  <c r="AI75" i="1"/>
  <c r="AG61" i="1"/>
  <c r="AE47" i="1"/>
  <c r="AC33" i="1"/>
  <c r="Z127" i="1"/>
  <c r="AI100" i="1"/>
  <c r="AG86" i="1"/>
  <c r="AE72" i="1"/>
  <c r="AC58" i="1"/>
  <c r="AA44" i="1"/>
  <c r="AI28" i="1"/>
  <c r="AB70" i="1"/>
  <c r="Z56" i="1"/>
  <c r="AB59" i="1"/>
  <c r="Z45" i="1"/>
  <c r="Z106" i="1"/>
  <c r="AB48" i="1"/>
  <c r="Z34" i="1"/>
  <c r="AG138" i="1"/>
  <c r="AE124" i="1"/>
  <c r="AC110" i="1"/>
  <c r="AA96" i="1"/>
  <c r="AI80" i="1"/>
  <c r="AG66" i="1"/>
  <c r="AE52" i="1"/>
  <c r="AG132" i="1"/>
  <c r="AI58" i="1"/>
  <c r="AG131" i="1"/>
  <c r="AI70" i="1"/>
  <c r="AG56" i="1"/>
  <c r="AI71" i="1"/>
  <c r="AI109" i="1"/>
  <c r="AB43" i="1"/>
  <c r="AC118" i="1"/>
  <c r="Z29" i="1"/>
  <c r="AC105" i="1"/>
  <c r="Z90" i="1"/>
  <c r="AB32" i="1"/>
  <c r="Z115" i="1"/>
  <c r="AB57" i="1"/>
  <c r="Z43" i="1"/>
  <c r="AE97" i="1"/>
  <c r="AC83" i="1"/>
  <c r="AA69" i="1"/>
  <c r="AI53" i="1"/>
  <c r="AG39" i="1"/>
  <c r="H18" i="1"/>
  <c r="AF143" i="1"/>
  <c r="AF142" i="1"/>
  <c r="AG100" i="1"/>
  <c r="AE86" i="1"/>
  <c r="AC72" i="1"/>
  <c r="AA58" i="1"/>
  <c r="AI42" i="1"/>
  <c r="AG28" i="1"/>
  <c r="AI103" i="1"/>
  <c r="AG89" i="1"/>
  <c r="AC61" i="1"/>
  <c r="AA47" i="1"/>
  <c r="AF137" i="1"/>
  <c r="AB109" i="1"/>
  <c r="AF65" i="1"/>
  <c r="AC135" i="1"/>
  <c r="AC43" i="1"/>
  <c r="K18" i="1"/>
  <c r="AI86" i="1"/>
  <c r="AI110" i="1"/>
  <c r="AI134" i="1"/>
  <c r="AI144" i="1"/>
  <c r="AI97" i="1"/>
  <c r="AI121" i="1"/>
  <c r="AI98" i="1"/>
  <c r="AI122" i="1"/>
  <c r="AI143" i="1"/>
  <c r="AG96" i="1"/>
  <c r="AG117" i="1"/>
  <c r="AI62" i="1"/>
  <c r="AG109" i="1"/>
  <c r="AC119" i="1"/>
  <c r="AB41" i="1"/>
  <c r="C20" i="1"/>
  <c r="B18" i="1"/>
  <c r="Z125" i="1"/>
  <c r="Z53" i="1"/>
  <c r="Z88" i="1"/>
  <c r="Z112" i="1"/>
  <c r="Z132" i="1"/>
  <c r="Z89" i="1"/>
  <c r="Z113" i="1"/>
  <c r="Z133" i="1"/>
  <c r="Z134" i="1"/>
  <c r="Z64" i="1"/>
  <c r="Z65" i="1"/>
  <c r="Z97" i="1"/>
  <c r="Z120" i="1"/>
  <c r="Z136" i="1"/>
  <c r="Z98" i="1"/>
  <c r="Z121" i="1"/>
  <c r="Z137" i="1"/>
  <c r="Z100" i="1"/>
  <c r="Z122" i="1"/>
  <c r="Z138" i="1"/>
  <c r="Z76" i="1"/>
  <c r="Z101" i="1"/>
  <c r="Z77" i="1"/>
  <c r="Z124" i="1"/>
  <c r="Z144" i="1"/>
  <c r="AG71" i="1"/>
  <c r="AC99" i="1"/>
  <c r="AA85" i="1"/>
  <c r="AI69" i="1"/>
  <c r="AG55" i="1"/>
  <c r="G18" i="1"/>
  <c r="AE105" i="1"/>
  <c r="AE129" i="1"/>
  <c r="AE143" i="1"/>
  <c r="AE142" i="1"/>
  <c r="AE93" i="1"/>
  <c r="AE117" i="1"/>
  <c r="AE141" i="1"/>
  <c r="AA134" i="1"/>
  <c r="AG116" i="1"/>
  <c r="AA86" i="1"/>
  <c r="AC28" i="1"/>
  <c r="AI131" i="1"/>
  <c r="AC101" i="1"/>
  <c r="Z86" i="1"/>
  <c r="AE140" i="1"/>
  <c r="AI120" i="1"/>
  <c r="AG106" i="1"/>
  <c r="AC91" i="1"/>
  <c r="AC55" i="1"/>
  <c r="AB115" i="1"/>
  <c r="AA42" i="1"/>
  <c r="AI123" i="1"/>
  <c r="AE132" i="1"/>
  <c r="AB117" i="1"/>
  <c r="AB118" i="1"/>
  <c r="AI138" i="1"/>
  <c r="AG124" i="1"/>
  <c r="AI139" i="1"/>
  <c r="AG125" i="1"/>
  <c r="AE43" i="1"/>
  <c r="AC29" i="1"/>
  <c r="AI96" i="1"/>
  <c r="AG82" i="1"/>
  <c r="AE68" i="1"/>
  <c r="AC54" i="1"/>
  <c r="AA40" i="1"/>
  <c r="AE33" i="1"/>
  <c r="AI38" i="1"/>
  <c r="AB104" i="1"/>
  <c r="AI87" i="1"/>
  <c r="AG73" i="1"/>
  <c r="AE59" i="1"/>
  <c r="AC45" i="1"/>
  <c r="AA31" i="1"/>
  <c r="AI112" i="1"/>
  <c r="AG98" i="1"/>
  <c r="AE84" i="1"/>
  <c r="AC70" i="1"/>
  <c r="AA56" i="1"/>
  <c r="AI40" i="1"/>
  <c r="AB82" i="1"/>
  <c r="Z68" i="1"/>
  <c r="AH52" i="1"/>
  <c r="AF38" i="1"/>
  <c r="AF99" i="1"/>
  <c r="AB71" i="1"/>
  <c r="Z57" i="1"/>
  <c r="AH41" i="1"/>
  <c r="AF27" i="1"/>
  <c r="AH102" i="1"/>
  <c r="AF88" i="1"/>
  <c r="AB60" i="1"/>
  <c r="Z46" i="1"/>
  <c r="AH30" i="1"/>
  <c r="AE136" i="1"/>
  <c r="AC122" i="1"/>
  <c r="AA108" i="1"/>
  <c r="AI92" i="1"/>
  <c r="AG78" i="1"/>
  <c r="AE64" i="1"/>
  <c r="AC50" i="1"/>
  <c r="AF41" i="1"/>
  <c r="AF29" i="1"/>
  <c r="AC26" i="1"/>
  <c r="AC124" i="1"/>
  <c r="AC77" i="1"/>
  <c r="AG57" i="1"/>
  <c r="AB126" i="1"/>
  <c r="AG120" i="1"/>
  <c r="AG84" i="1"/>
  <c r="AI135" i="1"/>
  <c r="AG127" i="1"/>
  <c r="AB98" i="1"/>
  <c r="Z84" i="1"/>
  <c r="AI130" i="1"/>
  <c r="AC100" i="1"/>
  <c r="AI82" i="1"/>
  <c r="AG68" i="1"/>
  <c r="AE54" i="1"/>
  <c r="AC40" i="1"/>
  <c r="AB27" i="1"/>
  <c r="AE115" i="1"/>
  <c r="AB100" i="1"/>
  <c r="AI83" i="1"/>
  <c r="AG69" i="1"/>
  <c r="AE55" i="1"/>
  <c r="AI85" i="1"/>
  <c r="AA53" i="1"/>
  <c r="AE107" i="1"/>
  <c r="AA116" i="1"/>
  <c r="AC131" i="1"/>
  <c r="AA117" i="1"/>
  <c r="AB28" i="1"/>
  <c r="AB53" i="1"/>
  <c r="Z39" i="1"/>
  <c r="AA103" i="1"/>
  <c r="AH86" i="1"/>
  <c r="AF72" i="1"/>
  <c r="AB44" i="1"/>
  <c r="Z30" i="1"/>
  <c r="AH111" i="1"/>
  <c r="AF97" i="1"/>
  <c r="AB69" i="1"/>
  <c r="Z55" i="1"/>
  <c r="AH39" i="1"/>
  <c r="AG26" i="1"/>
  <c r="AC95" i="1"/>
  <c r="AA81" i="1"/>
  <c r="AI65" i="1"/>
  <c r="AG51" i="1"/>
  <c r="AE37" i="1"/>
  <c r="AG112" i="1"/>
  <c r="AE98" i="1"/>
  <c r="AC84" i="1"/>
  <c r="AA70" i="1"/>
  <c r="AI54" i="1"/>
  <c r="AG40" i="1"/>
  <c r="AE26" i="1"/>
  <c r="AG101" i="1"/>
  <c r="AE87" i="1"/>
  <c r="AC73" i="1"/>
  <c r="AA59" i="1"/>
  <c r="AI43" i="1"/>
  <c r="AG29" i="1"/>
  <c r="AB121" i="1"/>
  <c r="Z107" i="1"/>
  <c r="AH91" i="1"/>
  <c r="AF77" i="1"/>
  <c r="AB49" i="1"/>
  <c r="AE40" i="1"/>
  <c r="Z109" i="1"/>
  <c r="AC75" i="1"/>
  <c r="AI129" i="1"/>
  <c r="AA125" i="1"/>
  <c r="AG95" i="1"/>
  <c r="AB66" i="1"/>
  <c r="AI141" i="1"/>
  <c r="AC111" i="1"/>
  <c r="AA97" i="1"/>
  <c r="AI81" i="1"/>
  <c r="AG67" i="1"/>
  <c r="AE53" i="1"/>
  <c r="AC39" i="1"/>
  <c r="AC27" i="1"/>
  <c r="AE114" i="1"/>
  <c r="AB99" i="1"/>
  <c r="AB39" i="1"/>
  <c r="AA26" i="1"/>
  <c r="AG129" i="1"/>
  <c r="AA99" i="1"/>
  <c r="AA136" i="1"/>
  <c r="AG118" i="1"/>
  <c r="AE104" i="1"/>
  <c r="AE81" i="1"/>
  <c r="AI49" i="1"/>
  <c r="AB91" i="1"/>
  <c r="AC56" i="1"/>
  <c r="AG121" i="1"/>
  <c r="AC130" i="1"/>
  <c r="AB130" i="1"/>
  <c r="Z116" i="1"/>
  <c r="AG136" i="1"/>
  <c r="AE122" i="1"/>
  <c r="AG137" i="1"/>
  <c r="AE123" i="1"/>
  <c r="AC41" i="1"/>
  <c r="AA27" i="1"/>
  <c r="AG94" i="1"/>
  <c r="AE80" i="1"/>
  <c r="AC66" i="1"/>
  <c r="AA52" i="1"/>
  <c r="AI36" i="1"/>
  <c r="AC31" i="1"/>
  <c r="AG36" i="1"/>
  <c r="AI26" i="1"/>
  <c r="AI99" i="1"/>
  <c r="AG85" i="1"/>
  <c r="AE71" i="1"/>
  <c r="AC57" i="1"/>
  <c r="AA43" i="1"/>
  <c r="AI27" i="1"/>
  <c r="AG110" i="1"/>
  <c r="AE96" i="1"/>
  <c r="AC82" i="1"/>
  <c r="AA68" i="1"/>
  <c r="AI52" i="1"/>
  <c r="AG38" i="1"/>
  <c r="AB94" i="1"/>
  <c r="Z80" i="1"/>
  <c r="AH64" i="1"/>
  <c r="AF50" i="1"/>
  <c r="AF111" i="1"/>
  <c r="AB83" i="1"/>
  <c r="Z69" i="1"/>
  <c r="AH53" i="1"/>
  <c r="AF39" i="1"/>
  <c r="AF100" i="1"/>
  <c r="AB72" i="1"/>
  <c r="Z58" i="1"/>
  <c r="AF28" i="1"/>
  <c r="AC134" i="1"/>
  <c r="AA120" i="1"/>
  <c r="AI104" i="1"/>
  <c r="AG90" i="1"/>
  <c r="AE76" i="1"/>
  <c r="AC62" i="1"/>
  <c r="AA48" i="1"/>
  <c r="AE28" i="1"/>
  <c r="Z85" i="1"/>
  <c r="AG128" i="1"/>
  <c r="AG80" i="1"/>
  <c r="AC52" i="1"/>
  <c r="AC113" i="1"/>
  <c r="AI95" i="1"/>
  <c r="AG81" i="1"/>
  <c r="AC53" i="1"/>
  <c r="AI132" i="1"/>
  <c r="AB55" i="1"/>
  <c r="AB129" i="1"/>
  <c r="AC143" i="1"/>
  <c r="AI113" i="1"/>
  <c r="AB40" i="1"/>
  <c r="AB65" i="1"/>
  <c r="AB30" i="1"/>
  <c r="AF84" i="1"/>
  <c r="AB56" i="1"/>
  <c r="Z42" i="1"/>
  <c r="J18" i="1"/>
  <c r="AH144" i="1"/>
  <c r="AH97" i="1"/>
  <c r="AH121" i="1"/>
  <c r="AH143" i="1"/>
  <c r="AF109" i="1"/>
  <c r="AB81" i="1"/>
  <c r="Z67" i="1"/>
  <c r="AH51" i="1"/>
  <c r="AF37" i="1"/>
  <c r="AC107" i="1"/>
  <c r="AA93" i="1"/>
  <c r="AI77" i="1"/>
  <c r="AG63" i="1"/>
  <c r="AE49" i="1"/>
  <c r="AC35" i="1"/>
  <c r="AE110" i="1"/>
  <c r="AC96" i="1"/>
  <c r="AA82" i="1"/>
  <c r="AI66" i="1"/>
  <c r="AG52" i="1"/>
  <c r="AE38" i="1"/>
  <c r="AB144" i="1"/>
  <c r="AE99" i="1"/>
  <c r="AC85" i="1"/>
  <c r="AA71" i="1"/>
  <c r="AI55" i="1"/>
  <c r="AG41" i="1"/>
  <c r="AE27" i="1"/>
  <c r="AB133" i="1"/>
  <c r="Z119" i="1"/>
  <c r="AH103" i="1"/>
  <c r="AF89" i="1"/>
  <c r="AB61" i="1"/>
  <c r="Z47" i="1"/>
  <c r="AC38" i="1"/>
  <c r="Z102" i="1"/>
  <c r="AG119" i="1"/>
  <c r="AB90" i="1"/>
  <c r="AA114" i="1"/>
  <c r="AA78" i="1"/>
  <c r="AG139" i="1"/>
  <c r="AA109" i="1"/>
  <c r="AI93" i="1"/>
  <c r="AG79" i="1"/>
  <c r="AE65" i="1"/>
  <c r="AC51" i="1"/>
  <c r="AA37" i="1"/>
  <c r="AI142" i="1"/>
  <c r="AC112" i="1"/>
  <c r="AI94" i="1"/>
  <c r="AB51" i="1"/>
  <c r="Z37" i="1"/>
  <c r="AE127" i="1"/>
  <c r="AB112" i="1"/>
  <c r="AB52" i="1"/>
  <c r="AE116" i="1"/>
  <c r="AC102" i="1"/>
  <c r="AC79" i="1"/>
  <c r="AG47" i="1"/>
  <c r="AI50" i="1"/>
  <c r="AE119" i="1"/>
  <c r="AA128" i="1"/>
  <c r="AB142" i="1"/>
  <c r="Z128" i="1"/>
  <c r="AE134" i="1"/>
  <c r="AC120" i="1"/>
  <c r="AE135" i="1"/>
  <c r="AC121" i="1"/>
  <c r="AA39" i="1"/>
  <c r="AE92" i="1"/>
  <c r="AC78" i="1"/>
  <c r="AA64" i="1"/>
  <c r="AI48" i="1"/>
  <c r="AG34" i="1"/>
  <c r="AA29" i="1"/>
  <c r="AE34" i="1"/>
  <c r="AG97" i="1"/>
  <c r="AE83" i="1"/>
  <c r="AC69" i="1"/>
  <c r="AA55" i="1"/>
  <c r="AI39" i="1"/>
  <c r="AH26" i="1"/>
  <c r="AE108" i="1"/>
  <c r="AC94" i="1"/>
  <c r="AA80" i="1"/>
  <c r="AI64" i="1"/>
  <c r="AG50" i="1"/>
  <c r="AE36" i="1"/>
  <c r="AB106" i="1"/>
  <c r="Z92" i="1"/>
  <c r="AH76" i="1"/>
  <c r="AF62" i="1"/>
  <c r="AB34" i="1"/>
  <c r="AB95" i="1"/>
  <c r="Z81" i="1"/>
  <c r="AH65" i="1"/>
  <c r="AF51" i="1"/>
  <c r="AF112" i="1"/>
  <c r="AB84" i="1"/>
  <c r="Z70" i="1"/>
  <c r="AH54" i="1"/>
  <c r="AF40" i="1"/>
  <c r="F18" i="1"/>
  <c r="AD104" i="1"/>
  <c r="AD128" i="1"/>
  <c r="AD105" i="1"/>
  <c r="AD129" i="1"/>
  <c r="AD92" i="1"/>
  <c r="AD116" i="1"/>
  <c r="AD93" i="1"/>
  <c r="AD117" i="1"/>
  <c r="AD141" i="1"/>
  <c r="AA132" i="1"/>
  <c r="AI116" i="1"/>
  <c r="AG102" i="1"/>
  <c r="AE88" i="1"/>
  <c r="AC74" i="1"/>
  <c r="AA60" i="1"/>
  <c r="AI44" i="1"/>
  <c r="AB37" i="1"/>
  <c r="AD27" i="1"/>
  <c r="Z41" i="1"/>
  <c r="F20" i="1"/>
  <c r="J20" i="1"/>
  <c r="K20" i="1"/>
  <c r="D20" i="1"/>
  <c r="H20" i="1"/>
  <c r="O5" i="1" l="1" a="1"/>
  <c r="O5" i="1" l="1"/>
  <c r="B9" i="2" s="1"/>
  <c r="P12" i="1"/>
  <c r="C16" i="2" s="1"/>
  <c r="Q14" i="1"/>
  <c r="D18" i="2" s="1"/>
  <c r="T10" i="1"/>
  <c r="G14" i="2" s="1"/>
  <c r="W6" i="1"/>
  <c r="J10" i="2" s="1"/>
  <c r="U6" i="1"/>
  <c r="H10" i="2" s="1"/>
  <c r="X8" i="1"/>
  <c r="K12" i="2" s="1"/>
  <c r="Q11" i="1"/>
  <c r="D15" i="2" s="1"/>
  <c r="P11" i="1"/>
  <c r="C15" i="2" s="1"/>
  <c r="U8" i="1"/>
  <c r="H12" i="2" s="1"/>
  <c r="S14" i="1"/>
  <c r="F18" i="2" s="1"/>
  <c r="O13" i="1"/>
  <c r="B17" i="2" s="1"/>
  <c r="R9" i="1"/>
  <c r="E13" i="2" s="1"/>
  <c r="U5" i="1"/>
  <c r="H9" i="2" s="1"/>
  <c r="S5" i="1"/>
  <c r="F9" i="2" s="1"/>
  <c r="V7" i="1"/>
  <c r="I11" i="2" s="1"/>
  <c r="O10" i="1"/>
  <c r="B14" i="2" s="1"/>
  <c r="X9" i="1"/>
  <c r="K13" i="2" s="1"/>
  <c r="S7" i="1"/>
  <c r="F11" i="2" s="1"/>
  <c r="X5" i="1"/>
  <c r="K9" i="2" s="1"/>
  <c r="T12" i="1"/>
  <c r="G16" i="2" s="1"/>
  <c r="Q12" i="1"/>
  <c r="D16" i="2" s="1"/>
  <c r="O8" i="1"/>
  <c r="B12" i="2" s="1"/>
  <c r="R14" i="1"/>
  <c r="E18" i="2" s="1"/>
  <c r="W11" i="1"/>
  <c r="J15" i="2" s="1"/>
  <c r="P8" i="1"/>
  <c r="C12" i="2" s="1"/>
  <c r="X10" i="1"/>
  <c r="K14" i="2" s="1"/>
  <c r="R13" i="1"/>
  <c r="E17" i="2" s="1"/>
  <c r="T6" i="1"/>
  <c r="G10" i="2" s="1"/>
  <c r="W8" i="1"/>
  <c r="J12" i="2" s="1"/>
  <c r="V8" i="1"/>
  <c r="I12" i="2" s="1"/>
  <c r="Q6" i="1"/>
  <c r="D10" i="2" s="1"/>
  <c r="Q13" i="1"/>
  <c r="D17" i="2" s="1"/>
  <c r="S12" i="1"/>
  <c r="F16" i="2" s="1"/>
  <c r="W9" i="1"/>
  <c r="J13" i="2" s="1"/>
  <c r="P13" i="1"/>
  <c r="C17" i="2" s="1"/>
  <c r="U10" i="1"/>
  <c r="H14" i="2" s="1"/>
  <c r="X6" i="1"/>
  <c r="K10" i="2" s="1"/>
  <c r="W10" i="1"/>
  <c r="J14" i="2" s="1"/>
  <c r="S8" i="1"/>
  <c r="F12" i="2" s="1"/>
  <c r="R5" i="1"/>
  <c r="E9" i="2" s="1"/>
  <c r="U7" i="1"/>
  <c r="H11" i="2" s="1"/>
  <c r="T7" i="1"/>
  <c r="G11" i="2" s="1"/>
  <c r="T9" i="1"/>
  <c r="G13" i="2" s="1"/>
  <c r="O14" i="1"/>
  <c r="B18" i="2" s="1"/>
  <c r="W13" i="1"/>
  <c r="J17" i="2" s="1"/>
  <c r="T5" i="1"/>
  <c r="G9" i="2" s="1"/>
  <c r="V12" i="1"/>
  <c r="I16" i="2" s="1"/>
  <c r="T14" i="1"/>
  <c r="G18" i="2" s="1"/>
  <c r="P6" i="1"/>
  <c r="C10" i="2" s="1"/>
  <c r="V11" i="1"/>
  <c r="I15" i="2" s="1"/>
  <c r="P10" i="1"/>
  <c r="C14" i="2" s="1"/>
  <c r="R12" i="1"/>
  <c r="E16" i="2" s="1"/>
  <c r="X11" i="1"/>
  <c r="K15" i="2" s="1"/>
  <c r="S9" i="1"/>
  <c r="F13" i="2" s="1"/>
  <c r="V5" i="1"/>
  <c r="I9" i="2" s="1"/>
  <c r="U9" i="1"/>
  <c r="H13" i="2" s="1"/>
  <c r="X13" i="1"/>
  <c r="K17" i="2" s="1"/>
  <c r="T8" i="1"/>
  <c r="G12" i="2" s="1"/>
  <c r="S6" i="1"/>
  <c r="F10" i="2" s="1"/>
  <c r="R6" i="1"/>
  <c r="E10" i="2" s="1"/>
  <c r="P14" i="1"/>
  <c r="C18" i="2" s="1"/>
  <c r="Q10" i="1"/>
  <c r="D14" i="2" s="1"/>
  <c r="V14" i="1"/>
  <c r="I18" i="2" s="1"/>
  <c r="V10" i="1"/>
  <c r="I14" i="2" s="1"/>
  <c r="Q8" i="1"/>
  <c r="D12" i="2" s="1"/>
  <c r="O12" i="1"/>
  <c r="B16" i="2" s="1"/>
  <c r="P9" i="1"/>
  <c r="C13" i="2" s="1"/>
  <c r="T11" i="1"/>
  <c r="G15" i="2" s="1"/>
  <c r="Q7" i="1"/>
  <c r="D11" i="2" s="1"/>
  <c r="Q5" i="1"/>
  <c r="D9" i="2" s="1"/>
  <c r="P5" i="1"/>
  <c r="C9" i="2" s="1"/>
  <c r="R7" i="1"/>
  <c r="E11" i="2" s="1"/>
  <c r="X12" i="1"/>
  <c r="K16" i="2" s="1"/>
  <c r="Q9" i="1"/>
  <c r="D13" i="2" s="1"/>
  <c r="O9" i="1"/>
  <c r="B13" i="2" s="1"/>
  <c r="R11" i="1"/>
  <c r="E15" i="2" s="1"/>
  <c r="U13" i="1"/>
  <c r="H17" i="2" s="1"/>
  <c r="T13" i="1"/>
  <c r="G17" i="2" s="1"/>
  <c r="O11" i="1"/>
  <c r="B15" i="2" s="1"/>
  <c r="O7" i="1"/>
  <c r="B11" i="2" s="1"/>
  <c r="R8" i="1"/>
  <c r="E12" i="2" s="1"/>
  <c r="W5" i="1"/>
  <c r="J9" i="2" s="1"/>
  <c r="W12" i="1"/>
  <c r="J16" i="2" s="1"/>
  <c r="U12" i="1"/>
  <c r="H16" i="2" s="1"/>
  <c r="X14" i="1"/>
  <c r="K18" i="2" s="1"/>
  <c r="R10" i="1"/>
  <c r="E14" i="2" s="1"/>
  <c r="O6" i="1"/>
  <c r="B10" i="2" s="1"/>
  <c r="U14" i="1"/>
  <c r="H18" i="2" s="1"/>
  <c r="S10" i="1"/>
  <c r="F14" i="2" s="1"/>
  <c r="W14" i="1"/>
  <c r="J18" i="2" s="1"/>
  <c r="P7" i="1"/>
  <c r="C11" i="2" s="1"/>
  <c r="V9" i="1"/>
  <c r="I13" i="2" s="1"/>
  <c r="U11" i="1"/>
  <c r="H15" i="2" s="1"/>
  <c r="S11" i="1"/>
  <c r="F15" i="2" s="1"/>
  <c r="V13" i="1"/>
  <c r="I17" i="2" s="1"/>
  <c r="V6" i="1"/>
  <c r="I10" i="2" s="1"/>
  <c r="X7" i="1"/>
  <c r="K11" i="2" s="1"/>
  <c r="S13" i="1"/>
  <c r="F17" i="2" s="1"/>
  <c r="W7" i="1"/>
  <c r="J11" i="2" s="1"/>
  <c r="A23" i="2" l="1" a="1"/>
  <c r="A23" i="2" s="1"/>
  <c r="L5" i="2" s="1"/>
</calcChain>
</file>

<file path=xl/sharedStrings.xml><?xml version="1.0" encoding="utf-8"?>
<sst xmlns="http://schemas.openxmlformats.org/spreadsheetml/2006/main" count="80" uniqueCount="44">
  <si>
    <t>Efficient Frontier Analysis - Data</t>
  </si>
  <si>
    <t>Correlation Coefficients</t>
  </si>
  <si>
    <t>Annualized</t>
  </si>
  <si>
    <t>Monthly</t>
  </si>
  <si>
    <t>Mean</t>
  </si>
  <si>
    <t>Stdev</t>
  </si>
  <si>
    <t>Variance</t>
  </si>
  <si>
    <t>Beta (cov/var)</t>
  </si>
  <si>
    <t>Covariance</t>
  </si>
  <si>
    <t>Closing Prices</t>
  </si>
  <si>
    <t>Monthly Returns</t>
  </si>
  <si>
    <t>Date</t>
  </si>
  <si>
    <t>Efficient Frontier</t>
  </si>
  <si>
    <t>Your Portfolio</t>
  </si>
  <si>
    <t>Historical Return</t>
  </si>
  <si>
    <t>E[Ri]</t>
  </si>
  <si>
    <t>Total weights</t>
  </si>
  <si>
    <t>Weights</t>
  </si>
  <si>
    <t>(Σ)</t>
  </si>
  <si>
    <t>Variance/Covariance Matrix</t>
  </si>
  <si>
    <t>Target Portfolio Return</t>
  </si>
  <si>
    <t>Portfolio Variance</t>
  </si>
  <si>
    <t>Sample Portfolio Optimization Table -- (select target portfolio means)</t>
  </si>
  <si>
    <t>Use 'Paste Special' -&gt; 'Values' from the 'Solver' results</t>
  </si>
  <si>
    <t>Port Mean</t>
  </si>
  <si>
    <t>Port Sigma</t>
  </si>
  <si>
    <t>Max</t>
  </si>
  <si>
    <t>Min</t>
  </si>
  <si>
    <t>AGG Min/Max</t>
  </si>
  <si>
    <r>
      <t>E[R</t>
    </r>
    <r>
      <rPr>
        <vertAlign val="subscript"/>
        <sz val="10"/>
        <color indexed="10"/>
        <rFont val="Times New Roman"/>
        <family val="1"/>
      </rPr>
      <t>p</t>
    </r>
    <r>
      <rPr>
        <sz val="10"/>
        <color indexed="10"/>
        <rFont val="Times New Roman"/>
        <family val="1"/>
      </rPr>
      <t>]</t>
    </r>
  </si>
  <si>
    <r>
      <t>σ</t>
    </r>
    <r>
      <rPr>
        <vertAlign val="subscript"/>
        <sz val="11"/>
        <color indexed="10"/>
        <rFont val="Times New Roman"/>
        <family val="1"/>
      </rPr>
      <t>p</t>
    </r>
  </si>
  <si>
    <r>
      <t>σ</t>
    </r>
    <r>
      <rPr>
        <vertAlign val="subscript"/>
        <sz val="8"/>
        <rFont val="Times New Roman"/>
        <family val="1"/>
      </rPr>
      <t>i</t>
    </r>
  </si>
  <si>
    <t>AAPL</t>
  </si>
  <si>
    <t>HOG</t>
  </si>
  <si>
    <t>DIS</t>
  </si>
  <si>
    <t>WMT</t>
  </si>
  <si>
    <t>BBY</t>
  </si>
  <si>
    <t>AMZN</t>
  </si>
  <si>
    <t>GS</t>
  </si>
  <si>
    <t>GOOG</t>
  </si>
  <si>
    <t>HD</t>
  </si>
  <si>
    <t>MSFT</t>
  </si>
  <si>
    <t>S&amp;P500</t>
  </si>
  <si>
    <t>Excess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</si>
</sst>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[$-409]mmm\-yy;@"/>
    <numFmt numFmtId="166" formatCode="0.0%"/>
    <numFmt numFmtId="167" formatCode="0.000"/>
    <numFmt numFmtId="168" formatCode="0.00000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i/>
      <sz val="10"/>
      <color rgb="FFFF000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indexed="10"/>
      <name val="Times New Roman"/>
      <family val="1"/>
    </font>
    <font>
      <vertAlign val="subscript"/>
      <sz val="10"/>
      <color indexed="10"/>
      <name val="Times New Roman"/>
      <family val="1"/>
    </font>
    <font>
      <sz val="11"/>
      <color indexed="10"/>
      <name val="Times New Roman"/>
      <family val="1"/>
    </font>
    <font>
      <vertAlign val="subscript"/>
      <sz val="11"/>
      <color indexed="10"/>
      <name val="Times New Roman"/>
      <family val="1"/>
    </font>
    <font>
      <sz val="11"/>
      <name val="Times New Roman"/>
      <family val="1"/>
    </font>
    <font>
      <vertAlign val="subscript"/>
      <sz val="8"/>
      <name val="Times New Roman"/>
      <family val="1"/>
    </font>
    <font>
      <b/>
      <i/>
      <sz val="10"/>
      <name val="Times New Roman"/>
      <family val="1"/>
    </font>
    <font>
      <b/>
      <sz val="10"/>
      <color indexed="10"/>
      <name val="Times New Roman"/>
      <family val="1"/>
    </font>
    <font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CC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2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1" fontId="0" fillId="0" borderId="5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7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6" fillId="0" borderId="0" xfId="0" applyFont="1"/>
    <xf numFmtId="164" fontId="0" fillId="0" borderId="0" xfId="0" applyNumberFormat="1"/>
    <xf numFmtId="10" fontId="0" fillId="0" borderId="0" xfId="0" applyNumberFormat="1" applyAlignment="1">
      <alignment horizontal="center"/>
    </xf>
    <xf numFmtId="0" fontId="5" fillId="0" borderId="0" xfId="0" applyFont="1" applyAlignment="1">
      <alignment horizontal="left"/>
    </xf>
    <xf numFmtId="10" fontId="3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7" fillId="0" borderId="0" xfId="0" applyFont="1"/>
    <xf numFmtId="10" fontId="5" fillId="0" borderId="0" xfId="0" applyNumberFormat="1" applyFont="1"/>
    <xf numFmtId="0" fontId="8" fillId="0" borderId="0" xfId="0" applyFont="1"/>
    <xf numFmtId="2" fontId="0" fillId="0" borderId="0" xfId="0" applyNumberFormat="1"/>
    <xf numFmtId="0" fontId="8" fillId="2" borderId="12" xfId="0" applyFont="1" applyFill="1" applyBorder="1"/>
    <xf numFmtId="0" fontId="8" fillId="0" borderId="0" xfId="0" applyFont="1" applyAlignment="1">
      <alignment horizontal="center"/>
    </xf>
    <xf numFmtId="49" fontId="5" fillId="2" borderId="12" xfId="0" applyNumberFormat="1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10" fontId="0" fillId="4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/>
    <xf numFmtId="10" fontId="11" fillId="0" borderId="0" xfId="1" applyNumberFormat="1" applyFont="1" applyFill="1" applyBorder="1" applyAlignment="1">
      <alignment horizontal="center"/>
    </xf>
    <xf numFmtId="10" fontId="10" fillId="0" borderId="0" xfId="1" applyNumberFormat="1" applyFont="1" applyAlignment="1">
      <alignment horizontal="center"/>
    </xf>
    <xf numFmtId="10" fontId="10" fillId="0" borderId="13" xfId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0" fontId="10" fillId="0" borderId="0" xfId="1" applyNumberFormat="1" applyFont="1" applyBorder="1" applyAlignment="1">
      <alignment horizontal="center"/>
    </xf>
    <xf numFmtId="166" fontId="10" fillId="2" borderId="12" xfId="1" applyNumberFormat="1" applyFont="1" applyFill="1" applyBorder="1" applyAlignment="1">
      <alignment horizontal="center"/>
    </xf>
    <xf numFmtId="10" fontId="10" fillId="0" borderId="13" xfId="1" applyNumberFormat="1" applyFont="1" applyFill="1" applyBorder="1" applyAlignment="1">
      <alignment horizontal="center"/>
    </xf>
    <xf numFmtId="166" fontId="10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66" fontId="10" fillId="0" borderId="0" xfId="1" applyNumberFormat="1" applyFont="1" applyFill="1" applyBorder="1" applyAlignment="1">
      <alignment horizontal="center"/>
    </xf>
    <xf numFmtId="10" fontId="10" fillId="0" borderId="0" xfId="1" applyNumberFormat="1" applyFont="1" applyFill="1" applyBorder="1" applyAlignment="1">
      <alignment horizontal="center"/>
    </xf>
    <xf numFmtId="166" fontId="18" fillId="0" borderId="0" xfId="1" applyNumberFormat="1" applyFont="1" applyFill="1" applyBorder="1" applyAlignment="1">
      <alignment horizontal="left"/>
    </xf>
    <xf numFmtId="167" fontId="11" fillId="0" borderId="0" xfId="0" applyNumberFormat="1" applyFont="1" applyAlignment="1">
      <alignment horizontal="center"/>
    </xf>
    <xf numFmtId="166" fontId="10" fillId="0" borderId="0" xfId="1" applyNumberFormat="1" applyFont="1"/>
    <xf numFmtId="10" fontId="10" fillId="0" borderId="0" xfId="1" applyNumberFormat="1" applyFont="1"/>
    <xf numFmtId="10" fontId="10" fillId="2" borderId="12" xfId="1" applyNumberFormat="1" applyFont="1" applyFill="1" applyBorder="1" applyAlignment="1">
      <alignment horizontal="center"/>
    </xf>
    <xf numFmtId="168" fontId="10" fillId="0" borderId="12" xfId="0" applyNumberFormat="1" applyFont="1" applyBorder="1" applyAlignment="1">
      <alignment horizontal="center"/>
    </xf>
    <xf numFmtId="0" fontId="11" fillId="2" borderId="5" xfId="0" applyFont="1" applyFill="1" applyBorder="1"/>
    <xf numFmtId="0" fontId="10" fillId="2" borderId="4" xfId="0" applyFont="1" applyFill="1" applyBorder="1"/>
    <xf numFmtId="0" fontId="10" fillId="2" borderId="6" xfId="0" applyFont="1" applyFill="1" applyBorder="1"/>
    <xf numFmtId="0" fontId="11" fillId="2" borderId="7" xfId="0" applyFont="1" applyFill="1" applyBorder="1" applyAlignment="1">
      <alignment horizontal="left"/>
    </xf>
    <xf numFmtId="0" fontId="10" fillId="2" borderId="0" xfId="0" applyFont="1" applyFill="1"/>
    <xf numFmtId="167" fontId="10" fillId="2" borderId="0" xfId="0" applyNumberFormat="1" applyFont="1" applyFill="1" applyAlignment="1">
      <alignment horizontal="center"/>
    </xf>
    <xf numFmtId="0" fontId="10" fillId="2" borderId="8" xfId="0" applyFont="1" applyFill="1" applyBorder="1"/>
    <xf numFmtId="0" fontId="19" fillId="2" borderId="9" xfId="0" applyFont="1" applyFill="1" applyBorder="1" applyAlignment="1">
      <alignment horizontal="left"/>
    </xf>
    <xf numFmtId="0" fontId="10" fillId="2" borderId="10" xfId="0" applyFont="1" applyFill="1" applyBorder="1"/>
    <xf numFmtId="0" fontId="10" fillId="2" borderId="11" xfId="0" applyFont="1" applyFill="1" applyBorder="1"/>
    <xf numFmtId="0" fontId="10" fillId="2" borderId="5" xfId="0" applyFont="1" applyFill="1" applyBorder="1"/>
    <xf numFmtId="0" fontId="11" fillId="2" borderId="9" xfId="0" applyFont="1" applyFill="1" applyBorder="1"/>
    <xf numFmtId="0" fontId="11" fillId="2" borderId="15" xfId="0" applyFont="1" applyFill="1" applyBorder="1"/>
    <xf numFmtId="0" fontId="11" fillId="2" borderId="12" xfId="0" applyFont="1" applyFill="1" applyBorder="1" applyAlignment="1">
      <alignment horizontal="center"/>
    </xf>
    <xf numFmtId="0" fontId="19" fillId="2" borderId="12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10" fontId="10" fillId="2" borderId="7" xfId="0" applyNumberFormat="1" applyFont="1" applyFill="1" applyBorder="1" applyAlignment="1">
      <alignment horizontal="center"/>
    </xf>
    <xf numFmtId="10" fontId="10" fillId="2" borderId="15" xfId="0" applyNumberFormat="1" applyFont="1" applyFill="1" applyBorder="1" applyAlignment="1">
      <alignment horizontal="center"/>
    </xf>
    <xf numFmtId="10" fontId="10" fillId="2" borderId="8" xfId="0" applyNumberFormat="1" applyFont="1" applyFill="1" applyBorder="1" applyAlignment="1">
      <alignment horizontal="center"/>
    </xf>
    <xf numFmtId="10" fontId="10" fillId="0" borderId="0" xfId="0" applyNumberFormat="1" applyFont="1"/>
    <xf numFmtId="10" fontId="10" fillId="2" borderId="0" xfId="0" applyNumberFormat="1" applyFont="1" applyFill="1" applyAlignment="1">
      <alignment horizontal="center"/>
    </xf>
    <xf numFmtId="14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167" fontId="20" fillId="0" borderId="0" xfId="0" applyNumberFormat="1" applyFont="1" applyAlignment="1">
      <alignment horizontal="center"/>
    </xf>
    <xf numFmtId="0" fontId="20" fillId="0" borderId="0" xfId="0" applyFont="1"/>
    <xf numFmtId="0" fontId="10" fillId="2" borderId="16" xfId="0" applyFont="1" applyFill="1" applyBorder="1" applyAlignment="1">
      <alignment horizontal="center"/>
    </xf>
    <xf numFmtId="10" fontId="10" fillId="2" borderId="14" xfId="0" applyNumberFormat="1" applyFont="1" applyFill="1" applyBorder="1" applyAlignment="1">
      <alignment horizontal="center"/>
    </xf>
    <xf numFmtId="10" fontId="0" fillId="0" borderId="0" xfId="0" applyNumberFormat="1"/>
    <xf numFmtId="164" fontId="0" fillId="0" borderId="5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Efficient Frontier</a:t>
            </a:r>
          </a:p>
        </c:rich>
      </c:tx>
      <c:layout>
        <c:manualLayout>
          <c:xMode val="edge"/>
          <c:yMode val="edge"/>
          <c:x val="0.36876057159521874"/>
          <c:y val="2.9661016949152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103084904458687"/>
          <c:y val="0.1843222245785725"/>
          <c:w val="0.78260992635669535"/>
          <c:h val="0.67161086426905436"/>
        </c:manualLayout>
      </c:layout>
      <c:scatterChart>
        <c:scatterStyle val="lineMarker"/>
        <c:varyColors val="0"/>
        <c:ser>
          <c:idx val="0"/>
          <c:order val="0"/>
          <c:tx>
            <c:strRef>
              <c:f>'MVO - Efficient Frontier'!$M$32</c:f>
              <c:strCache>
                <c:ptCount val="1"/>
                <c:pt idx="0">
                  <c:v>Port Mean</c:v>
                </c:pt>
              </c:strCache>
            </c:strRef>
          </c:tx>
          <c:spPr>
            <a:ln w="19050">
              <a:noFill/>
            </a:ln>
          </c:spPr>
          <c:xVal>
            <c:numRef>
              <c:f>'MVO - Efficient Frontier'!$L$33:$L$43</c:f>
              <c:numCache>
                <c:formatCode>0.00%</c:formatCode>
                <c:ptCount val="11"/>
                <c:pt idx="0">
                  <c:v>0.16012762683288576</c:v>
                </c:pt>
                <c:pt idx="1">
                  <c:v>0.14077262426233478</c:v>
                </c:pt>
                <c:pt idx="2">
                  <c:v>0.13156727156789855</c:v>
                </c:pt>
                <c:pt idx="3">
                  <c:v>0.12659929846378357</c:v>
                </c:pt>
                <c:pt idx="4">
                  <c:v>0.12584672282440945</c:v>
                </c:pt>
                <c:pt idx="5">
                  <c:v>0.13005478808246732</c:v>
                </c:pt>
                <c:pt idx="6">
                  <c:v>0.13964670961866857</c:v>
                </c:pt>
                <c:pt idx="7">
                  <c:v>0.15455417097486712</c:v>
                </c:pt>
                <c:pt idx="8">
                  <c:v>0.17385596018287403</c:v>
                </c:pt>
                <c:pt idx="9">
                  <c:v>0.20363666059068183</c:v>
                </c:pt>
                <c:pt idx="10">
                  <c:v>0.24270022413824144</c:v>
                </c:pt>
              </c:numCache>
            </c:numRef>
          </c:xVal>
          <c:yVal>
            <c:numRef>
              <c:f>'MVO - Efficient Frontier'!$M$33:$M$43</c:f>
              <c:numCache>
                <c:formatCode>0.00%</c:formatCode>
                <c:ptCount val="11"/>
                <c:pt idx="0">
                  <c:v>0.12</c:v>
                </c:pt>
                <c:pt idx="1">
                  <c:v>0.14000000000000001</c:v>
                </c:pt>
                <c:pt idx="2">
                  <c:v>0.16</c:v>
                </c:pt>
                <c:pt idx="3">
                  <c:v>0.18</c:v>
                </c:pt>
                <c:pt idx="4">
                  <c:v>0.2</c:v>
                </c:pt>
                <c:pt idx="5">
                  <c:v>0.22</c:v>
                </c:pt>
                <c:pt idx="6">
                  <c:v>0.24</c:v>
                </c:pt>
                <c:pt idx="7">
                  <c:v>0.26</c:v>
                </c:pt>
                <c:pt idx="8">
                  <c:v>0.28000000000000003</c:v>
                </c:pt>
                <c:pt idx="9">
                  <c:v>0.3</c:v>
                </c:pt>
                <c:pt idx="10">
                  <c:v>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4234-B641-A4DD-A9922F2D69D3}"/>
            </c:ext>
          </c:extLst>
        </c:ser>
        <c:ser>
          <c:idx val="1"/>
          <c:order val="1"/>
          <c:tx>
            <c:v>My Portfolio</c:v>
          </c:tx>
          <c:spPr>
            <a:ln w="19050">
              <a:noFill/>
            </a:ln>
          </c:spPr>
          <c:xVal>
            <c:numRef>
              <c:f>'MVO - Efficient Frontier'!$N$5</c:f>
              <c:numCache>
                <c:formatCode>0.00%</c:formatCode>
                <c:ptCount val="1"/>
                <c:pt idx="0">
                  <c:v>0.1636</c:v>
                </c:pt>
              </c:numCache>
            </c:numRef>
          </c:xVal>
          <c:yVal>
            <c:numRef>
              <c:f>'MVO - Efficient Frontier'!$N$3</c:f>
              <c:numCache>
                <c:formatCode>0.00%</c:formatCode>
                <c:ptCount val="1"/>
                <c:pt idx="0">
                  <c:v>0.2069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4234-B641-A4DD-A9922F2D6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079872"/>
        <c:axId val="246081792"/>
      </c:scatterChart>
      <c:valAx>
        <c:axId val="246079872"/>
        <c:scaling>
          <c:orientation val="minMax"/>
          <c:max val="0.3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 Deviation</a:t>
                </a:r>
              </a:p>
            </c:rich>
          </c:tx>
          <c:layout>
            <c:manualLayout>
              <c:xMode val="edge"/>
              <c:yMode val="edge"/>
              <c:x val="0.42995236706523005"/>
              <c:y val="0.91313648293963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6081792"/>
        <c:crosses val="autoZero"/>
        <c:crossBetween val="midCat"/>
      </c:valAx>
      <c:valAx>
        <c:axId val="246081792"/>
        <c:scaling>
          <c:orientation val="minMax"/>
          <c:max val="0.40369309146527899"/>
          <c:min val="6.0000000000000012E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Portfolio Mean</a:t>
                </a:r>
              </a:p>
            </c:rich>
          </c:tx>
          <c:layout>
            <c:manualLayout>
              <c:xMode val="edge"/>
              <c:yMode val="edge"/>
              <c:x val="2.7375201288244926E-2"/>
              <c:y val="0.39618688553761633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607987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44" r="0.75000000000000244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676852</xdr:colOff>
      <xdr:row>22</xdr:row>
      <xdr:rowOff>23476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F9B716-6AB1-E84B-9BFE-DD7BED5B0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D5DA0-9194-7348-8E22-99D48AC00F21}">
  <dimension ref="A1:AI228"/>
  <sheetViews>
    <sheetView workbookViewId="0">
      <selection activeCell="O5" sqref="O5:X14"/>
    </sheetView>
  </sheetViews>
  <sheetFormatPr baseColWidth="10" defaultColWidth="8.83203125" defaultRowHeight="16" x14ac:dyDescent="0.2"/>
  <cols>
    <col min="1" max="1" width="14.1640625" customWidth="1"/>
    <col min="13" max="13" width="12" customWidth="1"/>
  </cols>
  <sheetData>
    <row r="1" spans="1:24" ht="24" thickBot="1" x14ac:dyDescent="0.3">
      <c r="A1" s="1" t="s">
        <v>0</v>
      </c>
      <c r="B1" s="2"/>
      <c r="C1" s="2"/>
      <c r="D1" s="2"/>
      <c r="E1" s="2"/>
      <c r="F1" s="3"/>
      <c r="G1" s="4"/>
      <c r="N1" s="5"/>
      <c r="X1" s="6"/>
    </row>
    <row r="2" spans="1:24" x14ac:dyDescent="0.2">
      <c r="N2" s="5"/>
      <c r="X2" s="6"/>
    </row>
    <row r="3" spans="1:24" x14ac:dyDescent="0.2">
      <c r="B3" s="7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7" t="s">
        <v>1</v>
      </c>
      <c r="P3" s="8"/>
      <c r="Q3" s="8"/>
      <c r="R3" s="8"/>
      <c r="S3" s="8"/>
      <c r="T3" s="8"/>
      <c r="U3" s="8"/>
      <c r="V3" s="8"/>
      <c r="W3" s="8"/>
      <c r="X3" s="8"/>
    </row>
    <row r="4" spans="1:24" ht="17" thickBot="1" x14ac:dyDescent="0.25">
      <c r="B4" s="9" t="str">
        <f>B24</f>
        <v>AAPL</v>
      </c>
      <c r="C4" s="9" t="str">
        <f t="shared" ref="C4:L4" si="0">C24</f>
        <v>HOG</v>
      </c>
      <c r="D4" s="9" t="str">
        <f t="shared" si="0"/>
        <v>DIS</v>
      </c>
      <c r="E4" s="9" t="str">
        <f t="shared" si="0"/>
        <v>WMT</v>
      </c>
      <c r="F4" s="9" t="str">
        <f t="shared" si="0"/>
        <v>BBY</v>
      </c>
      <c r="G4" s="9" t="str">
        <f t="shared" si="0"/>
        <v>AMZN</v>
      </c>
      <c r="H4" s="9" t="str">
        <f t="shared" si="0"/>
        <v>GS</v>
      </c>
      <c r="I4" s="9" t="str">
        <f t="shared" si="0"/>
        <v>GOOG</v>
      </c>
      <c r="J4" s="9" t="str">
        <f t="shared" si="0"/>
        <v>HD</v>
      </c>
      <c r="K4" s="9" t="str">
        <f t="shared" si="0"/>
        <v>MSFT</v>
      </c>
      <c r="L4" s="9" t="str">
        <f t="shared" si="0"/>
        <v>S&amp;P500</v>
      </c>
      <c r="M4" s="9"/>
      <c r="O4" s="9" t="str">
        <f>B4</f>
        <v>AAPL</v>
      </c>
      <c r="P4" s="9" t="str">
        <f t="shared" ref="P4:X4" si="1">C4</f>
        <v>HOG</v>
      </c>
      <c r="Q4" s="9" t="str">
        <f t="shared" si="1"/>
        <v>DIS</v>
      </c>
      <c r="R4" s="9" t="str">
        <f t="shared" si="1"/>
        <v>WMT</v>
      </c>
      <c r="S4" s="9" t="str">
        <f t="shared" si="1"/>
        <v>BBY</v>
      </c>
      <c r="T4" s="9" t="str">
        <f t="shared" si="1"/>
        <v>AMZN</v>
      </c>
      <c r="U4" s="9" t="str">
        <f t="shared" si="1"/>
        <v>GS</v>
      </c>
      <c r="V4" s="9" t="str">
        <f t="shared" si="1"/>
        <v>GOOG</v>
      </c>
      <c r="W4" s="9" t="str">
        <f t="shared" si="1"/>
        <v>HD</v>
      </c>
      <c r="X4" s="9" t="str">
        <f t="shared" si="1"/>
        <v>MSFT</v>
      </c>
    </row>
    <row r="5" spans="1:24" x14ac:dyDescent="0.2">
      <c r="A5" s="8" t="str">
        <f>B24</f>
        <v>AAPL</v>
      </c>
      <c r="B5" s="10">
        <f t="shared" ref="B5:L5" si="2">CORREL($N$26:$N$144,N$26:N$144)</f>
        <v>1</v>
      </c>
      <c r="C5" s="11">
        <f t="shared" si="2"/>
        <v>0.30080875568417431</v>
      </c>
      <c r="D5" s="11">
        <f t="shared" si="2"/>
        <v>0.35297344733492675</v>
      </c>
      <c r="E5" s="11">
        <f t="shared" si="2"/>
        <v>0.18952562118016331</v>
      </c>
      <c r="F5" s="11">
        <f t="shared" si="2"/>
        <v>0.27709876429478547</v>
      </c>
      <c r="G5" s="11">
        <f t="shared" si="2"/>
        <v>0.39878332052795307</v>
      </c>
      <c r="H5" s="11">
        <f t="shared" si="2"/>
        <v>0.36863106535957202</v>
      </c>
      <c r="I5" s="11">
        <f t="shared" si="2"/>
        <v>0.38520194212355235</v>
      </c>
      <c r="J5" s="11">
        <f t="shared" si="2"/>
        <v>0.31549215944317799</v>
      </c>
      <c r="K5" s="11">
        <f t="shared" si="2"/>
        <v>0.47969270851626983</v>
      </c>
      <c r="L5" s="12">
        <f t="shared" si="2"/>
        <v>0.56478964578091373</v>
      </c>
      <c r="M5" s="13"/>
      <c r="N5" s="8" t="str">
        <f>A5</f>
        <v>AAPL</v>
      </c>
      <c r="O5" s="94">
        <f t="array" ref="O5:X14">(MMULT(TRANSPOSE(Z26:AI144),Z26:AI144)/119)</f>
        <v>6.2683290797696575E-3</v>
      </c>
      <c r="P5" s="95">
        <v>2.1650927388637171E-3</v>
      </c>
      <c r="Q5" s="95">
        <v>1.9005460802967986E-3</v>
      </c>
      <c r="R5" s="95">
        <v>7.352241649115082E-4</v>
      </c>
      <c r="S5" s="95">
        <v>2.4860193597258809E-3</v>
      </c>
      <c r="T5" s="95">
        <v>2.5490705634767879E-3</v>
      </c>
      <c r="U5" s="95">
        <v>2.4429230555979937E-3</v>
      </c>
      <c r="V5" s="95">
        <v>1.9782211926449716E-3</v>
      </c>
      <c r="W5" s="95">
        <v>1.3409444858748349E-3</v>
      </c>
      <c r="X5" s="96">
        <v>2.1984750866270043E-3</v>
      </c>
    </row>
    <row r="6" spans="1:24" x14ac:dyDescent="0.2">
      <c r="A6" s="8" t="str">
        <f>C24</f>
        <v>HOG</v>
      </c>
      <c r="B6" s="14">
        <f t="shared" ref="B6:L6" si="3">CORREL($O$26:$O$144,N$26:N$144)</f>
        <v>0.30080875568417431</v>
      </c>
      <c r="C6" s="15">
        <f t="shared" si="3"/>
        <v>0.99999999999999978</v>
      </c>
      <c r="D6" s="13">
        <f t="shared" si="3"/>
        <v>0.34606237168361603</v>
      </c>
      <c r="E6" s="13">
        <f t="shared" si="3"/>
        <v>0.13248369410060173</v>
      </c>
      <c r="F6" s="13">
        <f t="shared" si="3"/>
        <v>0.4132497864033417</v>
      </c>
      <c r="G6" s="13">
        <f t="shared" si="3"/>
        <v>0.17841024229483199</v>
      </c>
      <c r="H6" s="13">
        <f t="shared" si="3"/>
        <v>0.45476675179345827</v>
      </c>
      <c r="I6" s="13">
        <f t="shared" si="3"/>
        <v>0.3096462441704706</v>
      </c>
      <c r="J6" s="13">
        <f t="shared" si="3"/>
        <v>0.44367600696555554</v>
      </c>
      <c r="K6" s="13">
        <f t="shared" si="3"/>
        <v>0.24652193602604125</v>
      </c>
      <c r="L6" s="16">
        <f t="shared" si="3"/>
        <v>0.55407158378343568</v>
      </c>
      <c r="M6" s="13"/>
      <c r="N6" s="8" t="str">
        <f t="shared" ref="N6:N14" si="4">A6</f>
        <v>HOG</v>
      </c>
      <c r="O6" s="97">
        <v>2.1650927388637171E-3</v>
      </c>
      <c r="P6" s="29">
        <v>8.2645701882605033E-3</v>
      </c>
      <c r="Q6" s="29">
        <v>2.1395625579529762E-3</v>
      </c>
      <c r="R6" s="29">
        <v>5.9013111714134082E-4</v>
      </c>
      <c r="S6" s="29">
        <v>4.257128869033391E-3</v>
      </c>
      <c r="T6" s="29">
        <v>1.3094800839135588E-3</v>
      </c>
      <c r="U6" s="29">
        <v>3.4605155459660128E-3</v>
      </c>
      <c r="V6" s="29">
        <v>1.8259397396344329E-3</v>
      </c>
      <c r="W6" s="29">
        <v>2.1653216274736243E-3</v>
      </c>
      <c r="X6" s="98">
        <v>1.2973233748085086E-3</v>
      </c>
    </row>
    <row r="7" spans="1:24" x14ac:dyDescent="0.2">
      <c r="A7" s="8" t="str">
        <f>D24</f>
        <v>DIS</v>
      </c>
      <c r="B7" s="14">
        <f t="shared" ref="B7:L7" si="5">CORREL($P$26:$P$144,N$26:N$144)</f>
        <v>0.35297344733492675</v>
      </c>
      <c r="C7" s="13">
        <f t="shared" si="5"/>
        <v>0.34606237168361603</v>
      </c>
      <c r="D7" s="15">
        <f t="shared" si="5"/>
        <v>1</v>
      </c>
      <c r="E7" s="13">
        <f t="shared" si="5"/>
        <v>0.22448190722042516</v>
      </c>
      <c r="F7" s="13">
        <f t="shared" si="5"/>
        <v>0.31603960773689621</v>
      </c>
      <c r="G7" s="13">
        <f t="shared" si="5"/>
        <v>0.27616097916454246</v>
      </c>
      <c r="H7" s="13">
        <f t="shared" si="5"/>
        <v>0.57661091906903217</v>
      </c>
      <c r="I7" s="13">
        <f t="shared" si="5"/>
        <v>0.42007671061787477</v>
      </c>
      <c r="J7" s="13">
        <f t="shared" si="5"/>
        <v>0.48004344143930466</v>
      </c>
      <c r="K7" s="13">
        <f t="shared" si="5"/>
        <v>0.4108017717405858</v>
      </c>
      <c r="L7" s="16">
        <f t="shared" si="5"/>
        <v>0.72086962974171309</v>
      </c>
      <c r="M7" s="13"/>
      <c r="N7" s="8" t="str">
        <f t="shared" si="4"/>
        <v>DIS</v>
      </c>
      <c r="O7" s="97">
        <v>1.9005460802967986E-3</v>
      </c>
      <c r="P7" s="29">
        <v>2.1395625579529762E-3</v>
      </c>
      <c r="Q7" s="29">
        <v>4.6250980753990926E-3</v>
      </c>
      <c r="R7" s="29">
        <v>7.4802784839446098E-4</v>
      </c>
      <c r="S7" s="29">
        <v>2.4355441713720741E-3</v>
      </c>
      <c r="T7" s="29">
        <v>1.516323149896869E-3</v>
      </c>
      <c r="U7" s="29">
        <v>3.2823530966486405E-3</v>
      </c>
      <c r="V7" s="29">
        <v>1.8531030278038285E-3</v>
      </c>
      <c r="W7" s="29">
        <v>1.7526183224188161E-3</v>
      </c>
      <c r="X7" s="98">
        <v>1.6172431429895143E-3</v>
      </c>
    </row>
    <row r="8" spans="1:24" x14ac:dyDescent="0.2">
      <c r="A8" s="8" t="str">
        <f>E24</f>
        <v>WMT</v>
      </c>
      <c r="B8" s="14">
        <f t="shared" ref="B8:L8" si="6">CORREL($Q$26:$Q$144,N$26:N$144)</f>
        <v>0.18952562118016331</v>
      </c>
      <c r="C8" s="13">
        <f t="shared" si="6"/>
        <v>0.13248369410060173</v>
      </c>
      <c r="D8" s="13">
        <f t="shared" si="6"/>
        <v>0.22448190722042516</v>
      </c>
      <c r="E8" s="15">
        <f t="shared" si="6"/>
        <v>1</v>
      </c>
      <c r="F8" s="13">
        <f t="shared" si="6"/>
        <v>0.23165744601905267</v>
      </c>
      <c r="G8" s="13">
        <f t="shared" si="6"/>
        <v>0.13233948080491481</v>
      </c>
      <c r="H8" s="13">
        <f t="shared" si="6"/>
        <v>0.10674469406526303</v>
      </c>
      <c r="I8" s="13">
        <f t="shared" si="6"/>
        <v>8.7245970381008023E-2</v>
      </c>
      <c r="J8" s="13">
        <f t="shared" si="6"/>
        <v>0.22469417760014168</v>
      </c>
      <c r="K8" s="13">
        <f t="shared" si="6"/>
        <v>0.11431261598810852</v>
      </c>
      <c r="L8" s="16">
        <f t="shared" si="6"/>
        <v>0.30319026504303476</v>
      </c>
      <c r="M8" s="13"/>
      <c r="N8" s="8" t="str">
        <f t="shared" si="4"/>
        <v>WMT</v>
      </c>
      <c r="O8" s="97">
        <v>7.352241649115082E-4</v>
      </c>
      <c r="P8" s="29">
        <v>5.9013111714134082E-4</v>
      </c>
      <c r="Q8" s="29">
        <v>7.4802784839446098E-4</v>
      </c>
      <c r="R8" s="29">
        <v>2.4007774305636847E-3</v>
      </c>
      <c r="S8" s="29">
        <v>1.2862228983740083E-3</v>
      </c>
      <c r="T8" s="29">
        <v>5.23521298312805E-4</v>
      </c>
      <c r="U8" s="29">
        <v>4.377883591299996E-4</v>
      </c>
      <c r="V8" s="29">
        <v>2.7728847233448348E-4</v>
      </c>
      <c r="W8" s="29">
        <v>5.9103622869282485E-4</v>
      </c>
      <c r="X8" s="98">
        <v>3.2422959257236513E-4</v>
      </c>
    </row>
    <row r="9" spans="1:24" x14ac:dyDescent="0.2">
      <c r="A9" s="8" t="str">
        <f>F24</f>
        <v>BBY</v>
      </c>
      <c r="B9" s="14">
        <f t="shared" ref="B9:L9" si="7">CORREL($R$26:$R$144,N$26:N$144)</f>
        <v>0.27709876429478547</v>
      </c>
      <c r="C9" s="13">
        <f t="shared" si="7"/>
        <v>0.4132497864033417</v>
      </c>
      <c r="D9" s="13">
        <f t="shared" si="7"/>
        <v>0.31603960773689621</v>
      </c>
      <c r="E9" s="13">
        <f t="shared" si="7"/>
        <v>0.23165744601905267</v>
      </c>
      <c r="F9" s="15">
        <f t="shared" si="7"/>
        <v>1</v>
      </c>
      <c r="G9" s="13">
        <f t="shared" si="7"/>
        <v>0.26014245780836015</v>
      </c>
      <c r="H9" s="13">
        <f t="shared" si="7"/>
        <v>0.40361176115944042</v>
      </c>
      <c r="I9" s="13">
        <f t="shared" si="7"/>
        <v>0.22066094339877337</v>
      </c>
      <c r="J9" s="13">
        <f t="shared" si="7"/>
        <v>0.42023130875226317</v>
      </c>
      <c r="K9" s="13">
        <f t="shared" si="7"/>
        <v>0.29768233010718276</v>
      </c>
      <c r="L9" s="16">
        <f t="shared" si="7"/>
        <v>0.54231027433271384</v>
      </c>
      <c r="M9" s="13"/>
      <c r="N9" s="8" t="str">
        <f t="shared" si="4"/>
        <v>BBY</v>
      </c>
      <c r="O9" s="97">
        <v>2.4860193597258809E-3</v>
      </c>
      <c r="P9" s="29">
        <v>4.257128869033391E-3</v>
      </c>
      <c r="Q9" s="29">
        <v>2.4355441713720741E-3</v>
      </c>
      <c r="R9" s="29">
        <v>1.2862228983740083E-3</v>
      </c>
      <c r="S9" s="29">
        <v>1.2840680682707783E-2</v>
      </c>
      <c r="T9" s="29">
        <v>2.3799851134190452E-3</v>
      </c>
      <c r="U9" s="29">
        <v>3.8282456599321927E-3</v>
      </c>
      <c r="V9" s="29">
        <v>1.621922063150072E-3</v>
      </c>
      <c r="W9" s="29">
        <v>2.5563997286600815E-3</v>
      </c>
      <c r="X9" s="98">
        <v>1.9526734298192675E-3</v>
      </c>
    </row>
    <row r="10" spans="1:24" x14ac:dyDescent="0.2">
      <c r="A10" s="8" t="str">
        <f>G24</f>
        <v>AMZN</v>
      </c>
      <c r="B10" s="14">
        <f t="shared" ref="B10:L10" si="8">CORREL($S$26:$S$144,N$26:N$144)</f>
        <v>0.39878332052795307</v>
      </c>
      <c r="C10" s="13">
        <f t="shared" si="8"/>
        <v>0.17841024229483199</v>
      </c>
      <c r="D10" s="13">
        <f t="shared" si="8"/>
        <v>0.27616097916454246</v>
      </c>
      <c r="E10" s="13">
        <f t="shared" si="8"/>
        <v>0.13233948080491481</v>
      </c>
      <c r="F10" s="13">
        <f t="shared" si="8"/>
        <v>0.26014245780836015</v>
      </c>
      <c r="G10" s="15">
        <f t="shared" si="8"/>
        <v>0.99999999999999989</v>
      </c>
      <c r="H10" s="13">
        <f t="shared" si="8"/>
        <v>0.2666461470434523</v>
      </c>
      <c r="I10" s="13">
        <f t="shared" si="8"/>
        <v>0.46596702108074639</v>
      </c>
      <c r="J10" s="13">
        <f t="shared" si="8"/>
        <v>0.38866462304929095</v>
      </c>
      <c r="K10" s="13">
        <f t="shared" si="8"/>
        <v>0.46658447268587139</v>
      </c>
      <c r="L10" s="16">
        <f t="shared" si="8"/>
        <v>0.54813848115270059</v>
      </c>
      <c r="M10" s="13"/>
      <c r="N10" s="8" t="str">
        <f t="shared" si="4"/>
        <v>AMZN</v>
      </c>
      <c r="O10" s="97">
        <v>2.5490705634767879E-3</v>
      </c>
      <c r="P10" s="29">
        <v>1.3094800839135588E-3</v>
      </c>
      <c r="Q10" s="29">
        <v>1.516323149896869E-3</v>
      </c>
      <c r="R10" s="29">
        <v>5.23521298312805E-4</v>
      </c>
      <c r="S10" s="29">
        <v>2.3799851134190452E-3</v>
      </c>
      <c r="T10" s="29">
        <v>6.5183542133270675E-3</v>
      </c>
      <c r="U10" s="29">
        <v>1.8019645950742588E-3</v>
      </c>
      <c r="V10" s="29">
        <v>2.4402518277329751E-3</v>
      </c>
      <c r="W10" s="29">
        <v>1.6845748959359846E-3</v>
      </c>
      <c r="X10" s="98">
        <v>2.1806290709190201E-3</v>
      </c>
    </row>
    <row r="11" spans="1:24" x14ac:dyDescent="0.2">
      <c r="A11" s="8" t="str">
        <f>H24</f>
        <v>GS</v>
      </c>
      <c r="B11" s="14">
        <f t="shared" ref="B11:L11" si="9">CORREL($T$26:$T$144,N$26:N$144)</f>
        <v>0.36863106535957202</v>
      </c>
      <c r="C11" s="13">
        <f t="shared" si="9"/>
        <v>0.45476675179345827</v>
      </c>
      <c r="D11" s="13">
        <f t="shared" si="9"/>
        <v>0.57661091906903217</v>
      </c>
      <c r="E11" s="13">
        <f t="shared" si="9"/>
        <v>0.10674469406526303</v>
      </c>
      <c r="F11" s="13">
        <f t="shared" si="9"/>
        <v>0.40361176115944042</v>
      </c>
      <c r="G11" s="13">
        <f t="shared" si="9"/>
        <v>0.2666461470434523</v>
      </c>
      <c r="H11" s="15">
        <f t="shared" si="9"/>
        <v>1</v>
      </c>
      <c r="I11" s="13">
        <f t="shared" si="9"/>
        <v>0.36262382240446744</v>
      </c>
      <c r="J11" s="13">
        <f t="shared" si="9"/>
        <v>0.46699793314501437</v>
      </c>
      <c r="K11" s="13">
        <f t="shared" si="9"/>
        <v>0.40696913630184872</v>
      </c>
      <c r="L11" s="16">
        <f t="shared" si="9"/>
        <v>0.73011083853036063</v>
      </c>
      <c r="M11" s="13"/>
      <c r="N11" s="8" t="str">
        <f t="shared" si="4"/>
        <v>GS</v>
      </c>
      <c r="O11" s="97">
        <v>2.4429230555979937E-3</v>
      </c>
      <c r="P11" s="29">
        <v>3.4605155459660128E-3</v>
      </c>
      <c r="Q11" s="29">
        <v>3.2823530966486405E-3</v>
      </c>
      <c r="R11" s="29">
        <v>4.377883591299996E-4</v>
      </c>
      <c r="S11" s="29">
        <v>3.8282456599321927E-3</v>
      </c>
      <c r="T11" s="29">
        <v>1.8019645950742588E-3</v>
      </c>
      <c r="U11" s="29">
        <v>7.0062225023223334E-3</v>
      </c>
      <c r="V11" s="29">
        <v>1.9688325558045766E-3</v>
      </c>
      <c r="W11" s="29">
        <v>2.0984723685752616E-3</v>
      </c>
      <c r="X11" s="98">
        <v>1.9719049374985233E-3</v>
      </c>
    </row>
    <row r="12" spans="1:24" x14ac:dyDescent="0.2">
      <c r="A12" s="8" t="str">
        <f>I24</f>
        <v>GOOG</v>
      </c>
      <c r="B12" s="14">
        <f t="shared" ref="B12:L12" si="10">CORREL($U$26:$U$144,N$26:N$144)</f>
        <v>0.38520194212355235</v>
      </c>
      <c r="C12" s="13">
        <f t="shared" si="10"/>
        <v>0.3096462441704706</v>
      </c>
      <c r="D12" s="13">
        <f t="shared" si="10"/>
        <v>0.42007671061787477</v>
      </c>
      <c r="E12" s="13">
        <f t="shared" si="10"/>
        <v>8.7245970381008023E-2</v>
      </c>
      <c r="F12" s="13">
        <f t="shared" si="10"/>
        <v>0.22066094339877337</v>
      </c>
      <c r="G12" s="13">
        <f t="shared" si="10"/>
        <v>0.46596702108074639</v>
      </c>
      <c r="H12" s="13">
        <f t="shared" si="10"/>
        <v>0.36262382240446744</v>
      </c>
      <c r="I12" s="15">
        <f t="shared" si="10"/>
        <v>1.0000000000000002</v>
      </c>
      <c r="J12" s="13">
        <f t="shared" si="10"/>
        <v>0.47226502273123994</v>
      </c>
      <c r="K12" s="13">
        <f t="shared" si="10"/>
        <v>0.445171578112113</v>
      </c>
      <c r="L12" s="16">
        <f t="shared" si="10"/>
        <v>0.59127872160932349</v>
      </c>
      <c r="M12" s="13"/>
      <c r="N12" s="8" t="str">
        <f t="shared" si="4"/>
        <v>GOOG</v>
      </c>
      <c r="O12" s="97">
        <v>1.9782211926449716E-3</v>
      </c>
      <c r="P12" s="29">
        <v>1.8259397396344329E-3</v>
      </c>
      <c r="Q12" s="29">
        <v>1.8531030278038285E-3</v>
      </c>
      <c r="R12" s="29">
        <v>2.7728847233448348E-4</v>
      </c>
      <c r="S12" s="29">
        <v>1.621922063150072E-3</v>
      </c>
      <c r="T12" s="29">
        <v>2.4402518277329751E-3</v>
      </c>
      <c r="U12" s="29">
        <v>1.9688325558045766E-3</v>
      </c>
      <c r="V12" s="29">
        <v>4.2074694931787697E-3</v>
      </c>
      <c r="W12" s="29">
        <v>1.6445330408414545E-3</v>
      </c>
      <c r="X12" s="98">
        <v>1.6715541657578198E-3</v>
      </c>
    </row>
    <row r="13" spans="1:24" x14ac:dyDescent="0.2">
      <c r="A13" s="8" t="str">
        <f>J24</f>
        <v>HD</v>
      </c>
      <c r="B13" s="14">
        <f t="shared" ref="B13:L13" si="11">CORREL($V$26:$V$144,N$26:N$144)</f>
        <v>0.31549215944317799</v>
      </c>
      <c r="C13" s="13">
        <f t="shared" si="11"/>
        <v>0.44367600696555554</v>
      </c>
      <c r="D13" s="13">
        <f t="shared" si="11"/>
        <v>0.48004344143930466</v>
      </c>
      <c r="E13" s="13">
        <f t="shared" si="11"/>
        <v>0.22469417760014168</v>
      </c>
      <c r="F13" s="13">
        <f t="shared" si="11"/>
        <v>0.42023130875226317</v>
      </c>
      <c r="G13" s="13">
        <f t="shared" si="11"/>
        <v>0.38866462304929095</v>
      </c>
      <c r="H13" s="13">
        <f t="shared" si="11"/>
        <v>0.46699793314501437</v>
      </c>
      <c r="I13" s="13">
        <f t="shared" si="11"/>
        <v>0.47226502273123994</v>
      </c>
      <c r="J13" s="15">
        <f t="shared" si="11"/>
        <v>1</v>
      </c>
      <c r="K13" s="13">
        <f t="shared" si="11"/>
        <v>0.35926386425952062</v>
      </c>
      <c r="L13" s="16">
        <f t="shared" si="11"/>
        <v>0.70318335448877567</v>
      </c>
      <c r="M13" s="13"/>
      <c r="N13" s="8" t="str">
        <f t="shared" si="4"/>
        <v>HD</v>
      </c>
      <c r="O13" s="97">
        <v>1.3409444858748349E-3</v>
      </c>
      <c r="P13" s="29">
        <v>2.1653216274736243E-3</v>
      </c>
      <c r="Q13" s="29">
        <v>1.7526183224188161E-3</v>
      </c>
      <c r="R13" s="29">
        <v>5.9103622869282485E-4</v>
      </c>
      <c r="S13" s="29">
        <v>2.5563997286600815E-3</v>
      </c>
      <c r="T13" s="29">
        <v>1.6845748959359846E-3</v>
      </c>
      <c r="U13" s="29">
        <v>2.0984723685752616E-3</v>
      </c>
      <c r="V13" s="29">
        <v>1.6445330408414545E-3</v>
      </c>
      <c r="W13" s="29">
        <v>2.8819913152720888E-3</v>
      </c>
      <c r="X13" s="98">
        <v>1.1164580462526329E-3</v>
      </c>
    </row>
    <row r="14" spans="1:24" ht="17" thickBot="1" x14ac:dyDescent="0.25">
      <c r="A14" s="8" t="str">
        <f>K24</f>
        <v>MSFT</v>
      </c>
      <c r="B14" s="14">
        <f t="shared" ref="B14:L14" si="12">CORREL($W$26:$W$144,N$26:N$144)</f>
        <v>0.47969270851626983</v>
      </c>
      <c r="C14" s="13">
        <f t="shared" si="12"/>
        <v>0.24652193602604125</v>
      </c>
      <c r="D14" s="13">
        <f t="shared" si="12"/>
        <v>0.4108017717405858</v>
      </c>
      <c r="E14" s="13">
        <f t="shared" si="12"/>
        <v>0.11431261598810852</v>
      </c>
      <c r="F14" s="13">
        <f t="shared" si="12"/>
        <v>0.29768233010718276</v>
      </c>
      <c r="G14" s="13">
        <f t="shared" si="12"/>
        <v>0.46658447268587139</v>
      </c>
      <c r="H14" s="13">
        <f t="shared" si="12"/>
        <v>0.40696913630184872</v>
      </c>
      <c r="I14" s="13">
        <f t="shared" si="12"/>
        <v>0.445171578112113</v>
      </c>
      <c r="J14" s="13">
        <f t="shared" si="12"/>
        <v>0.35926386425952062</v>
      </c>
      <c r="K14" s="15">
        <f t="shared" si="12"/>
        <v>0.99999999999999989</v>
      </c>
      <c r="L14" s="16">
        <f t="shared" si="12"/>
        <v>0.59625140558529754</v>
      </c>
      <c r="M14" s="13"/>
      <c r="N14" s="8" t="str">
        <f t="shared" si="4"/>
        <v>MSFT</v>
      </c>
      <c r="O14" s="99">
        <v>2.1984750866270043E-3</v>
      </c>
      <c r="P14" s="100">
        <v>1.2973233748085086E-3</v>
      </c>
      <c r="Q14" s="100">
        <v>1.6172431429895143E-3</v>
      </c>
      <c r="R14" s="100">
        <v>3.2422959257236513E-4</v>
      </c>
      <c r="S14" s="100">
        <v>1.9526734298192675E-3</v>
      </c>
      <c r="T14" s="100">
        <v>2.1806290709190201E-3</v>
      </c>
      <c r="U14" s="100">
        <v>1.9719049374985233E-3</v>
      </c>
      <c r="V14" s="100">
        <v>1.6715541657578198E-3</v>
      </c>
      <c r="W14" s="100">
        <v>1.1164580462526329E-3</v>
      </c>
      <c r="X14" s="101">
        <v>3.3509278306506768E-3</v>
      </c>
    </row>
    <row r="15" spans="1:24" ht="17" thickBot="1" x14ac:dyDescent="0.25">
      <c r="A15" s="8" t="str">
        <f>L24</f>
        <v>S&amp;P500</v>
      </c>
      <c r="B15" s="18">
        <f t="shared" ref="B15:L15" si="13">CORREL($X$26:$X$144,N$26:N$144)</f>
        <v>0.56478964578091373</v>
      </c>
      <c r="C15" s="19">
        <f t="shared" si="13"/>
        <v>0.55407158378343568</v>
      </c>
      <c r="D15" s="19">
        <f t="shared" si="13"/>
        <v>0.72086962974171309</v>
      </c>
      <c r="E15" s="19">
        <f t="shared" si="13"/>
        <v>0.30319026504303476</v>
      </c>
      <c r="F15" s="19">
        <f t="shared" si="13"/>
        <v>0.54231027433271384</v>
      </c>
      <c r="G15" s="19">
        <f t="shared" si="13"/>
        <v>0.54813848115270059</v>
      </c>
      <c r="H15" s="19">
        <f t="shared" si="13"/>
        <v>0.73011083853036063</v>
      </c>
      <c r="I15" s="19">
        <f t="shared" si="13"/>
        <v>0.59127872160932349</v>
      </c>
      <c r="J15" s="19">
        <f t="shared" si="13"/>
        <v>0.70318335448877567</v>
      </c>
      <c r="K15" s="19">
        <f t="shared" si="13"/>
        <v>0.59625140558529754</v>
      </c>
      <c r="L15" s="20">
        <f t="shared" si="13"/>
        <v>0.99999999999999989</v>
      </c>
      <c r="M15" s="15"/>
    </row>
    <row r="16" spans="1:24" x14ac:dyDescent="0.2">
      <c r="A16" s="8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5"/>
      <c r="M16" s="15"/>
      <c r="N16" s="17"/>
      <c r="O16" s="17"/>
      <c r="P16" s="6"/>
      <c r="Q16" s="6"/>
      <c r="R16" s="6"/>
      <c r="S16" s="6"/>
      <c r="T16" s="6"/>
      <c r="U16" s="6"/>
      <c r="V16" s="6"/>
      <c r="W16" s="6"/>
      <c r="X16" s="6"/>
    </row>
    <row r="17" spans="1:35" x14ac:dyDescent="0.2">
      <c r="A17" s="21" t="s">
        <v>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22"/>
      <c r="M17" s="21" t="s">
        <v>3</v>
      </c>
      <c r="N17" s="17"/>
      <c r="O17" s="17"/>
      <c r="P17" s="6"/>
      <c r="Q17" s="6"/>
      <c r="R17" s="6"/>
      <c r="S17" s="6"/>
      <c r="T17" s="6"/>
      <c r="U17" s="6"/>
      <c r="V17" s="6"/>
      <c r="W17" s="6"/>
      <c r="X17" s="6"/>
    </row>
    <row r="18" spans="1:35" x14ac:dyDescent="0.2">
      <c r="A18" s="8" t="s">
        <v>4</v>
      </c>
      <c r="B18" s="23">
        <f t="shared" ref="B18:L18" si="14">N18*12</f>
        <v>0.28762796659958156</v>
      </c>
      <c r="C18" s="23">
        <f t="shared" si="14"/>
        <v>7.34374268117573E-2</v>
      </c>
      <c r="D18" s="23">
        <f t="shared" si="14"/>
        <v>0.17853931665953796</v>
      </c>
      <c r="E18" s="23">
        <f t="shared" si="14"/>
        <v>0.14314562360423061</v>
      </c>
      <c r="F18" s="23">
        <f t="shared" si="14"/>
        <v>0.23562107160477291</v>
      </c>
      <c r="G18" s="23">
        <f t="shared" si="14"/>
        <v>0.3323904399550488</v>
      </c>
      <c r="H18" s="23">
        <f t="shared" si="14"/>
        <v>0.11891398131628848</v>
      </c>
      <c r="I18" s="23">
        <f t="shared" si="14"/>
        <v>0.20102304808536686</v>
      </c>
      <c r="J18" s="23">
        <f t="shared" si="14"/>
        <v>0.24357695532386786</v>
      </c>
      <c r="K18" s="23">
        <f t="shared" si="14"/>
        <v>0.25469396315174725</v>
      </c>
      <c r="L18" s="23">
        <f t="shared" si="14"/>
        <v>0.13491929995973884</v>
      </c>
      <c r="M18" s="24" t="s">
        <v>4</v>
      </c>
      <c r="N18" s="23">
        <f>AVERAGE(N26:N144)</f>
        <v>2.3968997216631798E-2</v>
      </c>
      <c r="O18" s="23">
        <f>AVERAGE(O26:O144)</f>
        <v>6.1197855676464411E-3</v>
      </c>
      <c r="P18" s="23">
        <f t="shared" ref="P18:X18" si="15">AVERAGE(P26:P144)</f>
        <v>1.487827638829483E-2</v>
      </c>
      <c r="Q18" s="23">
        <f t="shared" si="15"/>
        <v>1.1928801967019217E-2</v>
      </c>
      <c r="R18" s="23">
        <f t="shared" si="15"/>
        <v>1.9635089300397743E-2</v>
      </c>
      <c r="S18" s="23">
        <f t="shared" si="15"/>
        <v>2.7699203329587398E-2</v>
      </c>
      <c r="T18" s="23">
        <f t="shared" si="15"/>
        <v>9.9094984430240403E-3</v>
      </c>
      <c r="U18" s="23">
        <f t="shared" si="15"/>
        <v>1.6751920673780573E-2</v>
      </c>
      <c r="V18" s="23">
        <f t="shared" si="15"/>
        <v>2.0298079610322321E-2</v>
      </c>
      <c r="W18" s="23">
        <f t="shared" si="15"/>
        <v>2.1224496929312272E-2</v>
      </c>
      <c r="X18" s="23">
        <f t="shared" si="15"/>
        <v>1.1243274996644903E-2</v>
      </c>
    </row>
    <row r="19" spans="1:35" x14ac:dyDescent="0.2">
      <c r="A19" s="8" t="s">
        <v>5</v>
      </c>
      <c r="B19" s="25">
        <f t="shared" ref="B19:L19" si="16">SQRT(12)*N21</f>
        <v>0.27542223249365461</v>
      </c>
      <c r="C19" s="25">
        <f t="shared" si="16"/>
        <v>0.31625196762081009</v>
      </c>
      <c r="D19" s="25">
        <f t="shared" si="16"/>
        <v>0.23658302107634299</v>
      </c>
      <c r="E19" s="25">
        <f t="shared" si="16"/>
        <v>0.17045080235689611</v>
      </c>
      <c r="F19" s="25">
        <f t="shared" si="16"/>
        <v>0.39420045678097343</v>
      </c>
      <c r="G19" s="25">
        <f t="shared" si="16"/>
        <v>0.28086141429403616</v>
      </c>
      <c r="H19" s="25">
        <f t="shared" si="16"/>
        <v>0.29118236078357146</v>
      </c>
      <c r="I19" s="25">
        <f t="shared" si="16"/>
        <v>0.22564909078409517</v>
      </c>
      <c r="J19" s="25">
        <f t="shared" si="16"/>
        <v>0.18675379419394694</v>
      </c>
      <c r="K19" s="25">
        <f t="shared" si="16"/>
        <v>0.20137503889402283</v>
      </c>
      <c r="L19" s="25">
        <f t="shared" si="16"/>
        <v>0.13923648783481521</v>
      </c>
      <c r="M19" s="26" t="s">
        <v>6</v>
      </c>
      <c r="N19" s="27">
        <f>VAR(N26:N144)</f>
        <v>6.3214505126490622E-3</v>
      </c>
      <c r="O19" s="27">
        <f>VAR(O26:O144)</f>
        <v>8.3346089186694949E-3</v>
      </c>
      <c r="P19" s="27">
        <f t="shared" ref="P19:X19" si="17">VAR(P26:P144)</f>
        <v>4.6642938218007792E-3</v>
      </c>
      <c r="Q19" s="27">
        <f t="shared" si="17"/>
        <v>2.4211230020091388E-3</v>
      </c>
      <c r="R19" s="27">
        <f t="shared" si="17"/>
        <v>1.2949500010527344E-2</v>
      </c>
      <c r="S19" s="27">
        <f t="shared" si="17"/>
        <v>6.5735945032705185E-3</v>
      </c>
      <c r="T19" s="27">
        <f t="shared" si="17"/>
        <v>7.0655972692911656E-3</v>
      </c>
      <c r="U19" s="27">
        <f t="shared" si="17"/>
        <v>4.2431260143074032E-3</v>
      </c>
      <c r="V19" s="27">
        <f t="shared" si="17"/>
        <v>2.9064149704862582E-3</v>
      </c>
      <c r="W19" s="27">
        <f t="shared" si="17"/>
        <v>3.3793255241307682E-3</v>
      </c>
      <c r="X19" s="27">
        <f t="shared" si="17"/>
        <v>1.6155666287145541E-3</v>
      </c>
    </row>
    <row r="20" spans="1:35" x14ac:dyDescent="0.2">
      <c r="A20" s="8" t="s">
        <v>7</v>
      </c>
      <c r="B20" s="28">
        <f t="shared" ref="B20:K20" si="18">N20/$X$19</f>
        <v>1.1078161867033647</v>
      </c>
      <c r="C20" s="13">
        <f t="shared" si="18"/>
        <v>1.2479037783879925</v>
      </c>
      <c r="D20" s="13">
        <f t="shared" si="18"/>
        <v>1.2145692688004204</v>
      </c>
      <c r="E20" s="13">
        <f t="shared" si="18"/>
        <v>0.368041073343151</v>
      </c>
      <c r="F20" s="13">
        <f t="shared" si="18"/>
        <v>1.5224636826498446</v>
      </c>
      <c r="G20" s="13">
        <f t="shared" si="18"/>
        <v>1.096388209479076</v>
      </c>
      <c r="H20" s="13">
        <f t="shared" si="18"/>
        <v>1.514034754315593</v>
      </c>
      <c r="I20" s="13">
        <f t="shared" si="18"/>
        <v>0.95018424310307414</v>
      </c>
      <c r="J20" s="13">
        <f t="shared" si="18"/>
        <v>0.93523338552437918</v>
      </c>
      <c r="K20" s="13">
        <f t="shared" si="18"/>
        <v>0.85510026132333072</v>
      </c>
      <c r="L20" s="13">
        <v>1</v>
      </c>
      <c r="M20" s="26" t="s">
        <v>8</v>
      </c>
      <c r="N20" s="29">
        <f t="shared" ref="N20:W20" si="19">COVAR(N26:N144,$X$26:$X$144)</f>
        <v>1.7897508619877679E-3</v>
      </c>
      <c r="O20" s="29">
        <f t="shared" si="19"/>
        <v>2.0160717002104429E-3</v>
      </c>
      <c r="P20" s="29">
        <f t="shared" si="19"/>
        <v>1.9622175789361963E-3</v>
      </c>
      <c r="Q20" s="29">
        <f t="shared" si="19"/>
        <v>5.9459487608948041E-4</v>
      </c>
      <c r="R20" s="29">
        <f t="shared" si="19"/>
        <v>2.4596415191189542E-3</v>
      </c>
      <c r="S20" s="29">
        <f t="shared" si="19"/>
        <v>1.771288203350497E-3</v>
      </c>
      <c r="T20" s="29">
        <f t="shared" si="19"/>
        <v>2.4460240237863108E-3</v>
      </c>
      <c r="U20" s="29">
        <f t="shared" si="19"/>
        <v>1.5350859542877238E-3</v>
      </c>
      <c r="V20" s="29">
        <f t="shared" si="19"/>
        <v>1.5109318477129201E-3</v>
      </c>
      <c r="W20" s="29">
        <f t="shared" si="19"/>
        <v>1.3814714463990677E-3</v>
      </c>
      <c r="X20" s="29"/>
    </row>
    <row r="21" spans="1:35" x14ac:dyDescent="0.2">
      <c r="A21" s="30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5"/>
      <c r="M21" s="26" t="s">
        <v>5</v>
      </c>
      <c r="N21" s="25">
        <f>STDEV(N26:N144)</f>
        <v>7.9507550035509592E-2</v>
      </c>
      <c r="O21" s="25">
        <f>STDEV(O26:O144)</f>
        <v>9.1294079318811769E-2</v>
      </c>
      <c r="P21" s="25">
        <f t="shared" ref="P21:X21" si="20">STDEV(P26:P144)</f>
        <v>6.8295635452060771E-2</v>
      </c>
      <c r="Q21" s="25">
        <f t="shared" si="20"/>
        <v>4.9204908312170836E-2</v>
      </c>
      <c r="R21" s="25">
        <f t="shared" si="20"/>
        <v>0.11379586991858423</v>
      </c>
      <c r="S21" s="25">
        <f t="shared" si="20"/>
        <v>8.1077706573820393E-2</v>
      </c>
      <c r="T21" s="25">
        <f t="shared" si="20"/>
        <v>8.4057107190832855E-2</v>
      </c>
      <c r="U21" s="25">
        <f t="shared" si="20"/>
        <v>6.5139281653295827E-2</v>
      </c>
      <c r="V21" s="25">
        <f t="shared" si="20"/>
        <v>5.3911176675029621E-2</v>
      </c>
      <c r="W21" s="25">
        <f t="shared" si="20"/>
        <v>5.8131966456767728E-2</v>
      </c>
      <c r="X21" s="25">
        <f t="shared" si="20"/>
        <v>4.0194111866224312E-2</v>
      </c>
    </row>
    <row r="22" spans="1:35" ht="17" thickBot="1" x14ac:dyDescent="0.25">
      <c r="D22" s="31"/>
      <c r="E22" s="32"/>
      <c r="F22" s="8"/>
      <c r="G22" s="33"/>
      <c r="H22" s="33"/>
      <c r="I22" s="33"/>
      <c r="J22" s="33"/>
      <c r="K22" s="33"/>
      <c r="L22" s="33"/>
      <c r="M22" s="26" t="s">
        <v>6</v>
      </c>
      <c r="N22">
        <f t="shared" ref="N22:X22" si="21">N21^2</f>
        <v>6.3214505126490614E-3</v>
      </c>
      <c r="O22">
        <f t="shared" si="21"/>
        <v>8.3346089186694949E-3</v>
      </c>
      <c r="P22">
        <f t="shared" si="21"/>
        <v>4.6642938218007801E-3</v>
      </c>
      <c r="Q22">
        <f t="shared" si="21"/>
        <v>2.4211230020091388E-3</v>
      </c>
      <c r="R22">
        <f t="shared" si="21"/>
        <v>1.2949500010527344E-2</v>
      </c>
      <c r="S22">
        <f t="shared" si="21"/>
        <v>6.5735945032705185E-3</v>
      </c>
      <c r="T22">
        <f t="shared" si="21"/>
        <v>7.0655972692911647E-3</v>
      </c>
      <c r="U22">
        <f t="shared" si="21"/>
        <v>4.2431260143074023E-3</v>
      </c>
      <c r="V22">
        <f t="shared" si="21"/>
        <v>2.9064149704862577E-3</v>
      </c>
      <c r="W22">
        <f t="shared" si="21"/>
        <v>3.3793255241307682E-3</v>
      </c>
      <c r="X22">
        <f t="shared" si="21"/>
        <v>1.6155666287145541E-3</v>
      </c>
    </row>
    <row r="23" spans="1:35" ht="17" thickBot="1" x14ac:dyDescent="0.25">
      <c r="A23" s="34" t="s">
        <v>9</v>
      </c>
      <c r="D23" s="31"/>
      <c r="N23" s="35" t="s">
        <v>10</v>
      </c>
      <c r="O23" s="17"/>
      <c r="P23" s="6"/>
      <c r="Q23" s="6"/>
      <c r="R23" s="6"/>
      <c r="S23" s="6"/>
      <c r="T23" s="6"/>
      <c r="U23" s="6"/>
      <c r="V23" s="6"/>
      <c r="W23" s="6"/>
      <c r="X23" s="6"/>
      <c r="Z23" s="35" t="s">
        <v>43</v>
      </c>
      <c r="AA23" s="17"/>
      <c r="AB23" s="6"/>
      <c r="AC23" s="6"/>
      <c r="AD23" s="6"/>
      <c r="AE23" s="6"/>
      <c r="AF23" s="6"/>
      <c r="AG23" s="6"/>
      <c r="AH23" s="6"/>
      <c r="AI23" s="6"/>
    </row>
    <row r="24" spans="1:35" ht="17" thickBot="1" x14ac:dyDescent="0.25">
      <c r="A24" s="36" t="s">
        <v>11</v>
      </c>
      <c r="B24" s="37" t="s">
        <v>32</v>
      </c>
      <c r="C24" s="37" t="s">
        <v>33</v>
      </c>
      <c r="D24" s="37" t="s">
        <v>34</v>
      </c>
      <c r="E24" s="37" t="s">
        <v>35</v>
      </c>
      <c r="F24" s="37" t="s">
        <v>36</v>
      </c>
      <c r="G24" s="37" t="s">
        <v>37</v>
      </c>
      <c r="H24" s="37" t="s">
        <v>38</v>
      </c>
      <c r="I24" s="37" t="s">
        <v>39</v>
      </c>
      <c r="J24" s="37" t="s">
        <v>40</v>
      </c>
      <c r="K24" s="37" t="s">
        <v>41</v>
      </c>
      <c r="L24" s="37" t="s">
        <v>42</v>
      </c>
      <c r="M24" s="17"/>
      <c r="N24" s="38" t="str">
        <f t="shared" ref="N24:X24" si="22">B24</f>
        <v>AAPL</v>
      </c>
      <c r="O24" s="38" t="str">
        <f t="shared" si="22"/>
        <v>HOG</v>
      </c>
      <c r="P24" s="38" t="str">
        <f t="shared" si="22"/>
        <v>DIS</v>
      </c>
      <c r="Q24" s="38" t="str">
        <f t="shared" si="22"/>
        <v>WMT</v>
      </c>
      <c r="R24" s="38" t="str">
        <f t="shared" si="22"/>
        <v>BBY</v>
      </c>
      <c r="S24" s="38" t="str">
        <f t="shared" si="22"/>
        <v>AMZN</v>
      </c>
      <c r="T24" s="38" t="str">
        <f t="shared" si="22"/>
        <v>GS</v>
      </c>
      <c r="U24" s="38" t="str">
        <f t="shared" si="22"/>
        <v>GOOG</v>
      </c>
      <c r="V24" s="38" t="str">
        <f t="shared" si="22"/>
        <v>HD</v>
      </c>
      <c r="W24" s="38" t="str">
        <f t="shared" si="22"/>
        <v>MSFT</v>
      </c>
      <c r="X24" s="38" t="str">
        <f t="shared" si="22"/>
        <v>S&amp;P500</v>
      </c>
      <c r="Z24" s="38" t="str">
        <f t="shared" ref="Z24" si="23">N24</f>
        <v>AAPL</v>
      </c>
      <c r="AA24" s="38" t="str">
        <f t="shared" ref="AA24" si="24">O24</f>
        <v>HOG</v>
      </c>
      <c r="AB24" s="38" t="str">
        <f t="shared" ref="AB24" si="25">P24</f>
        <v>DIS</v>
      </c>
      <c r="AC24" s="38" t="str">
        <f t="shared" ref="AC24" si="26">Q24</f>
        <v>WMT</v>
      </c>
      <c r="AD24" s="38" t="str">
        <f t="shared" ref="AD24" si="27">R24</f>
        <v>BBY</v>
      </c>
      <c r="AE24" s="38" t="str">
        <f t="shared" ref="AE24" si="28">S24</f>
        <v>AMZN</v>
      </c>
      <c r="AF24" s="38" t="str">
        <f t="shared" ref="AF24" si="29">T24</f>
        <v>GS</v>
      </c>
      <c r="AG24" s="38" t="str">
        <f t="shared" ref="AG24" si="30">U24</f>
        <v>GOOG</v>
      </c>
      <c r="AH24" s="38" t="str">
        <f t="shared" ref="AH24" si="31">V24</f>
        <v>HD</v>
      </c>
      <c r="AI24" s="38" t="str">
        <f t="shared" ref="AI24" si="32">W24</f>
        <v>MSFT</v>
      </c>
    </row>
    <row r="25" spans="1:35" x14ac:dyDescent="0.2">
      <c r="A25" s="86">
        <v>40575</v>
      </c>
      <c r="B25" s="87">
        <v>10.882033</v>
      </c>
      <c r="C25" s="87">
        <v>32.462879000000001</v>
      </c>
      <c r="D25" s="87">
        <v>38.515555999999997</v>
      </c>
      <c r="E25" s="87">
        <v>40.593494</v>
      </c>
      <c r="F25" s="87">
        <v>23.972300000000001</v>
      </c>
      <c r="G25" s="88">
        <v>173.28999300000001</v>
      </c>
      <c r="H25" s="87">
        <v>140.534897</v>
      </c>
      <c r="I25" s="87">
        <v>305.55471799999998</v>
      </c>
      <c r="J25" s="88">
        <v>29.789774000000001</v>
      </c>
      <c r="K25" s="89">
        <v>21.132957000000001</v>
      </c>
      <c r="L25" s="90">
        <v>109.118317</v>
      </c>
      <c r="M25" s="39"/>
      <c r="N25" s="13"/>
      <c r="O25" s="17"/>
      <c r="P25" s="6"/>
      <c r="Q25" s="6"/>
      <c r="R25" s="6"/>
      <c r="S25" s="6"/>
      <c r="T25" s="6"/>
      <c r="U25" s="6"/>
      <c r="V25" s="6"/>
      <c r="W25" s="6"/>
      <c r="X25" s="6"/>
    </row>
    <row r="26" spans="1:35" x14ac:dyDescent="0.2">
      <c r="A26" s="86">
        <v>40603</v>
      </c>
      <c r="B26" s="87">
        <v>10.737231</v>
      </c>
      <c r="C26" s="87">
        <v>33.870444999999997</v>
      </c>
      <c r="D26" s="87">
        <v>37.943199</v>
      </c>
      <c r="E26" s="87">
        <v>40.648159</v>
      </c>
      <c r="F26" s="87">
        <v>21.354977000000002</v>
      </c>
      <c r="G26" s="88">
        <v>180.13000500000001</v>
      </c>
      <c r="H26" s="87">
        <v>136.379166</v>
      </c>
      <c r="I26" s="87">
        <v>292.28445399999998</v>
      </c>
      <c r="J26" s="88">
        <v>29.463816000000001</v>
      </c>
      <c r="K26" s="89">
        <v>20.306141</v>
      </c>
      <c r="L26" s="90">
        <v>108.659386</v>
      </c>
      <c r="M26" s="23"/>
      <c r="N26" s="40">
        <f>(B26/B25)-1</f>
        <v>-1.3306520941445465E-2</v>
      </c>
      <c r="O26" s="40">
        <f t="shared" ref="O26:X41" si="33">(C26/C25)-1</f>
        <v>4.3359247342171781E-2</v>
      </c>
      <c r="P26" s="40">
        <f t="shared" si="33"/>
        <v>-1.4860411206318758E-2</v>
      </c>
      <c r="Q26" s="40">
        <f t="shared" si="33"/>
        <v>1.3466443662129013E-3</v>
      </c>
      <c r="R26" s="40">
        <f t="shared" si="33"/>
        <v>-0.10918113823037423</v>
      </c>
      <c r="S26" s="40">
        <f t="shared" si="33"/>
        <v>3.9471477155637036E-2</v>
      </c>
      <c r="T26" s="40">
        <f t="shared" si="33"/>
        <v>-2.9570811867460911E-2</v>
      </c>
      <c r="U26" s="40">
        <f t="shared" si="33"/>
        <v>-4.3430073954871751E-2</v>
      </c>
      <c r="V26" s="40">
        <f t="shared" si="33"/>
        <v>-1.0941942694832174E-2</v>
      </c>
      <c r="W26" s="40">
        <f t="shared" si="33"/>
        <v>-3.912448220095277E-2</v>
      </c>
      <c r="X26" s="40">
        <f t="shared" si="33"/>
        <v>-4.2058108355905732E-3</v>
      </c>
      <c r="Z26" s="93">
        <f>N26-N$18</f>
        <v>-3.7275518158077267E-2</v>
      </c>
      <c r="AA26" s="93">
        <f t="shared" ref="AA26:AI41" si="34">O26-O$18</f>
        <v>3.7239461774525341E-2</v>
      </c>
      <c r="AB26" s="93">
        <f t="shared" si="34"/>
        <v>-2.9738687594613587E-2</v>
      </c>
      <c r="AC26" s="93">
        <f t="shared" si="34"/>
        <v>-1.0582157600806316E-2</v>
      </c>
      <c r="AD26" s="93">
        <f t="shared" si="34"/>
        <v>-0.12881622753077199</v>
      </c>
      <c r="AE26" s="93">
        <f t="shared" si="34"/>
        <v>1.1772273826049638E-2</v>
      </c>
      <c r="AF26" s="93">
        <f t="shared" si="34"/>
        <v>-3.9480310310484948E-2</v>
      </c>
      <c r="AG26" s="93">
        <f t="shared" si="34"/>
        <v>-6.0181994628652327E-2</v>
      </c>
      <c r="AH26" s="93">
        <f t="shared" si="34"/>
        <v>-3.1240022305154495E-2</v>
      </c>
      <c r="AI26" s="93">
        <f t="shared" si="34"/>
        <v>-6.0348979130265046E-2</v>
      </c>
    </row>
    <row r="27" spans="1:35" x14ac:dyDescent="0.2">
      <c r="A27" s="86">
        <v>40634</v>
      </c>
      <c r="B27" s="87">
        <v>10.787144</v>
      </c>
      <c r="C27" s="87">
        <v>29.701408000000001</v>
      </c>
      <c r="D27" s="87">
        <v>37.951999999999998</v>
      </c>
      <c r="E27" s="87">
        <v>43.237282</v>
      </c>
      <c r="F27" s="87">
        <v>23.213868999999999</v>
      </c>
      <c r="G27" s="88">
        <v>195.80999800000001</v>
      </c>
      <c r="H27" s="87">
        <v>129.852554</v>
      </c>
      <c r="I27" s="87">
        <v>271.034088</v>
      </c>
      <c r="J27" s="88">
        <v>29.736993999999999</v>
      </c>
      <c r="K27" s="89">
        <v>20.730015000000002</v>
      </c>
      <c r="L27" s="90">
        <v>112.292023</v>
      </c>
      <c r="M27" s="23"/>
      <c r="N27" s="40">
        <f t="shared" ref="N27:X63" si="35">(B27/B26)-1</f>
        <v>4.6485914292055952E-3</v>
      </c>
      <c r="O27" s="40">
        <f t="shared" si="33"/>
        <v>-0.12308775394005</v>
      </c>
      <c r="P27" s="40">
        <f t="shared" si="33"/>
        <v>2.3195197642666976E-4</v>
      </c>
      <c r="Q27" s="40">
        <f t="shared" si="33"/>
        <v>6.3695947459760704E-2</v>
      </c>
      <c r="R27" s="40">
        <f t="shared" si="33"/>
        <v>8.7047248985564263E-2</v>
      </c>
      <c r="S27" s="40">
        <f t="shared" si="33"/>
        <v>8.7048201658574298E-2</v>
      </c>
      <c r="T27" s="40">
        <f t="shared" si="33"/>
        <v>-4.7856371258348962E-2</v>
      </c>
      <c r="U27" s="40">
        <f t="shared" si="33"/>
        <v>-7.2704400487889065E-2</v>
      </c>
      <c r="V27" s="40">
        <f t="shared" si="33"/>
        <v>9.2716435644315531E-3</v>
      </c>
      <c r="W27" s="40">
        <f t="shared" si="33"/>
        <v>2.0874177914947056E-2</v>
      </c>
      <c r="X27" s="40">
        <f t="shared" si="33"/>
        <v>3.343141475141409E-2</v>
      </c>
      <c r="Z27" s="93">
        <f t="shared" ref="Z27:Z90" si="36">N27-N$18</f>
        <v>-1.9320405787426203E-2</v>
      </c>
      <c r="AA27" s="93">
        <f t="shared" si="34"/>
        <v>-0.12920753950769645</v>
      </c>
      <c r="AB27" s="93">
        <f t="shared" si="34"/>
        <v>-1.464632441186816E-2</v>
      </c>
      <c r="AC27" s="93">
        <f t="shared" si="34"/>
        <v>5.1767145492741487E-2</v>
      </c>
      <c r="AD27" s="93">
        <f t="shared" si="34"/>
        <v>6.741215968516652E-2</v>
      </c>
      <c r="AE27" s="93">
        <f t="shared" si="34"/>
        <v>5.93489983289869E-2</v>
      </c>
      <c r="AF27" s="93">
        <f t="shared" si="34"/>
        <v>-5.7765869701372999E-2</v>
      </c>
      <c r="AG27" s="93">
        <f t="shared" si="34"/>
        <v>-8.9456321161669641E-2</v>
      </c>
      <c r="AH27" s="93">
        <f t="shared" si="34"/>
        <v>-1.1026436045890767E-2</v>
      </c>
      <c r="AI27" s="93">
        <f t="shared" si="34"/>
        <v>-3.5031901436521559E-4</v>
      </c>
    </row>
    <row r="28" spans="1:35" x14ac:dyDescent="0.2">
      <c r="A28" s="86">
        <v>40664</v>
      </c>
      <c r="B28" s="87">
        <v>10.716279999999999</v>
      </c>
      <c r="C28" s="87">
        <v>29.621700000000001</v>
      </c>
      <c r="D28" s="87">
        <v>36.657589000000002</v>
      </c>
      <c r="E28" s="87">
        <v>43.426029</v>
      </c>
      <c r="F28" s="87">
        <v>23.732064999999999</v>
      </c>
      <c r="G28" s="88">
        <v>196.69000199999999</v>
      </c>
      <c r="H28" s="87">
        <v>121.012863</v>
      </c>
      <c r="I28" s="87">
        <v>263.52224699999999</v>
      </c>
      <c r="J28" s="88">
        <v>29.040597999999999</v>
      </c>
      <c r="K28" s="89">
        <v>20.002222</v>
      </c>
      <c r="L28" s="90">
        <v>111.032715</v>
      </c>
      <c r="M28" s="39"/>
      <c r="N28" s="40">
        <f t="shared" si="35"/>
        <v>-6.5693013832021085E-3</v>
      </c>
      <c r="O28" s="40">
        <f t="shared" si="33"/>
        <v>-2.6836438191751855E-3</v>
      </c>
      <c r="P28" s="40">
        <f t="shared" si="33"/>
        <v>-3.4106529300168553E-2</v>
      </c>
      <c r="Q28" s="40">
        <f t="shared" si="33"/>
        <v>4.365376158473655E-3</v>
      </c>
      <c r="R28" s="40">
        <f t="shared" si="33"/>
        <v>2.2322689940224905E-2</v>
      </c>
      <c r="S28" s="40">
        <f t="shared" si="33"/>
        <v>4.4941729686345244E-3</v>
      </c>
      <c r="T28" s="40">
        <f t="shared" si="33"/>
        <v>-6.8074833553139036E-2</v>
      </c>
      <c r="U28" s="40">
        <f t="shared" si="33"/>
        <v>-2.7715484260415257E-2</v>
      </c>
      <c r="V28" s="40">
        <f t="shared" si="33"/>
        <v>-2.3418506927768146E-2</v>
      </c>
      <c r="W28" s="40">
        <f t="shared" si="33"/>
        <v>-3.5108175271460373E-2</v>
      </c>
      <c r="X28" s="40">
        <f t="shared" si="33"/>
        <v>-1.1214581110538968E-2</v>
      </c>
      <c r="Z28" s="93">
        <f t="shared" si="36"/>
        <v>-3.0538298599833907E-2</v>
      </c>
      <c r="AA28" s="93">
        <f t="shared" si="34"/>
        <v>-8.8034293868216266E-3</v>
      </c>
      <c r="AB28" s="93">
        <f t="shared" si="34"/>
        <v>-4.8984805688463383E-2</v>
      </c>
      <c r="AC28" s="93">
        <f t="shared" si="34"/>
        <v>-7.5634258085455625E-3</v>
      </c>
      <c r="AD28" s="93">
        <f t="shared" si="34"/>
        <v>2.6876006398271618E-3</v>
      </c>
      <c r="AE28" s="93">
        <f t="shared" si="34"/>
        <v>-2.3205030360952873E-2</v>
      </c>
      <c r="AF28" s="93">
        <f t="shared" si="34"/>
        <v>-7.7984331996163073E-2</v>
      </c>
      <c r="AG28" s="93">
        <f t="shared" si="34"/>
        <v>-4.4467404934195834E-2</v>
      </c>
      <c r="AH28" s="93">
        <f t="shared" si="34"/>
        <v>-4.3716586538090463E-2</v>
      </c>
      <c r="AI28" s="93">
        <f t="shared" si="34"/>
        <v>-5.6332672200772649E-2</v>
      </c>
    </row>
    <row r="29" spans="1:35" x14ac:dyDescent="0.2">
      <c r="A29" s="86">
        <v>40695</v>
      </c>
      <c r="B29" s="87">
        <v>10.341642</v>
      </c>
      <c r="C29" s="87">
        <v>32.769939000000001</v>
      </c>
      <c r="D29" s="87">
        <v>34.376938000000003</v>
      </c>
      <c r="E29" s="87">
        <v>42.066775999999997</v>
      </c>
      <c r="F29" s="87">
        <v>23.470537</v>
      </c>
      <c r="G29" s="88">
        <v>204.490005</v>
      </c>
      <c r="H29" s="87">
        <v>114.737961</v>
      </c>
      <c r="I29" s="87">
        <v>252.24452199999999</v>
      </c>
      <c r="J29" s="88">
        <v>28.992563000000001</v>
      </c>
      <c r="K29" s="89">
        <v>20.930302000000001</v>
      </c>
      <c r="L29" s="90">
        <v>108.621101</v>
      </c>
      <c r="M29" s="39"/>
      <c r="N29" s="40">
        <f t="shared" si="35"/>
        <v>-3.4959706166692084E-2</v>
      </c>
      <c r="O29" s="40">
        <f t="shared" si="33"/>
        <v>0.10628150983907059</v>
      </c>
      <c r="P29" s="40">
        <f t="shared" si="33"/>
        <v>-6.2214975458424138E-2</v>
      </c>
      <c r="Q29" s="40">
        <f t="shared" si="33"/>
        <v>-3.1300421228936282E-2</v>
      </c>
      <c r="R29" s="40">
        <f t="shared" si="33"/>
        <v>-1.1020027123640475E-2</v>
      </c>
      <c r="S29" s="40">
        <f t="shared" si="33"/>
        <v>3.9656326812178344E-2</v>
      </c>
      <c r="T29" s="40">
        <f t="shared" si="33"/>
        <v>-5.1853181921660663E-2</v>
      </c>
      <c r="U29" s="40">
        <f t="shared" si="33"/>
        <v>-4.2796102144651238E-2</v>
      </c>
      <c r="V29" s="40">
        <f t="shared" si="33"/>
        <v>-1.6540637351888376E-3</v>
      </c>
      <c r="W29" s="40">
        <f t="shared" si="33"/>
        <v>4.6398845088310825E-2</v>
      </c>
      <c r="X29" s="40">
        <f t="shared" si="33"/>
        <v>-2.1719850766506066E-2</v>
      </c>
      <c r="Z29" s="93">
        <f t="shared" si="36"/>
        <v>-5.8928703383323885E-2</v>
      </c>
      <c r="AA29" s="93">
        <f t="shared" si="34"/>
        <v>0.10016172427142414</v>
      </c>
      <c r="AB29" s="93">
        <f t="shared" si="34"/>
        <v>-7.7093251846718974E-2</v>
      </c>
      <c r="AC29" s="93">
        <f t="shared" si="34"/>
        <v>-4.3229223195955499E-2</v>
      </c>
      <c r="AD29" s="93">
        <f t="shared" si="34"/>
        <v>-3.0655116424038217E-2</v>
      </c>
      <c r="AE29" s="93">
        <f t="shared" si="34"/>
        <v>1.1957123482590946E-2</v>
      </c>
      <c r="AF29" s="93">
        <f t="shared" si="34"/>
        <v>-6.1762680364684699E-2</v>
      </c>
      <c r="AG29" s="93">
        <f t="shared" si="34"/>
        <v>-5.9548022818431814E-2</v>
      </c>
      <c r="AH29" s="93">
        <f t="shared" si="34"/>
        <v>-2.1952143345511158E-2</v>
      </c>
      <c r="AI29" s="93">
        <f t="shared" si="34"/>
        <v>2.5174348158998553E-2</v>
      </c>
    </row>
    <row r="30" spans="1:35" x14ac:dyDescent="0.2">
      <c r="A30" s="86">
        <v>40725</v>
      </c>
      <c r="B30" s="87">
        <v>12.030284</v>
      </c>
      <c r="C30" s="87">
        <v>34.705573999999999</v>
      </c>
      <c r="D30" s="87">
        <v>34.007111000000002</v>
      </c>
      <c r="E30" s="87">
        <v>41.726363999999997</v>
      </c>
      <c r="F30" s="87">
        <v>20.721733</v>
      </c>
      <c r="G30" s="88">
        <v>222.520004</v>
      </c>
      <c r="H30" s="87">
        <v>116.358727</v>
      </c>
      <c r="I30" s="87">
        <v>300.71783399999998</v>
      </c>
      <c r="J30" s="88">
        <v>28.170142999999999</v>
      </c>
      <c r="K30" s="89">
        <v>22.057314000000002</v>
      </c>
      <c r="L30" s="90">
        <v>106.975945</v>
      </c>
      <c r="M30" s="39"/>
      <c r="N30" s="40">
        <f t="shared" si="35"/>
        <v>0.16328567552425421</v>
      </c>
      <c r="O30" s="40">
        <f t="shared" si="33"/>
        <v>5.906739710440112E-2</v>
      </c>
      <c r="P30" s="40">
        <f t="shared" si="33"/>
        <v>-1.0757997120045992E-2</v>
      </c>
      <c r="Q30" s="40">
        <f t="shared" si="33"/>
        <v>-8.0921818206367568E-3</v>
      </c>
      <c r="R30" s="40">
        <f t="shared" si="33"/>
        <v>-0.11711721806791209</v>
      </c>
      <c r="S30" s="40">
        <f t="shared" si="33"/>
        <v>8.8170563641973621E-2</v>
      </c>
      <c r="T30" s="40">
        <f t="shared" si="33"/>
        <v>1.4125804449322654E-2</v>
      </c>
      <c r="U30" s="40">
        <f t="shared" si="33"/>
        <v>0.19216794725873165</v>
      </c>
      <c r="V30" s="40">
        <f t="shared" si="33"/>
        <v>-2.836658490661903E-2</v>
      </c>
      <c r="W30" s="40">
        <f t="shared" si="33"/>
        <v>5.3845950239991724E-2</v>
      </c>
      <c r="X30" s="40">
        <f t="shared" si="33"/>
        <v>-1.5145823277928239E-2</v>
      </c>
      <c r="Z30" s="93">
        <f t="shared" si="36"/>
        <v>0.13931667830762243</v>
      </c>
      <c r="AA30" s="93">
        <f t="shared" si="34"/>
        <v>5.2947611536754681E-2</v>
      </c>
      <c r="AB30" s="93">
        <f t="shared" si="34"/>
        <v>-2.5636273508340822E-2</v>
      </c>
      <c r="AC30" s="93">
        <f t="shared" si="34"/>
        <v>-2.0020983787655974E-2</v>
      </c>
      <c r="AD30" s="93">
        <f t="shared" si="34"/>
        <v>-0.13675230736830984</v>
      </c>
      <c r="AE30" s="93">
        <f t="shared" si="34"/>
        <v>6.0471360312386223E-2</v>
      </c>
      <c r="AF30" s="93">
        <f t="shared" si="34"/>
        <v>4.2163060062986139E-3</v>
      </c>
      <c r="AG30" s="93">
        <f t="shared" si="34"/>
        <v>0.17541602658495109</v>
      </c>
      <c r="AH30" s="93">
        <f t="shared" si="34"/>
        <v>-4.8664664516941347E-2</v>
      </c>
      <c r="AI30" s="93">
        <f t="shared" si="34"/>
        <v>3.2621453310679449E-2</v>
      </c>
    </row>
    <row r="31" spans="1:35" x14ac:dyDescent="0.2">
      <c r="A31" s="86">
        <v>40756</v>
      </c>
      <c r="B31" s="87">
        <v>11.856214</v>
      </c>
      <c r="C31" s="87">
        <v>30.922277000000001</v>
      </c>
      <c r="D31" s="87">
        <v>29.991772000000001</v>
      </c>
      <c r="E31" s="87">
        <v>42.106354000000003</v>
      </c>
      <c r="F31" s="87">
        <v>19.212645999999999</v>
      </c>
      <c r="G31" s="88">
        <v>215.229996</v>
      </c>
      <c r="H31" s="87">
        <v>100.194214</v>
      </c>
      <c r="I31" s="87">
        <v>269.46997099999999</v>
      </c>
      <c r="J31" s="88">
        <v>26.920107000000002</v>
      </c>
      <c r="K31" s="89">
        <v>21.413305000000001</v>
      </c>
      <c r="L31" s="90">
        <v>101.094864</v>
      </c>
      <c r="M31" s="39"/>
      <c r="N31" s="40">
        <f t="shared" si="35"/>
        <v>-1.4469317598819864E-2</v>
      </c>
      <c r="O31" s="40">
        <f t="shared" si="33"/>
        <v>-0.10901122107935735</v>
      </c>
      <c r="P31" s="40">
        <f t="shared" si="33"/>
        <v>-0.11807351115476994</v>
      </c>
      <c r="Q31" s="40">
        <f t="shared" si="33"/>
        <v>9.1067124851809123E-3</v>
      </c>
      <c r="R31" s="40">
        <f t="shared" si="33"/>
        <v>-7.2826293051840851E-2</v>
      </c>
      <c r="S31" s="40">
        <f t="shared" si="33"/>
        <v>-3.2761135488744597E-2</v>
      </c>
      <c r="T31" s="40">
        <f t="shared" si="33"/>
        <v>-0.13891964459184913</v>
      </c>
      <c r="U31" s="40">
        <f t="shared" si="33"/>
        <v>-0.1039109073923431</v>
      </c>
      <c r="V31" s="40">
        <f t="shared" si="33"/>
        <v>-4.437449962536566E-2</v>
      </c>
      <c r="W31" s="40">
        <f t="shared" si="33"/>
        <v>-2.919707268074434E-2</v>
      </c>
      <c r="X31" s="40">
        <f t="shared" si="33"/>
        <v>-5.4975733095884216E-2</v>
      </c>
      <c r="Z31" s="93">
        <f t="shared" si="36"/>
        <v>-3.8438314815451666E-2</v>
      </c>
      <c r="AA31" s="93">
        <f t="shared" si="34"/>
        <v>-0.11513100664700379</v>
      </c>
      <c r="AB31" s="93">
        <f t="shared" si="34"/>
        <v>-0.13295178754306478</v>
      </c>
      <c r="AC31" s="93">
        <f t="shared" si="34"/>
        <v>-2.8220894818383052E-3</v>
      </c>
      <c r="AD31" s="93">
        <f t="shared" si="34"/>
        <v>-9.2461382352238594E-2</v>
      </c>
      <c r="AE31" s="93">
        <f t="shared" si="34"/>
        <v>-6.0460338818331995E-2</v>
      </c>
      <c r="AF31" s="93">
        <f t="shared" si="34"/>
        <v>-0.14882914303487318</v>
      </c>
      <c r="AG31" s="93">
        <f t="shared" si="34"/>
        <v>-0.12066282806612368</v>
      </c>
      <c r="AH31" s="93">
        <f t="shared" si="34"/>
        <v>-6.4672579235687977E-2</v>
      </c>
      <c r="AI31" s="93">
        <f t="shared" si="34"/>
        <v>-5.0421569610056616E-2</v>
      </c>
    </row>
    <row r="32" spans="1:35" x14ac:dyDescent="0.2">
      <c r="A32" s="86">
        <v>40787</v>
      </c>
      <c r="B32" s="87">
        <v>11.748072000000001</v>
      </c>
      <c r="C32" s="87">
        <v>27.458914</v>
      </c>
      <c r="D32" s="87">
        <v>26.557594000000002</v>
      </c>
      <c r="E32" s="87">
        <v>41.382384999999999</v>
      </c>
      <c r="F32" s="87">
        <v>17.493347</v>
      </c>
      <c r="G32" s="88">
        <v>216.229996</v>
      </c>
      <c r="H32" s="87">
        <v>81.758849999999995</v>
      </c>
      <c r="I32" s="87">
        <v>256.55835000000002</v>
      </c>
      <c r="J32" s="88">
        <v>26.705228999999999</v>
      </c>
      <c r="K32" s="89">
        <v>20.163198000000001</v>
      </c>
      <c r="L32" s="90">
        <v>93.592560000000006</v>
      </c>
      <c r="M32" s="39"/>
      <c r="N32" s="40">
        <f t="shared" si="35"/>
        <v>-9.1211241632446205E-3</v>
      </c>
      <c r="O32" s="40">
        <f t="shared" si="33"/>
        <v>-0.11200219828572133</v>
      </c>
      <c r="P32" s="40">
        <f t="shared" si="33"/>
        <v>-0.11450400463167032</v>
      </c>
      <c r="Q32" s="40">
        <f t="shared" si="33"/>
        <v>-1.7193818301152408E-2</v>
      </c>
      <c r="R32" s="40">
        <f t="shared" si="33"/>
        <v>-8.9487882095990345E-2</v>
      </c>
      <c r="S32" s="40">
        <f t="shared" si="33"/>
        <v>4.6461925316394481E-3</v>
      </c>
      <c r="T32" s="40">
        <f t="shared" si="33"/>
        <v>-0.18399629343866108</v>
      </c>
      <c r="U32" s="40">
        <f t="shared" si="33"/>
        <v>-4.791487879738543E-2</v>
      </c>
      <c r="V32" s="40">
        <f t="shared" si="33"/>
        <v>-7.982063369956216E-3</v>
      </c>
      <c r="W32" s="40">
        <f t="shared" si="33"/>
        <v>-5.8379918466579528E-2</v>
      </c>
      <c r="X32" s="40">
        <f t="shared" si="33"/>
        <v>-7.421053556192525E-2</v>
      </c>
      <c r="Z32" s="93">
        <f t="shared" si="36"/>
        <v>-3.3090121379876422E-2</v>
      </c>
      <c r="AA32" s="93">
        <f t="shared" si="34"/>
        <v>-0.11812198385336778</v>
      </c>
      <c r="AB32" s="93">
        <f t="shared" si="34"/>
        <v>-0.12938228101996516</v>
      </c>
      <c r="AC32" s="93">
        <f t="shared" si="34"/>
        <v>-2.9122620268171626E-2</v>
      </c>
      <c r="AD32" s="93">
        <f t="shared" si="34"/>
        <v>-0.10912297139638809</v>
      </c>
      <c r="AE32" s="93">
        <f t="shared" si="34"/>
        <v>-2.305301079794795E-2</v>
      </c>
      <c r="AF32" s="93">
        <f t="shared" si="34"/>
        <v>-0.19390579188168514</v>
      </c>
      <c r="AG32" s="93">
        <f t="shared" si="34"/>
        <v>-6.4666799471166006E-2</v>
      </c>
      <c r="AH32" s="93">
        <f t="shared" si="34"/>
        <v>-2.8280142980278537E-2</v>
      </c>
      <c r="AI32" s="93">
        <f t="shared" si="34"/>
        <v>-7.9604415395891803E-2</v>
      </c>
    </row>
    <row r="33" spans="1:35" x14ac:dyDescent="0.2">
      <c r="A33" s="86">
        <v>40817</v>
      </c>
      <c r="B33" s="87">
        <v>12.470848999999999</v>
      </c>
      <c r="C33" s="87">
        <v>31.222103000000001</v>
      </c>
      <c r="D33" s="87">
        <v>30.713825</v>
      </c>
      <c r="E33" s="87">
        <v>45.225600999999997</v>
      </c>
      <c r="F33" s="87">
        <v>19.823248</v>
      </c>
      <c r="G33" s="88">
        <v>213.509995</v>
      </c>
      <c r="H33" s="87">
        <v>94.729590999999999</v>
      </c>
      <c r="I33" s="87">
        <v>295.21346999999997</v>
      </c>
      <c r="J33" s="88">
        <v>29.085709000000001</v>
      </c>
      <c r="K33" s="89">
        <v>21.572758</v>
      </c>
      <c r="L33" s="90">
        <v>104.345009</v>
      </c>
      <c r="M33" s="39"/>
      <c r="N33" s="40">
        <f t="shared" si="35"/>
        <v>6.1523031183329469E-2</v>
      </c>
      <c r="O33" s="40">
        <f t="shared" si="33"/>
        <v>0.13704799104582222</v>
      </c>
      <c r="P33" s="40">
        <f t="shared" si="33"/>
        <v>0.1564987777130713</v>
      </c>
      <c r="Q33" s="40">
        <f t="shared" si="33"/>
        <v>9.2870819311163366E-2</v>
      </c>
      <c r="R33" s="40">
        <f t="shared" si="33"/>
        <v>0.13318783420919966</v>
      </c>
      <c r="S33" s="40">
        <f t="shared" si="33"/>
        <v>-1.2579202933528211E-2</v>
      </c>
      <c r="T33" s="40">
        <f t="shared" si="33"/>
        <v>0.15864632391478106</v>
      </c>
      <c r="U33" s="40">
        <f t="shared" si="33"/>
        <v>0.15066794746692103</v>
      </c>
      <c r="V33" s="40">
        <f t="shared" si="33"/>
        <v>8.9139097065971784E-2</v>
      </c>
      <c r="W33" s="40">
        <f t="shared" si="33"/>
        <v>6.9907561290624587E-2</v>
      </c>
      <c r="X33" s="40">
        <f t="shared" si="33"/>
        <v>0.11488572382249185</v>
      </c>
      <c r="Z33" s="93">
        <f t="shared" si="36"/>
        <v>3.7554033966697667E-2</v>
      </c>
      <c r="AA33" s="93">
        <f t="shared" si="34"/>
        <v>0.13092820547817577</v>
      </c>
      <c r="AB33" s="93">
        <f t="shared" si="34"/>
        <v>0.14162050132477647</v>
      </c>
      <c r="AC33" s="93">
        <f t="shared" si="34"/>
        <v>8.0942017344144149E-2</v>
      </c>
      <c r="AD33" s="93">
        <f t="shared" si="34"/>
        <v>0.11355274490880192</v>
      </c>
      <c r="AE33" s="93">
        <f t="shared" si="34"/>
        <v>-4.0278406263115608E-2</v>
      </c>
      <c r="AF33" s="93">
        <f t="shared" si="34"/>
        <v>0.14873682547175701</v>
      </c>
      <c r="AG33" s="93">
        <f t="shared" si="34"/>
        <v>0.13391602679314046</v>
      </c>
      <c r="AH33" s="93">
        <f t="shared" si="34"/>
        <v>6.8841017455649467E-2</v>
      </c>
      <c r="AI33" s="93">
        <f t="shared" si="34"/>
        <v>4.8683064361312312E-2</v>
      </c>
    </row>
    <row r="34" spans="1:35" x14ac:dyDescent="0.2">
      <c r="A34" s="86">
        <v>40848</v>
      </c>
      <c r="B34" s="87">
        <v>11.775183</v>
      </c>
      <c r="C34" s="87">
        <v>29.512518</v>
      </c>
      <c r="D34" s="87">
        <v>31.567965000000001</v>
      </c>
      <c r="E34" s="87">
        <v>46.963821000000003</v>
      </c>
      <c r="F34" s="87">
        <v>20.473192000000001</v>
      </c>
      <c r="G34" s="88">
        <v>192.28999300000001</v>
      </c>
      <c r="H34" s="87">
        <v>82.891639999999995</v>
      </c>
      <c r="I34" s="87">
        <v>298.57586700000002</v>
      </c>
      <c r="J34" s="88">
        <v>31.864286</v>
      </c>
      <c r="K34" s="89">
        <v>20.722163999999999</v>
      </c>
      <c r="L34" s="90">
        <v>103.920952</v>
      </c>
      <c r="M34" s="39"/>
      <c r="N34" s="40">
        <f t="shared" si="35"/>
        <v>-5.5783371284505057E-2</v>
      </c>
      <c r="O34" s="40">
        <f t="shared" si="33"/>
        <v>-5.4755600543627714E-2</v>
      </c>
      <c r="P34" s="40">
        <f t="shared" si="33"/>
        <v>2.7809626446722246E-2</v>
      </c>
      <c r="Q34" s="40">
        <f t="shared" si="33"/>
        <v>3.8434425669655603E-2</v>
      </c>
      <c r="R34" s="40">
        <f t="shared" si="33"/>
        <v>3.2786958020199375E-2</v>
      </c>
      <c r="S34" s="40">
        <f t="shared" si="33"/>
        <v>-9.9386457294423081E-2</v>
      </c>
      <c r="T34" s="40">
        <f t="shared" si="33"/>
        <v>-0.12496571425078784</v>
      </c>
      <c r="U34" s="40">
        <f t="shared" si="33"/>
        <v>1.1389714026260433E-2</v>
      </c>
      <c r="V34" s="40">
        <f t="shared" si="33"/>
        <v>9.5530660779147514E-2</v>
      </c>
      <c r="W34" s="40">
        <f t="shared" si="33"/>
        <v>-3.9429079953522961E-2</v>
      </c>
      <c r="X34" s="40">
        <f t="shared" si="33"/>
        <v>-4.0639892991911619E-3</v>
      </c>
      <c r="Z34" s="93">
        <f t="shared" si="36"/>
        <v>-7.9752368501136858E-2</v>
      </c>
      <c r="AA34" s="93">
        <f t="shared" si="34"/>
        <v>-6.0875386111274153E-2</v>
      </c>
      <c r="AB34" s="93">
        <f t="shared" si="34"/>
        <v>1.2931350058427417E-2</v>
      </c>
      <c r="AC34" s="93">
        <f t="shared" si="34"/>
        <v>2.6505623702636386E-2</v>
      </c>
      <c r="AD34" s="93">
        <f t="shared" si="34"/>
        <v>1.3151868719801632E-2</v>
      </c>
      <c r="AE34" s="93">
        <f t="shared" si="34"/>
        <v>-0.12708566062401047</v>
      </c>
      <c r="AF34" s="93">
        <f t="shared" si="34"/>
        <v>-0.13487521269381189</v>
      </c>
      <c r="AG34" s="93">
        <f t="shared" si="34"/>
        <v>-5.3622066475201395E-3</v>
      </c>
      <c r="AH34" s="93">
        <f t="shared" si="34"/>
        <v>7.5232581168825197E-2</v>
      </c>
      <c r="AI34" s="93">
        <f t="shared" si="34"/>
        <v>-6.0653576882835236E-2</v>
      </c>
    </row>
    <row r="35" spans="1:35" x14ac:dyDescent="0.2">
      <c r="A35" s="86">
        <v>40878</v>
      </c>
      <c r="B35" s="87">
        <v>12.477631000000001</v>
      </c>
      <c r="C35" s="87">
        <v>31.198015000000002</v>
      </c>
      <c r="D35" s="87">
        <v>33.020885</v>
      </c>
      <c r="E35" s="87">
        <v>47.649529000000001</v>
      </c>
      <c r="F35" s="87">
        <v>17.661816000000002</v>
      </c>
      <c r="G35" s="88">
        <v>173.10000600000001</v>
      </c>
      <c r="H35" s="87">
        <v>78.498885999999999</v>
      </c>
      <c r="I35" s="87">
        <v>321.74401899999998</v>
      </c>
      <c r="J35" s="88">
        <v>34.423031000000002</v>
      </c>
      <c r="K35" s="89">
        <v>21.188354</v>
      </c>
      <c r="L35" s="90">
        <v>104.345009</v>
      </c>
      <c r="M35" s="39"/>
      <c r="N35" s="40">
        <f t="shared" si="35"/>
        <v>5.9654953982456238E-2</v>
      </c>
      <c r="O35" s="40">
        <f t="shared" si="33"/>
        <v>5.7111256992710802E-2</v>
      </c>
      <c r="P35" s="40">
        <f t="shared" si="33"/>
        <v>4.6025139726301623E-2</v>
      </c>
      <c r="Q35" s="40">
        <f t="shared" si="33"/>
        <v>1.4600771091432208E-2</v>
      </c>
      <c r="R35" s="40">
        <f t="shared" si="33"/>
        <v>-0.13731986687762221</v>
      </c>
      <c r="S35" s="40">
        <f t="shared" si="33"/>
        <v>-9.9797117367412924E-2</v>
      </c>
      <c r="T35" s="40">
        <f t="shared" si="33"/>
        <v>-5.2993932801908561E-2</v>
      </c>
      <c r="U35" s="40">
        <f t="shared" si="33"/>
        <v>7.7595527839495304E-2</v>
      </c>
      <c r="V35" s="40">
        <f t="shared" si="33"/>
        <v>8.0301344269882557E-2</v>
      </c>
      <c r="W35" s="40">
        <f t="shared" si="33"/>
        <v>2.2497167766841297E-2</v>
      </c>
      <c r="X35" s="40">
        <f t="shared" si="33"/>
        <v>4.0805727029906702E-3</v>
      </c>
      <c r="Z35" s="93">
        <f t="shared" si="36"/>
        <v>3.5685956765824436E-2</v>
      </c>
      <c r="AA35" s="93">
        <f t="shared" si="34"/>
        <v>5.0991471425064362E-2</v>
      </c>
      <c r="AB35" s="93">
        <f t="shared" si="34"/>
        <v>3.1146863338006793E-2</v>
      </c>
      <c r="AC35" s="93">
        <f t="shared" si="34"/>
        <v>2.6719691244129901E-3</v>
      </c>
      <c r="AD35" s="93">
        <f t="shared" si="34"/>
        <v>-0.15695495617801997</v>
      </c>
      <c r="AE35" s="93">
        <f t="shared" si="34"/>
        <v>-0.12749632069700031</v>
      </c>
      <c r="AF35" s="93">
        <f t="shared" si="34"/>
        <v>-6.2903431244932598E-2</v>
      </c>
      <c r="AG35" s="93">
        <f t="shared" si="34"/>
        <v>6.0843607165714728E-2</v>
      </c>
      <c r="AH35" s="93">
        <f t="shared" si="34"/>
        <v>6.000326465956024E-2</v>
      </c>
      <c r="AI35" s="93">
        <f t="shared" si="34"/>
        <v>1.2726708375290254E-3</v>
      </c>
    </row>
    <row r="36" spans="1:35" x14ac:dyDescent="0.2">
      <c r="A36" s="86">
        <v>40909</v>
      </c>
      <c r="B36" s="87">
        <v>14.063673</v>
      </c>
      <c r="C36" s="87">
        <v>35.587414000000003</v>
      </c>
      <c r="D36" s="87">
        <v>34.828868999999997</v>
      </c>
      <c r="E36" s="87">
        <v>49.230998999999997</v>
      </c>
      <c r="F36" s="87">
        <v>18.226935999999998</v>
      </c>
      <c r="G36" s="88">
        <v>194.44000199999999</v>
      </c>
      <c r="H36" s="87">
        <v>96.762900999999999</v>
      </c>
      <c r="I36" s="87">
        <v>288.97186299999998</v>
      </c>
      <c r="J36" s="88">
        <v>36.347233000000003</v>
      </c>
      <c r="K36" s="89">
        <v>24.102163000000001</v>
      </c>
      <c r="L36" s="90">
        <v>109.876419</v>
      </c>
      <c r="M36" s="39"/>
      <c r="N36" s="40">
        <f t="shared" si="35"/>
        <v>0.12711082736779122</v>
      </c>
      <c r="O36" s="40">
        <f t="shared" si="33"/>
        <v>0.14069481664137928</v>
      </c>
      <c r="P36" s="40">
        <f t="shared" si="33"/>
        <v>5.475274209034664E-2</v>
      </c>
      <c r="Q36" s="40">
        <f t="shared" si="33"/>
        <v>3.3189625022316482E-2</v>
      </c>
      <c r="R36" s="40">
        <f t="shared" si="33"/>
        <v>3.1996709738115081E-2</v>
      </c>
      <c r="S36" s="40">
        <f t="shared" si="33"/>
        <v>0.12328131288452981</v>
      </c>
      <c r="T36" s="40">
        <f t="shared" si="33"/>
        <v>0.23266591324620833</v>
      </c>
      <c r="U36" s="40">
        <f t="shared" si="33"/>
        <v>-0.1018578561362472</v>
      </c>
      <c r="V36" s="40">
        <f t="shared" si="33"/>
        <v>5.5898680159803593E-2</v>
      </c>
      <c r="W36" s="40">
        <f t="shared" si="33"/>
        <v>0.13751936559111666</v>
      </c>
      <c r="X36" s="40">
        <f t="shared" si="33"/>
        <v>5.3010776969696582E-2</v>
      </c>
      <c r="Z36" s="93">
        <f t="shared" si="36"/>
        <v>0.10314183015115942</v>
      </c>
      <c r="AA36" s="93">
        <f t="shared" si="34"/>
        <v>0.13457503107373284</v>
      </c>
      <c r="AB36" s="93">
        <f t="shared" si="34"/>
        <v>3.987446570205181E-2</v>
      </c>
      <c r="AC36" s="93">
        <f t="shared" si="34"/>
        <v>2.1260823055297265E-2</v>
      </c>
      <c r="AD36" s="93">
        <f t="shared" si="34"/>
        <v>1.2361620437717338E-2</v>
      </c>
      <c r="AE36" s="93">
        <f t="shared" si="34"/>
        <v>9.5582109554942424E-2</v>
      </c>
      <c r="AF36" s="93">
        <f t="shared" si="34"/>
        <v>0.22275641480318428</v>
      </c>
      <c r="AG36" s="93">
        <f t="shared" si="34"/>
        <v>-0.11860977681002778</v>
      </c>
      <c r="AH36" s="93">
        <f t="shared" si="34"/>
        <v>3.5600600549481276E-2</v>
      </c>
      <c r="AI36" s="93">
        <f t="shared" si="34"/>
        <v>0.11629486866180438</v>
      </c>
    </row>
    <row r="37" spans="1:35" x14ac:dyDescent="0.2">
      <c r="A37" s="86">
        <v>40940</v>
      </c>
      <c r="B37" s="87">
        <v>16.712011</v>
      </c>
      <c r="C37" s="87">
        <v>37.512135000000001</v>
      </c>
      <c r="D37" s="87">
        <v>37.595486000000001</v>
      </c>
      <c r="E37" s="87">
        <v>47.401694999999997</v>
      </c>
      <c r="F37" s="87">
        <v>18.797726000000001</v>
      </c>
      <c r="G37" s="88">
        <v>179.69000199999999</v>
      </c>
      <c r="H37" s="87">
        <v>99.948723000000001</v>
      </c>
      <c r="I37" s="87">
        <v>307.970642</v>
      </c>
      <c r="J37" s="88">
        <v>38.951076999999998</v>
      </c>
      <c r="K37" s="89">
        <v>25.905951000000002</v>
      </c>
      <c r="L37" s="90">
        <v>114.64563800000001</v>
      </c>
      <c r="M37" s="39"/>
      <c r="N37" s="40">
        <f t="shared" si="35"/>
        <v>0.18831055016708653</v>
      </c>
      <c r="O37" s="40">
        <f t="shared" si="33"/>
        <v>5.4084317562383077E-2</v>
      </c>
      <c r="P37" s="40">
        <f t="shared" si="33"/>
        <v>7.9434592033407858E-2</v>
      </c>
      <c r="Q37" s="40">
        <f t="shared" si="33"/>
        <v>-3.7157564078681427E-2</v>
      </c>
      <c r="R37" s="40">
        <f t="shared" si="33"/>
        <v>3.1315740615976306E-2</v>
      </c>
      <c r="S37" s="40">
        <f t="shared" si="33"/>
        <v>-7.5858875994045727E-2</v>
      </c>
      <c r="T37" s="40">
        <f t="shared" si="33"/>
        <v>3.2924002557550347E-2</v>
      </c>
      <c r="U37" s="40">
        <f t="shared" si="33"/>
        <v>6.5746120756400517E-2</v>
      </c>
      <c r="V37" s="40">
        <f t="shared" si="33"/>
        <v>7.1638025375961867E-2</v>
      </c>
      <c r="W37" s="40">
        <f t="shared" si="33"/>
        <v>7.4839258202676673E-2</v>
      </c>
      <c r="X37" s="40">
        <f t="shared" si="33"/>
        <v>4.3405300640531497E-2</v>
      </c>
      <c r="Z37" s="93">
        <f t="shared" si="36"/>
        <v>0.16434155295045474</v>
      </c>
      <c r="AA37" s="93">
        <f t="shared" si="34"/>
        <v>4.7964531994736638E-2</v>
      </c>
      <c r="AB37" s="93">
        <f t="shared" si="34"/>
        <v>6.4556315645113022E-2</v>
      </c>
      <c r="AC37" s="93">
        <f t="shared" si="34"/>
        <v>-4.9086366045700644E-2</v>
      </c>
      <c r="AD37" s="93">
        <f t="shared" si="34"/>
        <v>1.1680651315578564E-2</v>
      </c>
      <c r="AE37" s="93">
        <f t="shared" si="34"/>
        <v>-0.10355807932363312</v>
      </c>
      <c r="AF37" s="93">
        <f t="shared" si="34"/>
        <v>2.3014504114526307E-2</v>
      </c>
      <c r="AG37" s="93">
        <f t="shared" si="34"/>
        <v>4.899420008261994E-2</v>
      </c>
      <c r="AH37" s="93">
        <f t="shared" si="34"/>
        <v>5.133994576563955E-2</v>
      </c>
      <c r="AI37" s="93">
        <f t="shared" si="34"/>
        <v>5.3614761273364397E-2</v>
      </c>
    </row>
    <row r="38" spans="1:35" x14ac:dyDescent="0.2">
      <c r="A38" s="86">
        <v>40969</v>
      </c>
      <c r="B38" s="87">
        <v>18.471512000000001</v>
      </c>
      <c r="C38" s="87">
        <v>39.660217000000003</v>
      </c>
      <c r="D38" s="87">
        <v>39.198146999999999</v>
      </c>
      <c r="E38" s="87">
        <v>49.102618999999997</v>
      </c>
      <c r="F38" s="87">
        <v>18.021460000000001</v>
      </c>
      <c r="G38" s="88">
        <v>202.509995</v>
      </c>
      <c r="H38" s="87">
        <v>108.286995</v>
      </c>
      <c r="I38" s="87">
        <v>319.422729</v>
      </c>
      <c r="J38" s="88">
        <v>41.194633000000003</v>
      </c>
      <c r="K38" s="89">
        <v>26.503708</v>
      </c>
      <c r="L38" s="90">
        <v>117.816757</v>
      </c>
      <c r="M38" s="39"/>
      <c r="N38" s="40">
        <f t="shared" si="35"/>
        <v>0.1052836190689439</v>
      </c>
      <c r="O38" s="40">
        <f t="shared" si="33"/>
        <v>5.7263656147537478E-2</v>
      </c>
      <c r="P38" s="40">
        <f t="shared" si="33"/>
        <v>4.2629080523124419E-2</v>
      </c>
      <c r="Q38" s="40">
        <f t="shared" si="33"/>
        <v>3.5883189409155136E-2</v>
      </c>
      <c r="R38" s="40">
        <f t="shared" si="33"/>
        <v>-4.1295739708090196E-2</v>
      </c>
      <c r="S38" s="40">
        <f t="shared" si="33"/>
        <v>0.12699645359233735</v>
      </c>
      <c r="T38" s="40">
        <f t="shared" si="33"/>
        <v>8.342549809265698E-2</v>
      </c>
      <c r="U38" s="40">
        <f t="shared" si="33"/>
        <v>3.7185645117433053E-2</v>
      </c>
      <c r="V38" s="40">
        <f t="shared" si="33"/>
        <v>5.7599331592294689E-2</v>
      </c>
      <c r="W38" s="40">
        <f t="shared" si="33"/>
        <v>2.3074119147372674E-2</v>
      </c>
      <c r="X38" s="40">
        <f t="shared" si="33"/>
        <v>2.7660180145711255E-2</v>
      </c>
      <c r="Z38" s="93">
        <f t="shared" si="36"/>
        <v>8.1314621852312099E-2</v>
      </c>
      <c r="AA38" s="93">
        <f t="shared" si="34"/>
        <v>5.1143870579891039E-2</v>
      </c>
      <c r="AB38" s="93">
        <f t="shared" si="34"/>
        <v>2.7750804134829589E-2</v>
      </c>
      <c r="AC38" s="93">
        <f t="shared" si="34"/>
        <v>2.3954387442135919E-2</v>
      </c>
      <c r="AD38" s="93">
        <f t="shared" si="34"/>
        <v>-6.0930829008487938E-2</v>
      </c>
      <c r="AE38" s="93">
        <f t="shared" si="34"/>
        <v>9.9297250262749964E-2</v>
      </c>
      <c r="AF38" s="93">
        <f t="shared" si="34"/>
        <v>7.3515999649632943E-2</v>
      </c>
      <c r="AG38" s="93">
        <f t="shared" si="34"/>
        <v>2.043372444365248E-2</v>
      </c>
      <c r="AH38" s="93">
        <f t="shared" si="34"/>
        <v>3.7301251981972372E-2</v>
      </c>
      <c r="AI38" s="93">
        <f t="shared" si="34"/>
        <v>1.8496222180604018E-3</v>
      </c>
    </row>
    <row r="39" spans="1:35" x14ac:dyDescent="0.2">
      <c r="A39" s="86">
        <v>41000</v>
      </c>
      <c r="B39" s="87">
        <v>17.991814000000002</v>
      </c>
      <c r="C39" s="87">
        <v>42.286448999999998</v>
      </c>
      <c r="D39" s="87">
        <v>38.598274000000004</v>
      </c>
      <c r="E39" s="87">
        <v>47.581654</v>
      </c>
      <c r="F39" s="87">
        <v>16.796182999999999</v>
      </c>
      <c r="G39" s="88">
        <v>231.89999399999999</v>
      </c>
      <c r="H39" s="87">
        <v>100.25928500000001</v>
      </c>
      <c r="I39" s="87">
        <v>301.29568499999999</v>
      </c>
      <c r="J39" s="88">
        <v>42.667586999999997</v>
      </c>
      <c r="K39" s="89">
        <v>26.306529999999999</v>
      </c>
      <c r="L39" s="90">
        <v>117.543144</v>
      </c>
      <c r="M39" s="39"/>
      <c r="N39" s="40">
        <f t="shared" si="35"/>
        <v>-2.5969612016601529E-2</v>
      </c>
      <c r="O39" s="40">
        <f t="shared" si="33"/>
        <v>6.6218296284157763E-2</v>
      </c>
      <c r="P39" s="40">
        <f t="shared" si="33"/>
        <v>-1.5303606060765973E-2</v>
      </c>
      <c r="Q39" s="40">
        <f t="shared" si="33"/>
        <v>-3.0975231687743521E-2</v>
      </c>
      <c r="R39" s="40">
        <f t="shared" si="33"/>
        <v>-6.7989885392193639E-2</v>
      </c>
      <c r="S39" s="40">
        <f t="shared" si="33"/>
        <v>0.14512863426815059</v>
      </c>
      <c r="T39" s="40">
        <f t="shared" si="33"/>
        <v>-7.4133648274199437E-2</v>
      </c>
      <c r="U39" s="40">
        <f t="shared" si="33"/>
        <v>-5.674938679770658E-2</v>
      </c>
      <c r="V39" s="40">
        <f t="shared" si="33"/>
        <v>3.5755968502013236E-2</v>
      </c>
      <c r="W39" s="40">
        <f t="shared" si="33"/>
        <v>-7.4396382574091202E-3</v>
      </c>
      <c r="X39" s="40">
        <f t="shared" si="33"/>
        <v>-2.3223606468815161E-3</v>
      </c>
      <c r="Z39" s="93">
        <f t="shared" si="36"/>
        <v>-4.993860923323333E-2</v>
      </c>
      <c r="AA39" s="93">
        <f t="shared" si="34"/>
        <v>6.0098510716511323E-2</v>
      </c>
      <c r="AB39" s="93">
        <f t="shared" si="34"/>
        <v>-3.0181882449060803E-2</v>
      </c>
      <c r="AC39" s="93">
        <f t="shared" si="34"/>
        <v>-4.2904033654762738E-2</v>
      </c>
      <c r="AD39" s="93">
        <f t="shared" si="34"/>
        <v>-8.7624974692591381E-2</v>
      </c>
      <c r="AE39" s="93">
        <f t="shared" si="34"/>
        <v>0.1174294309385632</v>
      </c>
      <c r="AF39" s="93">
        <f t="shared" si="34"/>
        <v>-8.4043146717223474E-2</v>
      </c>
      <c r="AG39" s="93">
        <f t="shared" si="34"/>
        <v>-7.3501307471487157E-2</v>
      </c>
      <c r="AH39" s="93">
        <f t="shared" si="34"/>
        <v>1.5457888891690915E-2</v>
      </c>
      <c r="AI39" s="93">
        <f t="shared" si="34"/>
        <v>-2.8664135186721392E-2</v>
      </c>
    </row>
    <row r="40" spans="1:35" x14ac:dyDescent="0.2">
      <c r="A40" s="86">
        <v>41030</v>
      </c>
      <c r="B40" s="87">
        <v>17.799264999999998</v>
      </c>
      <c r="C40" s="87">
        <v>38.932941</v>
      </c>
      <c r="D40" s="87">
        <v>40.926158999999998</v>
      </c>
      <c r="E40" s="87">
        <v>53.162864999999996</v>
      </c>
      <c r="F40" s="87">
        <v>14.351789</v>
      </c>
      <c r="G40" s="88">
        <v>212.91000399999999</v>
      </c>
      <c r="H40" s="87">
        <v>83.324485999999993</v>
      </c>
      <c r="I40" s="87">
        <v>289.34545900000001</v>
      </c>
      <c r="J40" s="88">
        <v>40.649132000000002</v>
      </c>
      <c r="K40" s="89">
        <v>23.981504000000001</v>
      </c>
      <c r="L40" s="90">
        <v>110.483986</v>
      </c>
      <c r="M40" s="39"/>
      <c r="N40" s="40">
        <f t="shared" si="35"/>
        <v>-1.0702033713776871E-2</v>
      </c>
      <c r="O40" s="40">
        <f t="shared" si="33"/>
        <v>-7.9304554515797654E-2</v>
      </c>
      <c r="P40" s="40">
        <f t="shared" si="33"/>
        <v>6.0310598344371469E-2</v>
      </c>
      <c r="Q40" s="40">
        <f t="shared" si="33"/>
        <v>0.11729754077065069</v>
      </c>
      <c r="R40" s="40">
        <f t="shared" si="33"/>
        <v>-0.14553270823496023</v>
      </c>
      <c r="S40" s="40">
        <f t="shared" si="33"/>
        <v>-8.1888704145460234E-2</v>
      </c>
      <c r="T40" s="40">
        <f t="shared" si="33"/>
        <v>-0.16891003162450258</v>
      </c>
      <c r="U40" s="40">
        <f t="shared" si="33"/>
        <v>-3.9662785081040819E-2</v>
      </c>
      <c r="V40" s="40">
        <f t="shared" si="33"/>
        <v>-4.7306518646109463E-2</v>
      </c>
      <c r="W40" s="40">
        <f t="shared" si="33"/>
        <v>-8.8382086120822434E-2</v>
      </c>
      <c r="X40" s="40">
        <f t="shared" si="33"/>
        <v>-6.0055888925346412E-2</v>
      </c>
      <c r="Z40" s="93">
        <f t="shared" si="36"/>
        <v>-3.4671030930408672E-2</v>
      </c>
      <c r="AA40" s="93">
        <f t="shared" si="34"/>
        <v>-8.54243400834441E-2</v>
      </c>
      <c r="AB40" s="93">
        <f t="shared" si="34"/>
        <v>4.5432321956076639E-2</v>
      </c>
      <c r="AC40" s="93">
        <f t="shared" si="34"/>
        <v>0.10536873880363147</v>
      </c>
      <c r="AD40" s="93">
        <f t="shared" si="34"/>
        <v>-0.16516779753535799</v>
      </c>
      <c r="AE40" s="93">
        <f t="shared" si="34"/>
        <v>-0.10958790747504762</v>
      </c>
      <c r="AF40" s="93">
        <f t="shared" si="34"/>
        <v>-0.17881953006752663</v>
      </c>
      <c r="AG40" s="93">
        <f t="shared" si="34"/>
        <v>-5.6414705754821395E-2</v>
      </c>
      <c r="AH40" s="93">
        <f t="shared" si="34"/>
        <v>-6.760459825643178E-2</v>
      </c>
      <c r="AI40" s="93">
        <f t="shared" si="34"/>
        <v>-0.10960658305013471</v>
      </c>
    </row>
    <row r="41" spans="1:35" x14ac:dyDescent="0.2">
      <c r="A41" s="86">
        <v>41061</v>
      </c>
      <c r="B41" s="87">
        <v>17.992433999999999</v>
      </c>
      <c r="C41" s="87">
        <v>37.074097000000002</v>
      </c>
      <c r="D41" s="87">
        <v>43.424168000000002</v>
      </c>
      <c r="E41" s="87">
        <v>56.695034</v>
      </c>
      <c r="F41" s="87">
        <v>16.069095999999998</v>
      </c>
      <c r="G41" s="88">
        <v>228.35000600000001</v>
      </c>
      <c r="H41" s="87">
        <v>83.862746999999999</v>
      </c>
      <c r="I41" s="87">
        <v>288.95193499999999</v>
      </c>
      <c r="J41" s="88">
        <v>43.913787999999997</v>
      </c>
      <c r="K41" s="89">
        <v>25.296596999999998</v>
      </c>
      <c r="L41" s="90">
        <v>114.374931</v>
      </c>
      <c r="M41" s="39"/>
      <c r="N41" s="40">
        <f t="shared" si="35"/>
        <v>1.0852639139874665E-2</v>
      </c>
      <c r="O41" s="40">
        <f t="shared" si="33"/>
        <v>-4.7744761948500081E-2</v>
      </c>
      <c r="P41" s="40">
        <f t="shared" si="33"/>
        <v>6.1036976374939211E-2</v>
      </c>
      <c r="Q41" s="40">
        <f t="shared" si="33"/>
        <v>6.6440531374672984E-2</v>
      </c>
      <c r="R41" s="40">
        <f t="shared" si="33"/>
        <v>0.11965804402503388</v>
      </c>
      <c r="S41" s="40">
        <f t="shared" si="33"/>
        <v>7.2518912732724594E-2</v>
      </c>
      <c r="T41" s="40">
        <f t="shared" si="33"/>
        <v>6.4598178259389627E-3</v>
      </c>
      <c r="U41" s="40">
        <f t="shared" si="33"/>
        <v>-1.3600489925090775E-3</v>
      </c>
      <c r="V41" s="40">
        <f t="shared" si="33"/>
        <v>8.0313055639170683E-2</v>
      </c>
      <c r="W41" s="40">
        <f t="shared" si="33"/>
        <v>5.4837803333769086E-2</v>
      </c>
      <c r="X41" s="40">
        <f t="shared" si="33"/>
        <v>3.5217275741662668E-2</v>
      </c>
      <c r="Z41" s="93">
        <f t="shared" si="36"/>
        <v>-1.3116358076757133E-2</v>
      </c>
      <c r="AA41" s="93">
        <f t="shared" si="34"/>
        <v>-5.386454751614652E-2</v>
      </c>
      <c r="AB41" s="93">
        <f t="shared" si="34"/>
        <v>4.6158699986644382E-2</v>
      </c>
      <c r="AC41" s="93">
        <f t="shared" si="34"/>
        <v>5.4511729407653767E-2</v>
      </c>
      <c r="AD41" s="93">
        <f t="shared" si="34"/>
        <v>0.10002295472463614</v>
      </c>
      <c r="AE41" s="93">
        <f t="shared" si="34"/>
        <v>4.4819709403137196E-2</v>
      </c>
      <c r="AF41" s="93">
        <f t="shared" si="34"/>
        <v>-3.4496806170850776E-3</v>
      </c>
      <c r="AG41" s="93">
        <f t="shared" si="34"/>
        <v>-1.8111969666289651E-2</v>
      </c>
      <c r="AH41" s="93">
        <f t="shared" si="34"/>
        <v>6.0014976028848366E-2</v>
      </c>
      <c r="AI41" s="93">
        <f t="shared" si="34"/>
        <v>3.3613306404456811E-2</v>
      </c>
    </row>
    <row r="42" spans="1:35" x14ac:dyDescent="0.2">
      <c r="A42" s="86">
        <v>41091</v>
      </c>
      <c r="B42" s="87">
        <v>18.816883000000001</v>
      </c>
      <c r="C42" s="87">
        <v>35.047294999999998</v>
      </c>
      <c r="D42" s="87">
        <v>43.997188999999999</v>
      </c>
      <c r="E42" s="87">
        <v>60.525120000000001</v>
      </c>
      <c r="F42" s="87">
        <v>13.982364</v>
      </c>
      <c r="G42" s="88">
        <v>233.300003</v>
      </c>
      <c r="H42" s="87">
        <v>88.271957</v>
      </c>
      <c r="I42" s="87">
        <v>315.30316199999999</v>
      </c>
      <c r="J42" s="88">
        <v>43.242542</v>
      </c>
      <c r="K42" s="89">
        <v>24.370405000000002</v>
      </c>
      <c r="L42" s="90">
        <v>116.327545</v>
      </c>
      <c r="M42" s="39"/>
      <c r="N42" s="40">
        <f t="shared" si="35"/>
        <v>4.5821982728962762E-2</v>
      </c>
      <c r="O42" s="40">
        <f t="shared" si="35"/>
        <v>-5.4668951208710626E-2</v>
      </c>
      <c r="P42" s="40">
        <f t="shared" si="35"/>
        <v>1.3195900494858082E-2</v>
      </c>
      <c r="Q42" s="40">
        <f t="shared" si="35"/>
        <v>6.7555934440395538E-2</v>
      </c>
      <c r="R42" s="40">
        <f t="shared" si="35"/>
        <v>-0.12985994980675941</v>
      </c>
      <c r="S42" s="40">
        <f t="shared" si="35"/>
        <v>2.1677236128472055E-2</v>
      </c>
      <c r="T42" s="40">
        <f t="shared" si="35"/>
        <v>5.2576503366864369E-2</v>
      </c>
      <c r="U42" s="40">
        <f t="shared" si="35"/>
        <v>9.1195883495294838E-2</v>
      </c>
      <c r="V42" s="40">
        <f t="shared" si="35"/>
        <v>-1.5285540841978751E-2</v>
      </c>
      <c r="W42" s="40">
        <f t="shared" si="35"/>
        <v>-3.6613304153123694E-2</v>
      </c>
      <c r="X42" s="40">
        <f t="shared" si="35"/>
        <v>1.7072045271878666E-2</v>
      </c>
      <c r="Z42" s="93">
        <f t="shared" si="36"/>
        <v>2.1852985512330964E-2</v>
      </c>
      <c r="AA42" s="93">
        <f t="shared" ref="AA42:AA105" si="37">O42-O$18</f>
        <v>-6.0788736776357065E-2</v>
      </c>
      <c r="AB42" s="93">
        <f t="shared" ref="AB42:AB105" si="38">P42-P$18</f>
        <v>-1.682375893436748E-3</v>
      </c>
      <c r="AC42" s="93">
        <f t="shared" ref="AC42:AC105" si="39">Q42-Q$18</f>
        <v>5.562713247337632E-2</v>
      </c>
      <c r="AD42" s="93">
        <f t="shared" ref="AD42:AD105" si="40">R42-R$18</f>
        <v>-0.14949503910715717</v>
      </c>
      <c r="AE42" s="93">
        <f t="shared" ref="AE42:AE105" si="41">S42-S$18</f>
        <v>-6.0219672011153427E-3</v>
      </c>
      <c r="AF42" s="93">
        <f t="shared" ref="AF42:AF105" si="42">T42-T$18</f>
        <v>4.2667004923840332E-2</v>
      </c>
      <c r="AG42" s="93">
        <f t="shared" ref="AG42:AG105" si="43">U42-U$18</f>
        <v>7.4443962821514262E-2</v>
      </c>
      <c r="AH42" s="93">
        <f t="shared" ref="AH42:AH105" si="44">V42-V$18</f>
        <v>-3.5583620452301068E-2</v>
      </c>
      <c r="AI42" s="93">
        <f t="shared" ref="AI42:AI105" si="45">W42-W$18</f>
        <v>-5.7837801082435969E-2</v>
      </c>
    </row>
    <row r="43" spans="1:35" x14ac:dyDescent="0.2">
      <c r="A43" s="86">
        <v>41122</v>
      </c>
      <c r="B43" s="87">
        <v>20.495352</v>
      </c>
      <c r="C43" s="87">
        <v>34.017693000000001</v>
      </c>
      <c r="D43" s="87">
        <v>44.292659999999998</v>
      </c>
      <c r="E43" s="87">
        <v>59.036976000000003</v>
      </c>
      <c r="F43" s="87">
        <v>13.711831999999999</v>
      </c>
      <c r="G43" s="88">
        <v>248.270004</v>
      </c>
      <c r="H43" s="87">
        <v>92.488692999999998</v>
      </c>
      <c r="I43" s="87">
        <v>341.26583900000003</v>
      </c>
      <c r="J43" s="88">
        <v>47.029784999999997</v>
      </c>
      <c r="K43" s="89">
        <v>25.486802999999998</v>
      </c>
      <c r="L43" s="90">
        <v>119.241821</v>
      </c>
      <c r="M43" s="39"/>
      <c r="N43" s="40">
        <f t="shared" si="35"/>
        <v>8.9200161365726727E-2</v>
      </c>
      <c r="O43" s="40">
        <f t="shared" si="35"/>
        <v>-2.9377502600414607E-2</v>
      </c>
      <c r="P43" s="40">
        <f t="shared" si="35"/>
        <v>6.7156790403131161E-3</v>
      </c>
      <c r="Q43" s="40">
        <f t="shared" si="35"/>
        <v>-2.458721271432418E-2</v>
      </c>
      <c r="R43" s="40">
        <f t="shared" si="35"/>
        <v>-1.9348087347747622E-2</v>
      </c>
      <c r="S43" s="40">
        <f t="shared" si="35"/>
        <v>6.4166312933995107E-2</v>
      </c>
      <c r="T43" s="40">
        <f t="shared" si="35"/>
        <v>4.7769825699004231E-2</v>
      </c>
      <c r="U43" s="40">
        <f t="shared" si="35"/>
        <v>8.2341949364910016E-2</v>
      </c>
      <c r="V43" s="40">
        <f t="shared" si="35"/>
        <v>8.7581414617114772E-2</v>
      </c>
      <c r="W43" s="40">
        <f t="shared" si="35"/>
        <v>4.5809579282740653E-2</v>
      </c>
      <c r="X43" s="40">
        <f t="shared" si="35"/>
        <v>2.5052329609466018E-2</v>
      </c>
      <c r="Z43" s="93">
        <f t="shared" si="36"/>
        <v>6.5231164149094925E-2</v>
      </c>
      <c r="AA43" s="93">
        <f t="shared" si="37"/>
        <v>-3.5497288168061046E-2</v>
      </c>
      <c r="AB43" s="93">
        <f t="shared" si="38"/>
        <v>-8.1625973479817135E-3</v>
      </c>
      <c r="AC43" s="93">
        <f t="shared" si="39"/>
        <v>-3.6516014681343398E-2</v>
      </c>
      <c r="AD43" s="93">
        <f t="shared" si="40"/>
        <v>-3.8983176648145365E-2</v>
      </c>
      <c r="AE43" s="93">
        <f t="shared" si="41"/>
        <v>3.6467109604407709E-2</v>
      </c>
      <c r="AF43" s="93">
        <f t="shared" si="42"/>
        <v>3.7860327255980195E-2</v>
      </c>
      <c r="AG43" s="93">
        <f t="shared" si="43"/>
        <v>6.559002869112944E-2</v>
      </c>
      <c r="AH43" s="93">
        <f t="shared" si="44"/>
        <v>6.7283335006792455E-2</v>
      </c>
      <c r="AI43" s="93">
        <f t="shared" si="45"/>
        <v>2.4585082353428381E-2</v>
      </c>
    </row>
    <row r="44" spans="1:35" x14ac:dyDescent="0.2">
      <c r="A44" s="86">
        <v>41153</v>
      </c>
      <c r="B44" s="87">
        <v>20.640902000000001</v>
      </c>
      <c r="C44" s="87">
        <v>34.350082</v>
      </c>
      <c r="D44" s="87">
        <v>46.808562999999999</v>
      </c>
      <c r="E44" s="87">
        <v>60.337364000000001</v>
      </c>
      <c r="F44" s="87">
        <v>13.294449999999999</v>
      </c>
      <c r="G44" s="88">
        <v>254.320007</v>
      </c>
      <c r="H44" s="87">
        <v>99.889595</v>
      </c>
      <c r="I44" s="87">
        <v>375.84124800000001</v>
      </c>
      <c r="J44" s="88">
        <v>50.287078999999999</v>
      </c>
      <c r="K44" s="89">
        <v>24.773254000000001</v>
      </c>
      <c r="L44" s="90">
        <v>121.615562</v>
      </c>
      <c r="M44" s="39"/>
      <c r="N44" s="40">
        <f t="shared" si="35"/>
        <v>7.1016101601963921E-3</v>
      </c>
      <c r="O44" s="40">
        <f t="shared" si="35"/>
        <v>9.7710623703963773E-3</v>
      </c>
      <c r="P44" s="40">
        <f t="shared" si="35"/>
        <v>5.6801804181550564E-2</v>
      </c>
      <c r="Q44" s="40">
        <f t="shared" si="35"/>
        <v>2.202667020072302E-2</v>
      </c>
      <c r="R44" s="40">
        <f t="shared" si="35"/>
        <v>-3.0439550309542929E-2</v>
      </c>
      <c r="S44" s="40">
        <f t="shared" si="35"/>
        <v>2.4368642617011549E-2</v>
      </c>
      <c r="T44" s="40">
        <f t="shared" si="35"/>
        <v>8.0019532766021584E-2</v>
      </c>
      <c r="U44" s="40">
        <f t="shared" si="35"/>
        <v>0.10131517734477957</v>
      </c>
      <c r="V44" s="40">
        <f t="shared" si="35"/>
        <v>6.9260235827146577E-2</v>
      </c>
      <c r="W44" s="40">
        <f t="shared" si="35"/>
        <v>-2.7996802894423301E-2</v>
      </c>
      <c r="X44" s="40">
        <f t="shared" si="35"/>
        <v>1.9906950263699708E-2</v>
      </c>
      <c r="Z44" s="93">
        <f t="shared" si="36"/>
        <v>-1.6867387056435406E-2</v>
      </c>
      <c r="AA44" s="93">
        <f t="shared" si="37"/>
        <v>3.6512768027499361E-3</v>
      </c>
      <c r="AB44" s="93">
        <f t="shared" si="38"/>
        <v>4.1923527793255734E-2</v>
      </c>
      <c r="AC44" s="93">
        <f t="shared" si="39"/>
        <v>1.0097868233703802E-2</v>
      </c>
      <c r="AD44" s="93">
        <f t="shared" si="40"/>
        <v>-5.0074639609940672E-2</v>
      </c>
      <c r="AE44" s="93">
        <f t="shared" si="41"/>
        <v>-3.3305607125758488E-3</v>
      </c>
      <c r="AF44" s="93">
        <f t="shared" si="42"/>
        <v>7.0110034322997547E-2</v>
      </c>
      <c r="AG44" s="93">
        <f t="shared" si="43"/>
        <v>8.4563256670998996E-2</v>
      </c>
      <c r="AH44" s="93">
        <f t="shared" si="44"/>
        <v>4.896215621682426E-2</v>
      </c>
      <c r="AI44" s="93">
        <f t="shared" si="45"/>
        <v>-4.9221299823735576E-2</v>
      </c>
    </row>
    <row r="45" spans="1:35" x14ac:dyDescent="0.2">
      <c r="A45" s="86">
        <v>41183</v>
      </c>
      <c r="B45" s="87">
        <v>18.419930000000001</v>
      </c>
      <c r="C45" s="87">
        <v>38.048228999999999</v>
      </c>
      <c r="D45" s="87">
        <v>43.979281999999998</v>
      </c>
      <c r="E45" s="87">
        <v>61.334811999999999</v>
      </c>
      <c r="F45" s="87">
        <v>11.866911</v>
      </c>
      <c r="G45" s="88">
        <v>232.88999899999999</v>
      </c>
      <c r="H45" s="87">
        <v>107.542984</v>
      </c>
      <c r="I45" s="87">
        <v>338.87979100000001</v>
      </c>
      <c r="J45" s="88">
        <v>51.128391000000001</v>
      </c>
      <c r="K45" s="89">
        <v>23.757688999999999</v>
      </c>
      <c r="L45" s="90">
        <v>120.039742</v>
      </c>
      <c r="M45" s="39"/>
      <c r="N45" s="40">
        <f t="shared" si="35"/>
        <v>-0.1076005302481452</v>
      </c>
      <c r="O45" s="40">
        <f t="shared" si="35"/>
        <v>0.10766049990797688</v>
      </c>
      <c r="P45" s="40">
        <f t="shared" si="35"/>
        <v>-6.0443662840066303E-2</v>
      </c>
      <c r="Q45" s="40">
        <f t="shared" si="35"/>
        <v>1.6531182900200836E-2</v>
      </c>
      <c r="R45" s="40">
        <f t="shared" si="35"/>
        <v>-0.10737856774819565</v>
      </c>
      <c r="S45" s="40">
        <f t="shared" si="35"/>
        <v>-8.426394860865194E-2</v>
      </c>
      <c r="T45" s="40">
        <f t="shared" si="35"/>
        <v>7.6618480633543484E-2</v>
      </c>
      <c r="U45" s="40">
        <f t="shared" si="35"/>
        <v>-9.8343269124095745E-2</v>
      </c>
      <c r="V45" s="40">
        <f t="shared" si="35"/>
        <v>1.6730182319796283E-2</v>
      </c>
      <c r="W45" s="40">
        <f t="shared" si="35"/>
        <v>-4.0994412764669641E-2</v>
      </c>
      <c r="X45" s="40">
        <f t="shared" si="35"/>
        <v>-1.2957387805353382E-2</v>
      </c>
      <c r="Z45" s="93">
        <f t="shared" si="36"/>
        <v>-0.13156952746477699</v>
      </c>
      <c r="AA45" s="93">
        <f t="shared" si="37"/>
        <v>0.10154071434033043</v>
      </c>
      <c r="AB45" s="93">
        <f t="shared" si="38"/>
        <v>-7.532193922836114E-2</v>
      </c>
      <c r="AC45" s="93">
        <f t="shared" si="39"/>
        <v>4.6023809331816184E-3</v>
      </c>
      <c r="AD45" s="93">
        <f t="shared" si="40"/>
        <v>-0.12701365704859341</v>
      </c>
      <c r="AE45" s="93">
        <f t="shared" si="41"/>
        <v>-0.11196315193823933</v>
      </c>
      <c r="AF45" s="93">
        <f t="shared" si="42"/>
        <v>6.6708982190519447E-2</v>
      </c>
      <c r="AG45" s="93">
        <f t="shared" si="43"/>
        <v>-0.11509518979787632</v>
      </c>
      <c r="AH45" s="93">
        <f t="shared" si="44"/>
        <v>-3.5678972905260377E-3</v>
      </c>
      <c r="AI45" s="93">
        <f t="shared" si="45"/>
        <v>-6.2218909693981916E-2</v>
      </c>
    </row>
    <row r="46" spans="1:35" x14ac:dyDescent="0.2">
      <c r="A46" s="86">
        <v>41214</v>
      </c>
      <c r="B46" s="87">
        <v>18.109276000000001</v>
      </c>
      <c r="C46" s="87">
        <v>38.210963999999997</v>
      </c>
      <c r="D46" s="87">
        <v>44.462772000000001</v>
      </c>
      <c r="E46" s="87">
        <v>58.882080000000002</v>
      </c>
      <c r="F46" s="87">
        <v>10.228479999999999</v>
      </c>
      <c r="G46" s="88">
        <v>252.050003</v>
      </c>
      <c r="H46" s="87">
        <v>103.50099899999999</v>
      </c>
      <c r="I46" s="87">
        <v>347.88104199999998</v>
      </c>
      <c r="J46" s="88">
        <v>54.202095</v>
      </c>
      <c r="K46" s="89">
        <v>22.159424000000001</v>
      </c>
      <c r="L46" s="90">
        <v>120.719131</v>
      </c>
      <c r="M46" s="39"/>
      <c r="N46" s="40">
        <f t="shared" si="35"/>
        <v>-1.6865102093221784E-2</v>
      </c>
      <c r="O46" s="40">
        <f t="shared" si="35"/>
        <v>4.2770716082474181E-3</v>
      </c>
      <c r="P46" s="40">
        <f t="shared" si="35"/>
        <v>1.0993585570587605E-2</v>
      </c>
      <c r="Q46" s="40">
        <f t="shared" si="35"/>
        <v>-3.9989231563960725E-2</v>
      </c>
      <c r="R46" s="40">
        <f t="shared" si="35"/>
        <v>-0.13806718530205553</v>
      </c>
      <c r="S46" s="40">
        <f t="shared" si="35"/>
        <v>8.2270617382758537E-2</v>
      </c>
      <c r="T46" s="40">
        <f t="shared" si="35"/>
        <v>-3.7584832126287382E-2</v>
      </c>
      <c r="U46" s="40">
        <f t="shared" si="35"/>
        <v>2.656178160827527E-2</v>
      </c>
      <c r="V46" s="40">
        <f t="shared" si="35"/>
        <v>6.0117362191194346E-2</v>
      </c>
      <c r="W46" s="40">
        <f t="shared" si="35"/>
        <v>-6.7273588773722803E-2</v>
      </c>
      <c r="X46" s="40">
        <f t="shared" si="35"/>
        <v>5.659700601489126E-3</v>
      </c>
      <c r="Z46" s="93">
        <f t="shared" si="36"/>
        <v>-4.0834099309853586E-2</v>
      </c>
      <c r="AA46" s="93">
        <f t="shared" si="37"/>
        <v>-1.8427139593990231E-3</v>
      </c>
      <c r="AB46" s="93">
        <f t="shared" si="38"/>
        <v>-3.8846908177072245E-3</v>
      </c>
      <c r="AC46" s="93">
        <f t="shared" si="39"/>
        <v>-5.1918033530979943E-2</v>
      </c>
      <c r="AD46" s="93">
        <f t="shared" si="40"/>
        <v>-0.15770227460245329</v>
      </c>
      <c r="AE46" s="93">
        <f t="shared" si="41"/>
        <v>5.457141405317114E-2</v>
      </c>
      <c r="AF46" s="93">
        <f t="shared" si="42"/>
        <v>-4.7494330569311419E-2</v>
      </c>
      <c r="AG46" s="93">
        <f t="shared" si="43"/>
        <v>9.809860934494697E-3</v>
      </c>
      <c r="AH46" s="93">
        <f t="shared" si="44"/>
        <v>3.9819282580872029E-2</v>
      </c>
      <c r="AI46" s="93">
        <f t="shared" si="45"/>
        <v>-8.8498085703035079E-2</v>
      </c>
    </row>
    <row r="47" spans="1:35" x14ac:dyDescent="0.2">
      <c r="A47" s="86">
        <v>41244</v>
      </c>
      <c r="B47" s="87">
        <v>16.541204</v>
      </c>
      <c r="C47" s="87">
        <v>39.732562999999999</v>
      </c>
      <c r="D47" s="87">
        <v>44.579163000000001</v>
      </c>
      <c r="E47" s="87">
        <v>55.783459000000001</v>
      </c>
      <c r="F47" s="87">
        <v>9.2454249999999991</v>
      </c>
      <c r="G47" s="88">
        <v>250.86999499999999</v>
      </c>
      <c r="H47" s="87">
        <v>112.561104</v>
      </c>
      <c r="I47" s="87">
        <v>352.36923200000001</v>
      </c>
      <c r="J47" s="88">
        <v>51.751956999999997</v>
      </c>
      <c r="K47" s="89">
        <v>22.417038000000002</v>
      </c>
      <c r="L47" s="90">
        <v>120.93995700000001</v>
      </c>
      <c r="M47" s="39"/>
      <c r="N47" s="40">
        <f t="shared" si="35"/>
        <v>-8.6589436264597253E-2</v>
      </c>
      <c r="O47" s="40">
        <f t="shared" si="35"/>
        <v>3.9821005300991752E-2</v>
      </c>
      <c r="P47" s="40">
        <f t="shared" si="35"/>
        <v>2.6177180316153681E-3</v>
      </c>
      <c r="Q47" s="40">
        <f t="shared" si="35"/>
        <v>-5.2624176999182093E-2</v>
      </c>
      <c r="R47" s="40">
        <f t="shared" si="35"/>
        <v>-9.6109588130396717E-2</v>
      </c>
      <c r="S47" s="40">
        <f t="shared" si="35"/>
        <v>-4.6816424755210528E-3</v>
      </c>
      <c r="T47" s="40">
        <f t="shared" si="35"/>
        <v>8.7536401460241109E-2</v>
      </c>
      <c r="U47" s="40">
        <f t="shared" si="35"/>
        <v>1.2901507866588613E-2</v>
      </c>
      <c r="V47" s="40">
        <f t="shared" si="35"/>
        <v>-4.5203750888226812E-2</v>
      </c>
      <c r="W47" s="40">
        <f t="shared" si="35"/>
        <v>1.1625482684026522E-2</v>
      </c>
      <c r="X47" s="40">
        <f t="shared" si="35"/>
        <v>1.829254387194057E-3</v>
      </c>
      <c r="Z47" s="93">
        <f t="shared" si="36"/>
        <v>-0.11055843348122905</v>
      </c>
      <c r="AA47" s="93">
        <f t="shared" si="37"/>
        <v>3.3701219733345313E-2</v>
      </c>
      <c r="AB47" s="93">
        <f t="shared" si="38"/>
        <v>-1.2260558356679462E-2</v>
      </c>
      <c r="AC47" s="93">
        <f t="shared" si="39"/>
        <v>-6.455297896620131E-2</v>
      </c>
      <c r="AD47" s="93">
        <f t="shared" si="40"/>
        <v>-0.11574467743079446</v>
      </c>
      <c r="AE47" s="93">
        <f t="shared" si="41"/>
        <v>-3.2380845805108451E-2</v>
      </c>
      <c r="AF47" s="93">
        <f t="shared" si="42"/>
        <v>7.7626903017217072E-2</v>
      </c>
      <c r="AG47" s="93">
        <f t="shared" si="43"/>
        <v>-3.8504128071919601E-3</v>
      </c>
      <c r="AH47" s="93">
        <f t="shared" si="44"/>
        <v>-6.550183049854913E-2</v>
      </c>
      <c r="AI47" s="93">
        <f t="shared" si="45"/>
        <v>-9.5990142452857495E-3</v>
      </c>
    </row>
    <row r="48" spans="1:35" x14ac:dyDescent="0.2">
      <c r="A48" s="86">
        <v>41275</v>
      </c>
      <c r="B48" s="87">
        <v>14.157788999999999</v>
      </c>
      <c r="C48" s="87">
        <v>42.791901000000003</v>
      </c>
      <c r="D48" s="87">
        <v>48.981926000000001</v>
      </c>
      <c r="E48" s="87">
        <v>57.507057000000003</v>
      </c>
      <c r="F48" s="87">
        <v>12.863049999999999</v>
      </c>
      <c r="G48" s="88">
        <v>265.5</v>
      </c>
      <c r="H48" s="87">
        <v>130.474197</v>
      </c>
      <c r="I48" s="87">
        <v>376.43402099999997</v>
      </c>
      <c r="J48" s="88">
        <v>55.994194</v>
      </c>
      <c r="K48" s="89">
        <v>23.038101000000001</v>
      </c>
      <c r="L48" s="90">
        <v>128.03254699999999</v>
      </c>
      <c r="M48" s="39"/>
      <c r="N48" s="40">
        <f t="shared" si="35"/>
        <v>-0.14408957171436865</v>
      </c>
      <c r="O48" s="40">
        <f t="shared" si="35"/>
        <v>7.6998254555086243E-2</v>
      </c>
      <c r="P48" s="40">
        <f t="shared" si="35"/>
        <v>9.8762800907679749E-2</v>
      </c>
      <c r="Q48" s="40">
        <f t="shared" si="35"/>
        <v>3.0898012258436802E-2</v>
      </c>
      <c r="R48" s="40">
        <f t="shared" si="35"/>
        <v>0.39128812358544907</v>
      </c>
      <c r="S48" s="40">
        <f t="shared" si="35"/>
        <v>5.8317077735820844E-2</v>
      </c>
      <c r="T48" s="40">
        <f t="shared" si="35"/>
        <v>0.15914105639902032</v>
      </c>
      <c r="U48" s="40">
        <f t="shared" si="35"/>
        <v>6.829424028713138E-2</v>
      </c>
      <c r="V48" s="40">
        <f t="shared" si="35"/>
        <v>8.1972494296206122E-2</v>
      </c>
      <c r="W48" s="40">
        <f t="shared" si="35"/>
        <v>2.7704953705302238E-2</v>
      </c>
      <c r="X48" s="40">
        <f t="shared" si="35"/>
        <v>5.8645547558777267E-2</v>
      </c>
      <c r="Z48" s="93">
        <f t="shared" si="36"/>
        <v>-0.16805856893100043</v>
      </c>
      <c r="AA48" s="93">
        <f t="shared" si="37"/>
        <v>7.0878468987439797E-2</v>
      </c>
      <c r="AB48" s="93">
        <f t="shared" si="38"/>
        <v>8.3884524519384912E-2</v>
      </c>
      <c r="AC48" s="93">
        <f t="shared" si="39"/>
        <v>1.8969210291417585E-2</v>
      </c>
      <c r="AD48" s="93">
        <f t="shared" si="40"/>
        <v>0.37165303428505131</v>
      </c>
      <c r="AE48" s="93">
        <f t="shared" si="41"/>
        <v>3.0617874406233446E-2</v>
      </c>
      <c r="AF48" s="93">
        <f t="shared" si="42"/>
        <v>0.14923155795599627</v>
      </c>
      <c r="AG48" s="93">
        <f t="shared" si="43"/>
        <v>5.1542319613350804E-2</v>
      </c>
      <c r="AH48" s="93">
        <f t="shared" si="44"/>
        <v>6.1674414685883805E-2</v>
      </c>
      <c r="AI48" s="93">
        <f t="shared" si="45"/>
        <v>6.4804567759899658E-3</v>
      </c>
    </row>
    <row r="49" spans="1:35" x14ac:dyDescent="0.2">
      <c r="A49" s="86">
        <v>41306</v>
      </c>
      <c r="B49" s="87">
        <v>13.719837999999999</v>
      </c>
      <c r="C49" s="87">
        <v>42.963332999999999</v>
      </c>
      <c r="D49" s="87">
        <v>49.627380000000002</v>
      </c>
      <c r="E49" s="87">
        <v>58.189399999999999</v>
      </c>
      <c r="F49" s="87">
        <v>12.981712</v>
      </c>
      <c r="G49" s="88">
        <v>264.26998900000001</v>
      </c>
      <c r="H49" s="87">
        <v>132.15078700000001</v>
      </c>
      <c r="I49" s="87">
        <v>399.10406499999999</v>
      </c>
      <c r="J49" s="88">
        <v>57.316237999999998</v>
      </c>
      <c r="K49" s="89">
        <v>23.331845999999999</v>
      </c>
      <c r="L49" s="90">
        <v>129.66606100000001</v>
      </c>
      <c r="M49" s="39"/>
      <c r="N49" s="40">
        <f t="shared" si="35"/>
        <v>-3.0933573031777795E-2</v>
      </c>
      <c r="O49" s="40">
        <f t="shared" si="35"/>
        <v>4.0061786458143178E-3</v>
      </c>
      <c r="P49" s="40">
        <f t="shared" si="35"/>
        <v>1.3177391187108478E-2</v>
      </c>
      <c r="Q49" s="40">
        <f t="shared" si="35"/>
        <v>1.1865378539541505E-2</v>
      </c>
      <c r="R49" s="40">
        <f t="shared" si="35"/>
        <v>9.2250282786743298E-3</v>
      </c>
      <c r="S49" s="40">
        <f t="shared" si="35"/>
        <v>-4.6328097928436396E-3</v>
      </c>
      <c r="T49" s="40">
        <f t="shared" si="35"/>
        <v>1.2849973700163941E-2</v>
      </c>
      <c r="U49" s="40">
        <f t="shared" si="35"/>
        <v>6.0223153953452124E-2</v>
      </c>
      <c r="V49" s="40">
        <f t="shared" si="35"/>
        <v>2.3610376461530969E-2</v>
      </c>
      <c r="W49" s="40">
        <f t="shared" si="35"/>
        <v>1.2750399870197437E-2</v>
      </c>
      <c r="X49" s="40">
        <f t="shared" si="35"/>
        <v>1.2758583956000047E-2</v>
      </c>
      <c r="Z49" s="93">
        <f t="shared" si="36"/>
        <v>-5.4902570248409596E-2</v>
      </c>
      <c r="AA49" s="93">
        <f t="shared" si="37"/>
        <v>-2.1136069218321233E-3</v>
      </c>
      <c r="AB49" s="93">
        <f t="shared" si="38"/>
        <v>-1.7008852011863515E-3</v>
      </c>
      <c r="AC49" s="93">
        <f t="shared" si="39"/>
        <v>-6.3423427477712901E-5</v>
      </c>
      <c r="AD49" s="93">
        <f t="shared" si="40"/>
        <v>-1.0410061021723413E-2</v>
      </c>
      <c r="AE49" s="93">
        <f t="shared" si="41"/>
        <v>-3.2332013122431037E-2</v>
      </c>
      <c r="AF49" s="93">
        <f t="shared" si="42"/>
        <v>2.9404752571399011E-3</v>
      </c>
      <c r="AG49" s="93">
        <f t="shared" si="43"/>
        <v>4.3471233279671548E-2</v>
      </c>
      <c r="AH49" s="93">
        <f t="shared" si="44"/>
        <v>3.312296851208648E-3</v>
      </c>
      <c r="AI49" s="93">
        <f t="shared" si="45"/>
        <v>-8.4740970591148344E-3</v>
      </c>
    </row>
    <row r="50" spans="1:35" x14ac:dyDescent="0.2">
      <c r="A50" s="86">
        <v>41334</v>
      </c>
      <c r="B50" s="87">
        <v>13.839186</v>
      </c>
      <c r="C50" s="87">
        <v>43.681316000000002</v>
      </c>
      <c r="D50" s="87">
        <v>51.636471</v>
      </c>
      <c r="E50" s="87">
        <v>61.518970000000003</v>
      </c>
      <c r="F50" s="87">
        <v>17.522542999999999</v>
      </c>
      <c r="G50" s="88">
        <v>266.48998999999998</v>
      </c>
      <c r="H50" s="87">
        <v>130.288849</v>
      </c>
      <c r="I50" s="87">
        <v>395.61215199999998</v>
      </c>
      <c r="J50" s="88">
        <v>58.387259999999998</v>
      </c>
      <c r="K50" s="89">
        <v>24.210463000000001</v>
      </c>
      <c r="L50" s="90">
        <v>133.993729</v>
      </c>
      <c r="M50" s="39"/>
      <c r="N50" s="40">
        <f t="shared" si="35"/>
        <v>8.6989365326326507E-3</v>
      </c>
      <c r="O50" s="40">
        <f t="shared" si="35"/>
        <v>1.6711529340612374E-2</v>
      </c>
      <c r="P50" s="40">
        <f t="shared" si="35"/>
        <v>4.0483519379826083E-2</v>
      </c>
      <c r="Q50" s="40">
        <f t="shared" si="35"/>
        <v>5.7219527955263416E-2</v>
      </c>
      <c r="R50" s="40">
        <f t="shared" si="35"/>
        <v>0.34978676156118693</v>
      </c>
      <c r="S50" s="40">
        <f t="shared" si="35"/>
        <v>8.400503622830735E-3</v>
      </c>
      <c r="T50" s="40">
        <f t="shared" si="35"/>
        <v>-1.4089496114767841E-2</v>
      </c>
      <c r="U50" s="40">
        <f t="shared" si="35"/>
        <v>-8.7493796887285757E-3</v>
      </c>
      <c r="V50" s="40">
        <f t="shared" si="35"/>
        <v>1.868618802231925E-2</v>
      </c>
      <c r="W50" s="40">
        <f t="shared" si="35"/>
        <v>3.765741467691841E-2</v>
      </c>
      <c r="X50" s="40">
        <f t="shared" si="35"/>
        <v>3.3375487514809121E-2</v>
      </c>
      <c r="Z50" s="93">
        <f t="shared" si="36"/>
        <v>-1.5270060683999147E-2</v>
      </c>
      <c r="AA50" s="93">
        <f t="shared" si="37"/>
        <v>1.0591743772965933E-2</v>
      </c>
      <c r="AB50" s="93">
        <f t="shared" si="38"/>
        <v>2.5605242991531253E-2</v>
      </c>
      <c r="AC50" s="93">
        <f t="shared" si="39"/>
        <v>4.5290725988244199E-2</v>
      </c>
      <c r="AD50" s="93">
        <f t="shared" si="40"/>
        <v>0.33015167226078918</v>
      </c>
      <c r="AE50" s="93">
        <f t="shared" si="41"/>
        <v>-1.9298699706756663E-2</v>
      </c>
      <c r="AF50" s="93">
        <f t="shared" si="42"/>
        <v>-2.3998994557791881E-2</v>
      </c>
      <c r="AG50" s="93">
        <f t="shared" si="43"/>
        <v>-2.5501300362509149E-2</v>
      </c>
      <c r="AH50" s="93">
        <f t="shared" si="44"/>
        <v>-1.6118915880030706E-3</v>
      </c>
      <c r="AI50" s="93">
        <f t="shared" si="45"/>
        <v>1.6432917747606138E-2</v>
      </c>
    </row>
    <row r="51" spans="1:35" x14ac:dyDescent="0.2">
      <c r="A51" s="86">
        <v>41365</v>
      </c>
      <c r="B51" s="87">
        <v>13.842936999999999</v>
      </c>
      <c r="C51" s="87">
        <v>44.787703999999998</v>
      </c>
      <c r="D51" s="87">
        <v>57.127398999999997</v>
      </c>
      <c r="E51" s="87">
        <v>64.307091</v>
      </c>
      <c r="F51" s="87">
        <v>20.719477000000001</v>
      </c>
      <c r="G51" s="88">
        <v>253.80999800000001</v>
      </c>
      <c r="H51" s="87">
        <v>129.332626</v>
      </c>
      <c r="I51" s="87">
        <v>410.74542200000002</v>
      </c>
      <c r="J51" s="88">
        <v>61.711860999999999</v>
      </c>
      <c r="K51" s="89">
        <v>28.010006000000001</v>
      </c>
      <c r="L51" s="90">
        <v>137.17544599999999</v>
      </c>
      <c r="M51" s="39"/>
      <c r="N51" s="40">
        <f t="shared" si="35"/>
        <v>2.7104195290084121E-4</v>
      </c>
      <c r="O51" s="40">
        <f t="shared" si="35"/>
        <v>2.5328632498160086E-2</v>
      </c>
      <c r="P51" s="40">
        <f t="shared" si="35"/>
        <v>0.10633817326517137</v>
      </c>
      <c r="Q51" s="40">
        <f t="shared" si="35"/>
        <v>4.5321321211977406E-2</v>
      </c>
      <c r="R51" s="40">
        <f t="shared" si="35"/>
        <v>0.18244691994763551</v>
      </c>
      <c r="S51" s="40">
        <f t="shared" si="35"/>
        <v>-4.7581494524428392E-2</v>
      </c>
      <c r="T51" s="40">
        <f t="shared" si="35"/>
        <v>-7.3392543363399732E-3</v>
      </c>
      <c r="U51" s="40">
        <f t="shared" si="35"/>
        <v>3.8252793609838465E-2</v>
      </c>
      <c r="V51" s="40">
        <f t="shared" si="35"/>
        <v>5.6940520928709493E-2</v>
      </c>
      <c r="W51" s="40">
        <f t="shared" si="35"/>
        <v>0.15693805607930744</v>
      </c>
      <c r="X51" s="40">
        <f t="shared" si="35"/>
        <v>2.3745267959517591E-2</v>
      </c>
      <c r="Z51" s="93">
        <f t="shared" si="36"/>
        <v>-2.3697955263730957E-2</v>
      </c>
      <c r="AA51" s="93">
        <f t="shared" si="37"/>
        <v>1.9208846930513647E-2</v>
      </c>
      <c r="AB51" s="93">
        <f t="shared" si="38"/>
        <v>9.1459896876876529E-2</v>
      </c>
      <c r="AC51" s="93">
        <f t="shared" si="39"/>
        <v>3.3392519244958188E-2</v>
      </c>
      <c r="AD51" s="93">
        <f t="shared" si="40"/>
        <v>0.16281183064723775</v>
      </c>
      <c r="AE51" s="93">
        <f t="shared" si="41"/>
        <v>-7.5280697854015782E-2</v>
      </c>
      <c r="AF51" s="93">
        <f t="shared" si="42"/>
        <v>-1.7248752779364013E-2</v>
      </c>
      <c r="AG51" s="93">
        <f t="shared" si="43"/>
        <v>2.1500872936057892E-2</v>
      </c>
      <c r="AH51" s="93">
        <f t="shared" si="44"/>
        <v>3.6642441318387176E-2</v>
      </c>
      <c r="AI51" s="93">
        <f t="shared" si="45"/>
        <v>0.13571355914999517</v>
      </c>
    </row>
    <row r="52" spans="1:35" x14ac:dyDescent="0.2">
      <c r="A52" s="86">
        <v>41395</v>
      </c>
      <c r="B52" s="87">
        <v>14.060223000000001</v>
      </c>
      <c r="C52" s="87">
        <v>44.697535999999999</v>
      </c>
      <c r="D52" s="87">
        <v>57.345581000000003</v>
      </c>
      <c r="E52" s="87">
        <v>61.924137000000002</v>
      </c>
      <c r="F52" s="87">
        <v>21.96312</v>
      </c>
      <c r="G52" s="88">
        <v>269.20001200000002</v>
      </c>
      <c r="H52" s="87">
        <v>143.50813299999999</v>
      </c>
      <c r="I52" s="87">
        <v>433.98333700000001</v>
      </c>
      <c r="J52" s="88">
        <v>66.179344</v>
      </c>
      <c r="K52" s="89">
        <v>29.533208999999999</v>
      </c>
      <c r="L52" s="90">
        <v>140.41413900000001</v>
      </c>
      <c r="M52" s="39"/>
      <c r="N52" s="40">
        <f t="shared" si="35"/>
        <v>1.5696524516437549E-2</v>
      </c>
      <c r="O52" s="40">
        <f t="shared" si="35"/>
        <v>-2.0132311314730034E-3</v>
      </c>
      <c r="P52" s="40">
        <f t="shared" si="35"/>
        <v>3.8192181653502466E-3</v>
      </c>
      <c r="Q52" s="40">
        <f t="shared" si="35"/>
        <v>-3.7055851274628404E-2</v>
      </c>
      <c r="R52" s="40">
        <f t="shared" si="35"/>
        <v>6.0022895365553719E-2</v>
      </c>
      <c r="S52" s="40">
        <f t="shared" si="35"/>
        <v>6.0635964387817376E-2</v>
      </c>
      <c r="T52" s="40">
        <f t="shared" si="35"/>
        <v>0.1096050350048563</v>
      </c>
      <c r="U52" s="40">
        <f t="shared" si="35"/>
        <v>5.6574982350016345E-2</v>
      </c>
      <c r="V52" s="40">
        <f t="shared" si="35"/>
        <v>7.2392615092259138E-2</v>
      </c>
      <c r="W52" s="40">
        <f t="shared" si="35"/>
        <v>5.4380673820633829E-2</v>
      </c>
      <c r="X52" s="40">
        <f t="shared" si="35"/>
        <v>2.3609859449627901E-2</v>
      </c>
      <c r="Z52" s="93">
        <f t="shared" si="36"/>
        <v>-8.2724727001942493E-3</v>
      </c>
      <c r="AA52" s="93">
        <f t="shared" si="37"/>
        <v>-8.1330166991194445E-3</v>
      </c>
      <c r="AB52" s="93">
        <f t="shared" si="38"/>
        <v>-1.1059058222944583E-2</v>
      </c>
      <c r="AC52" s="93">
        <f t="shared" si="39"/>
        <v>-4.8984653241647622E-2</v>
      </c>
      <c r="AD52" s="93">
        <f t="shared" si="40"/>
        <v>4.0387806065155976E-2</v>
      </c>
      <c r="AE52" s="93">
        <f t="shared" si="41"/>
        <v>3.2936761058229978E-2</v>
      </c>
      <c r="AF52" s="93">
        <f t="shared" si="42"/>
        <v>9.9695536561832263E-2</v>
      </c>
      <c r="AG52" s="93">
        <f t="shared" si="43"/>
        <v>3.9823061676235769E-2</v>
      </c>
      <c r="AH52" s="93">
        <f t="shared" si="44"/>
        <v>5.2094535481936821E-2</v>
      </c>
      <c r="AI52" s="93">
        <f t="shared" si="45"/>
        <v>3.3156176891321554E-2</v>
      </c>
    </row>
    <row r="53" spans="1:35" x14ac:dyDescent="0.2">
      <c r="A53" s="86">
        <v>41426</v>
      </c>
      <c r="B53" s="87">
        <v>12.479049</v>
      </c>
      <c r="C53" s="87">
        <v>45.097831999999997</v>
      </c>
      <c r="D53" s="87">
        <v>57.409218000000003</v>
      </c>
      <c r="E53" s="87">
        <v>62.004233999999997</v>
      </c>
      <c r="F53" s="87">
        <v>21.787737</v>
      </c>
      <c r="G53" s="88">
        <v>277.69000199999999</v>
      </c>
      <c r="H53" s="87">
        <v>134.342285</v>
      </c>
      <c r="I53" s="87">
        <v>438.54122899999999</v>
      </c>
      <c r="J53" s="88">
        <v>65.178145999999998</v>
      </c>
      <c r="K53" s="89">
        <v>29.433527000000002</v>
      </c>
      <c r="L53" s="90">
        <v>137.81118799999999</v>
      </c>
      <c r="M53" s="39"/>
      <c r="N53" s="40">
        <f t="shared" si="35"/>
        <v>-0.11245724907777077</v>
      </c>
      <c r="O53" s="40">
        <f t="shared" si="35"/>
        <v>8.9556614485415409E-3</v>
      </c>
      <c r="P53" s="40">
        <f t="shared" si="35"/>
        <v>1.1097106157142989E-3</v>
      </c>
      <c r="Q53" s="40">
        <f t="shared" si="35"/>
        <v>1.293469782227108E-3</v>
      </c>
      <c r="R53" s="40">
        <f t="shared" si="35"/>
        <v>-7.9853408805306003E-3</v>
      </c>
      <c r="S53" s="40">
        <f t="shared" si="35"/>
        <v>3.1537851491626245E-2</v>
      </c>
      <c r="T53" s="40">
        <f t="shared" si="35"/>
        <v>-6.3869885339529753E-2</v>
      </c>
      <c r="U53" s="40">
        <f t="shared" si="35"/>
        <v>1.0502458531028713E-2</v>
      </c>
      <c r="V53" s="40">
        <f t="shared" si="35"/>
        <v>-1.5128557333539017E-2</v>
      </c>
      <c r="W53" s="40">
        <f t="shared" si="35"/>
        <v>-3.3752512298950155E-3</v>
      </c>
      <c r="X53" s="40">
        <f t="shared" si="35"/>
        <v>-1.8537670198583212E-2</v>
      </c>
      <c r="Z53" s="93">
        <f t="shared" si="36"/>
        <v>-0.13642624629440256</v>
      </c>
      <c r="AA53" s="93">
        <f t="shared" si="37"/>
        <v>2.8358758808950998E-3</v>
      </c>
      <c r="AB53" s="93">
        <f t="shared" si="38"/>
        <v>-1.3768565772580531E-2</v>
      </c>
      <c r="AC53" s="93">
        <f t="shared" si="39"/>
        <v>-1.063533218479211E-2</v>
      </c>
      <c r="AD53" s="93">
        <f t="shared" si="40"/>
        <v>-2.7620430180928343E-2</v>
      </c>
      <c r="AE53" s="93">
        <f t="shared" si="41"/>
        <v>3.8386481620388477E-3</v>
      </c>
      <c r="AF53" s="93">
        <f t="shared" si="42"/>
        <v>-7.377938378255379E-2</v>
      </c>
      <c r="AG53" s="93">
        <f t="shared" si="43"/>
        <v>-6.2494621427518597E-3</v>
      </c>
      <c r="AH53" s="93">
        <f t="shared" si="44"/>
        <v>-3.5426636943861334E-2</v>
      </c>
      <c r="AI53" s="93">
        <f t="shared" si="45"/>
        <v>-2.4599748159207287E-2</v>
      </c>
    </row>
    <row r="54" spans="1:35" x14ac:dyDescent="0.2">
      <c r="A54" s="86">
        <v>41456</v>
      </c>
      <c r="B54" s="87">
        <v>14.241407000000001</v>
      </c>
      <c r="C54" s="87">
        <v>46.702007000000002</v>
      </c>
      <c r="D54" s="87">
        <v>58.772854000000002</v>
      </c>
      <c r="E54" s="87">
        <v>64.875953999999993</v>
      </c>
      <c r="F54" s="87">
        <v>24.136268999999999</v>
      </c>
      <c r="G54" s="88">
        <v>301.22000100000002</v>
      </c>
      <c r="H54" s="87">
        <v>145.69369499999999</v>
      </c>
      <c r="I54" s="87">
        <v>442.217468</v>
      </c>
      <c r="J54" s="88">
        <v>66.820144999999997</v>
      </c>
      <c r="K54" s="89">
        <v>27.132701999999998</v>
      </c>
      <c r="L54" s="90">
        <v>145.69976800000001</v>
      </c>
      <c r="M54" s="39"/>
      <c r="N54" s="40">
        <f t="shared" si="35"/>
        <v>0.14122534497620776</v>
      </c>
      <c r="O54" s="40">
        <f t="shared" si="35"/>
        <v>3.5571000397535801E-2</v>
      </c>
      <c r="P54" s="40">
        <f t="shared" si="35"/>
        <v>2.3752910203375333E-2</v>
      </c>
      <c r="Q54" s="40">
        <f t="shared" si="35"/>
        <v>4.6314901656554497E-2</v>
      </c>
      <c r="R54" s="40">
        <f t="shared" si="35"/>
        <v>0.10779146085708669</v>
      </c>
      <c r="S54" s="40">
        <f t="shared" si="35"/>
        <v>8.4734771977854839E-2</v>
      </c>
      <c r="T54" s="40">
        <f t="shared" si="35"/>
        <v>8.4496180781799213E-2</v>
      </c>
      <c r="U54" s="40">
        <f t="shared" si="35"/>
        <v>8.3828811452526519E-3</v>
      </c>
      <c r="V54" s="40">
        <f t="shared" si="35"/>
        <v>2.519247785906642E-2</v>
      </c>
      <c r="W54" s="40">
        <f t="shared" si="35"/>
        <v>-7.8170210454221234E-2</v>
      </c>
      <c r="X54" s="40">
        <f t="shared" si="35"/>
        <v>5.7241941779066829E-2</v>
      </c>
      <c r="Z54" s="93">
        <f t="shared" si="36"/>
        <v>0.11725634775957595</v>
      </c>
      <c r="AA54" s="93">
        <f t="shared" si="37"/>
        <v>2.9451214829889362E-2</v>
      </c>
      <c r="AB54" s="93">
        <f t="shared" si="38"/>
        <v>8.8746338150805029E-3</v>
      </c>
      <c r="AC54" s="93">
        <f t="shared" si="39"/>
        <v>3.4386099689535279E-2</v>
      </c>
      <c r="AD54" s="93">
        <f t="shared" si="40"/>
        <v>8.8156371556688942E-2</v>
      </c>
      <c r="AE54" s="93">
        <f t="shared" si="41"/>
        <v>5.7035568648267441E-2</v>
      </c>
      <c r="AF54" s="93">
        <f t="shared" si="42"/>
        <v>7.4586682338775176E-2</v>
      </c>
      <c r="AG54" s="93">
        <f t="shared" si="43"/>
        <v>-8.3690395285279211E-3</v>
      </c>
      <c r="AH54" s="93">
        <f t="shared" si="44"/>
        <v>4.8943982487440994E-3</v>
      </c>
      <c r="AI54" s="93">
        <f t="shared" si="45"/>
        <v>-9.9394707383533509E-2</v>
      </c>
    </row>
    <row r="55" spans="1:35" x14ac:dyDescent="0.2">
      <c r="A55" s="86">
        <v>41487</v>
      </c>
      <c r="B55" s="87">
        <v>15.333124</v>
      </c>
      <c r="C55" s="87">
        <v>49.342731000000001</v>
      </c>
      <c r="D55" s="87">
        <v>55.300120999999997</v>
      </c>
      <c r="E55" s="87">
        <v>60.747329999999998</v>
      </c>
      <c r="F55" s="87">
        <v>28.876885999999999</v>
      </c>
      <c r="G55" s="88">
        <v>280.98001099999999</v>
      </c>
      <c r="H55" s="87">
        <v>135.12387100000001</v>
      </c>
      <c r="I55" s="87">
        <v>421.86874399999999</v>
      </c>
      <c r="J55" s="88">
        <v>62.981594000000001</v>
      </c>
      <c r="K55" s="89">
        <v>28.462067000000001</v>
      </c>
      <c r="L55" s="90">
        <v>141.329849</v>
      </c>
      <c r="M55" s="39"/>
      <c r="N55" s="40">
        <f t="shared" si="35"/>
        <v>7.6657945384188464E-2</v>
      </c>
      <c r="O55" s="40">
        <f t="shared" si="35"/>
        <v>5.654412239713813E-2</v>
      </c>
      <c r="P55" s="40">
        <f t="shared" si="35"/>
        <v>-5.9087363700255358E-2</v>
      </c>
      <c r="Q55" s="40">
        <f t="shared" si="35"/>
        <v>-6.363874048002427E-2</v>
      </c>
      <c r="R55" s="40">
        <f t="shared" si="35"/>
        <v>0.19641051398623377</v>
      </c>
      <c r="S55" s="40">
        <f t="shared" si="35"/>
        <v>-6.719338003056452E-2</v>
      </c>
      <c r="T55" s="40">
        <f t="shared" si="35"/>
        <v>-7.2548259552343564E-2</v>
      </c>
      <c r="U55" s="40">
        <f t="shared" si="35"/>
        <v>-4.6015197210617642E-2</v>
      </c>
      <c r="V55" s="40">
        <f t="shared" si="35"/>
        <v>-5.7446014222207964E-2</v>
      </c>
      <c r="W55" s="40">
        <f t="shared" si="35"/>
        <v>4.8994936073819773E-2</v>
      </c>
      <c r="X55" s="40">
        <f t="shared" si="35"/>
        <v>-2.9992628402812582E-2</v>
      </c>
      <c r="Z55" s="93">
        <f t="shared" si="36"/>
        <v>5.2688948167556662E-2</v>
      </c>
      <c r="AA55" s="93">
        <f t="shared" si="37"/>
        <v>5.0424336829491691E-2</v>
      </c>
      <c r="AB55" s="93">
        <f t="shared" si="38"/>
        <v>-7.3965640088550194E-2</v>
      </c>
      <c r="AC55" s="93">
        <f t="shared" si="39"/>
        <v>-7.5567542447043487E-2</v>
      </c>
      <c r="AD55" s="93">
        <f t="shared" si="40"/>
        <v>0.17677542468583601</v>
      </c>
      <c r="AE55" s="93">
        <f t="shared" si="41"/>
        <v>-9.4892583360151911E-2</v>
      </c>
      <c r="AF55" s="93">
        <f t="shared" si="42"/>
        <v>-8.24577579953676E-2</v>
      </c>
      <c r="AG55" s="93">
        <f t="shared" si="43"/>
        <v>-6.2767117884398219E-2</v>
      </c>
      <c r="AH55" s="93">
        <f t="shared" si="44"/>
        <v>-7.7744093832530281E-2</v>
      </c>
      <c r="AI55" s="93">
        <f t="shared" si="45"/>
        <v>2.7770439144507501E-2</v>
      </c>
    </row>
    <row r="56" spans="1:35" x14ac:dyDescent="0.2">
      <c r="A56" s="86">
        <v>41518</v>
      </c>
      <c r="B56" s="87">
        <v>15.102691999999999</v>
      </c>
      <c r="C56" s="87">
        <v>52.847225000000002</v>
      </c>
      <c r="D56" s="87">
        <v>58.627392</v>
      </c>
      <c r="E56" s="87">
        <v>61.936905000000003</v>
      </c>
      <c r="F56" s="87">
        <v>30.080105</v>
      </c>
      <c r="G56" s="88">
        <v>312.64001500000001</v>
      </c>
      <c r="H56" s="87">
        <v>140.984329</v>
      </c>
      <c r="I56" s="87">
        <v>436.31957999999997</v>
      </c>
      <c r="J56" s="88">
        <v>64.131477000000004</v>
      </c>
      <c r="K56" s="89">
        <v>28.559646999999998</v>
      </c>
      <c r="L56" s="90">
        <v>145.09520000000001</v>
      </c>
      <c r="M56" s="39"/>
      <c r="N56" s="40">
        <f t="shared" si="35"/>
        <v>-1.5028379083088406E-2</v>
      </c>
      <c r="O56" s="40">
        <f t="shared" si="35"/>
        <v>7.1023511041575782E-2</v>
      </c>
      <c r="P56" s="40">
        <f t="shared" si="35"/>
        <v>6.0167517535811621E-2</v>
      </c>
      <c r="Q56" s="40">
        <f t="shared" si="35"/>
        <v>1.9582342137506314E-2</v>
      </c>
      <c r="R56" s="40">
        <f t="shared" si="35"/>
        <v>4.1667200542329974E-2</v>
      </c>
      <c r="S56" s="40">
        <f t="shared" si="35"/>
        <v>0.11267706869012839</v>
      </c>
      <c r="T56" s="40">
        <f t="shared" si="35"/>
        <v>4.3371004372721123E-2</v>
      </c>
      <c r="U56" s="40">
        <f t="shared" si="35"/>
        <v>3.425434144037931E-2</v>
      </c>
      <c r="V56" s="40">
        <f t="shared" si="35"/>
        <v>1.8257445183111898E-2</v>
      </c>
      <c r="W56" s="40">
        <f t="shared" si="35"/>
        <v>3.4284228197480893E-3</v>
      </c>
      <c r="X56" s="40">
        <f t="shared" si="35"/>
        <v>2.6642291254411532E-2</v>
      </c>
      <c r="Z56" s="93">
        <f t="shared" si="36"/>
        <v>-3.8997376299720207E-2</v>
      </c>
      <c r="AA56" s="93">
        <f t="shared" si="37"/>
        <v>6.4903725473929336E-2</v>
      </c>
      <c r="AB56" s="93">
        <f t="shared" si="38"/>
        <v>4.5289241147516791E-2</v>
      </c>
      <c r="AC56" s="93">
        <f t="shared" si="39"/>
        <v>7.653540170487097E-3</v>
      </c>
      <c r="AD56" s="93">
        <f t="shared" si="40"/>
        <v>2.2032111241932231E-2</v>
      </c>
      <c r="AE56" s="93">
        <f t="shared" si="41"/>
        <v>8.4977865360540999E-2</v>
      </c>
      <c r="AF56" s="93">
        <f t="shared" si="42"/>
        <v>3.3461505929697086E-2</v>
      </c>
      <c r="AG56" s="93">
        <f t="shared" si="43"/>
        <v>1.7502420766598737E-2</v>
      </c>
      <c r="AH56" s="93">
        <f t="shared" si="44"/>
        <v>-2.0406344272104228E-3</v>
      </c>
      <c r="AI56" s="93">
        <f t="shared" si="45"/>
        <v>-1.7796074109564183E-2</v>
      </c>
    </row>
    <row r="57" spans="1:35" x14ac:dyDescent="0.2">
      <c r="A57" s="86">
        <v>41548</v>
      </c>
      <c r="B57" s="87">
        <v>16.558319000000001</v>
      </c>
      <c r="C57" s="87">
        <v>52.858837000000001</v>
      </c>
      <c r="D57" s="87">
        <v>62.354686999999998</v>
      </c>
      <c r="E57" s="87">
        <v>64.273337999999995</v>
      </c>
      <c r="F57" s="87">
        <v>34.487803999999997</v>
      </c>
      <c r="G57" s="88">
        <v>364.02999899999998</v>
      </c>
      <c r="H57" s="87">
        <v>143.34581</v>
      </c>
      <c r="I57" s="87">
        <v>513.36578399999996</v>
      </c>
      <c r="J57" s="88">
        <v>66.202904000000004</v>
      </c>
      <c r="K57" s="89">
        <v>30.387530999999999</v>
      </c>
      <c r="L57" s="90">
        <v>152.554092</v>
      </c>
      <c r="M57" s="39"/>
      <c r="N57" s="40">
        <f t="shared" si="35"/>
        <v>9.6381956276404335E-2</v>
      </c>
      <c r="O57" s="40">
        <f t="shared" si="35"/>
        <v>2.1972771512590583E-4</v>
      </c>
      <c r="P57" s="40">
        <f t="shared" si="35"/>
        <v>6.3575998741339124E-2</v>
      </c>
      <c r="Q57" s="40">
        <f t="shared" si="35"/>
        <v>3.7722792251243309E-2</v>
      </c>
      <c r="R57" s="40">
        <f t="shared" si="35"/>
        <v>0.14653203504442547</v>
      </c>
      <c r="S57" s="40">
        <f t="shared" si="35"/>
        <v>0.16437430122308561</v>
      </c>
      <c r="T57" s="40">
        <f t="shared" si="35"/>
        <v>1.6749953819335417E-2</v>
      </c>
      <c r="U57" s="40">
        <f t="shared" si="35"/>
        <v>0.17658204566478553</v>
      </c>
      <c r="V57" s="40">
        <f t="shared" si="35"/>
        <v>3.2299692707841388E-2</v>
      </c>
      <c r="W57" s="40">
        <f t="shared" si="35"/>
        <v>6.4002331681480618E-2</v>
      </c>
      <c r="X57" s="40">
        <f t="shared" si="35"/>
        <v>5.1406883204957898E-2</v>
      </c>
      <c r="Z57" s="93">
        <f t="shared" si="36"/>
        <v>7.2412959059772533E-2</v>
      </c>
      <c r="AA57" s="93">
        <f t="shared" si="37"/>
        <v>-5.9000578525205353E-3</v>
      </c>
      <c r="AB57" s="93">
        <f t="shared" si="38"/>
        <v>4.8697722353044294E-2</v>
      </c>
      <c r="AC57" s="93">
        <f t="shared" si="39"/>
        <v>2.5793990284224091E-2</v>
      </c>
      <c r="AD57" s="93">
        <f t="shared" si="40"/>
        <v>0.12689694574402771</v>
      </c>
      <c r="AE57" s="93">
        <f t="shared" si="41"/>
        <v>0.13667509789349822</v>
      </c>
      <c r="AF57" s="93">
        <f t="shared" si="42"/>
        <v>6.8404553763113767E-3</v>
      </c>
      <c r="AG57" s="93">
        <f t="shared" si="43"/>
        <v>0.15983012499100496</v>
      </c>
      <c r="AH57" s="93">
        <f t="shared" si="44"/>
        <v>1.2001613097519067E-2</v>
      </c>
      <c r="AI57" s="93">
        <f t="shared" si="45"/>
        <v>4.2777834752168342E-2</v>
      </c>
    </row>
    <row r="58" spans="1:35" x14ac:dyDescent="0.2">
      <c r="A58" s="86">
        <v>41579</v>
      </c>
      <c r="B58" s="87">
        <v>17.615418999999999</v>
      </c>
      <c r="C58" s="87">
        <v>55.318531</v>
      </c>
      <c r="D58" s="87">
        <v>64.127410999999995</v>
      </c>
      <c r="E58" s="87">
        <v>67.840835999999996</v>
      </c>
      <c r="F58" s="87">
        <v>32.674778000000003</v>
      </c>
      <c r="G58" s="88">
        <v>393.61999500000002</v>
      </c>
      <c r="H58" s="87">
        <v>150.54603599999999</v>
      </c>
      <c r="I58" s="87">
        <v>527.81658900000002</v>
      </c>
      <c r="J58" s="88">
        <v>68.565758000000002</v>
      </c>
      <c r="K58" s="89">
        <v>32.721744999999999</v>
      </c>
      <c r="L58" s="90">
        <v>157.07540900000001</v>
      </c>
      <c r="M58" s="39"/>
      <c r="N58" s="40">
        <f t="shared" si="35"/>
        <v>6.3841021543309839E-2</v>
      </c>
      <c r="O58" s="40">
        <f t="shared" si="35"/>
        <v>4.6533259897488799E-2</v>
      </c>
      <c r="P58" s="40">
        <f t="shared" si="35"/>
        <v>2.8429683240972725E-2</v>
      </c>
      <c r="Q58" s="40">
        <f t="shared" si="35"/>
        <v>5.5505099175026551E-2</v>
      </c>
      <c r="R58" s="40">
        <f t="shared" si="35"/>
        <v>-5.2570062158785014E-2</v>
      </c>
      <c r="S58" s="40">
        <f t="shared" si="35"/>
        <v>8.128449875363164E-2</v>
      </c>
      <c r="T58" s="40">
        <f t="shared" si="35"/>
        <v>5.0229762558110291E-2</v>
      </c>
      <c r="U58" s="40">
        <f t="shared" si="35"/>
        <v>2.8149139366873133E-2</v>
      </c>
      <c r="V58" s="40">
        <f t="shared" si="35"/>
        <v>3.5691092946617653E-2</v>
      </c>
      <c r="W58" s="40">
        <f t="shared" si="35"/>
        <v>7.6814861990597283E-2</v>
      </c>
      <c r="X58" s="40">
        <f t="shared" si="35"/>
        <v>2.9637467869429557E-2</v>
      </c>
      <c r="Z58" s="93">
        <f t="shared" si="36"/>
        <v>3.9872024326678038E-2</v>
      </c>
      <c r="AA58" s="93">
        <f t="shared" si="37"/>
        <v>4.041347432984236E-2</v>
      </c>
      <c r="AB58" s="93">
        <f t="shared" si="38"/>
        <v>1.3551406852677896E-2</v>
      </c>
      <c r="AC58" s="93">
        <f t="shared" si="39"/>
        <v>4.3576297208007334E-2</v>
      </c>
      <c r="AD58" s="93">
        <f t="shared" si="40"/>
        <v>-7.2205151459182756E-2</v>
      </c>
      <c r="AE58" s="93">
        <f t="shared" si="41"/>
        <v>5.3585295424044242E-2</v>
      </c>
      <c r="AF58" s="93">
        <f t="shared" si="42"/>
        <v>4.0320264115086255E-2</v>
      </c>
      <c r="AG58" s="93">
        <f t="shared" si="43"/>
        <v>1.139721869309256E-2</v>
      </c>
      <c r="AH58" s="93">
        <f t="shared" si="44"/>
        <v>1.5393013336295332E-2</v>
      </c>
      <c r="AI58" s="93">
        <f t="shared" si="45"/>
        <v>5.5590365061285008E-2</v>
      </c>
    </row>
    <row r="59" spans="1:35" x14ac:dyDescent="0.2">
      <c r="A59" s="86">
        <v>41609</v>
      </c>
      <c r="B59" s="87">
        <v>17.875999</v>
      </c>
      <c r="C59" s="87">
        <v>57.150939999999999</v>
      </c>
      <c r="D59" s="87">
        <v>69.454696999999996</v>
      </c>
      <c r="E59" s="87">
        <v>65.897971999999996</v>
      </c>
      <c r="F59" s="87">
        <v>32.134887999999997</v>
      </c>
      <c r="G59" s="88">
        <v>398.790009</v>
      </c>
      <c r="H59" s="87">
        <v>158.47886700000001</v>
      </c>
      <c r="I59" s="87">
        <v>558.26251200000002</v>
      </c>
      <c r="J59" s="88">
        <v>69.985191</v>
      </c>
      <c r="K59" s="89">
        <v>32.347324</v>
      </c>
      <c r="L59" s="90">
        <v>160.27766399999999</v>
      </c>
      <c r="M59" s="39"/>
      <c r="N59" s="40">
        <f t="shared" si="35"/>
        <v>1.4792722216826037E-2</v>
      </c>
      <c r="O59" s="40">
        <f t="shared" si="35"/>
        <v>3.3124686553950511E-2</v>
      </c>
      <c r="P59" s="40">
        <f t="shared" si="35"/>
        <v>8.3073461362723755E-2</v>
      </c>
      <c r="Q59" s="40">
        <f t="shared" si="35"/>
        <v>-2.8638562178095794E-2</v>
      </c>
      <c r="R59" s="40">
        <f t="shared" si="35"/>
        <v>-1.6523142100613675E-2</v>
      </c>
      <c r="S59" s="40">
        <f t="shared" si="35"/>
        <v>1.3134530932555899E-2</v>
      </c>
      <c r="T59" s="40">
        <f t="shared" si="35"/>
        <v>5.2693722204681714E-2</v>
      </c>
      <c r="U59" s="40">
        <f t="shared" si="35"/>
        <v>5.7682770179093401E-2</v>
      </c>
      <c r="V59" s="40">
        <f t="shared" si="35"/>
        <v>2.0701776533995186E-2</v>
      </c>
      <c r="W59" s="40">
        <f t="shared" si="35"/>
        <v>-1.1442574349259105E-2</v>
      </c>
      <c r="X59" s="40">
        <f t="shared" si="35"/>
        <v>2.038673666608104E-2</v>
      </c>
      <c r="Z59" s="93">
        <f t="shared" si="36"/>
        <v>-9.1762749998057606E-3</v>
      </c>
      <c r="AA59" s="93">
        <f t="shared" si="37"/>
        <v>2.7004900986304071E-2</v>
      </c>
      <c r="AB59" s="93">
        <f t="shared" si="38"/>
        <v>6.8195184974428918E-2</v>
      </c>
      <c r="AC59" s="93">
        <f t="shared" si="39"/>
        <v>-4.0567364145115012E-2</v>
      </c>
      <c r="AD59" s="93">
        <f t="shared" si="40"/>
        <v>-3.6158231401011418E-2</v>
      </c>
      <c r="AE59" s="93">
        <f t="shared" si="41"/>
        <v>-1.4564672397031499E-2</v>
      </c>
      <c r="AF59" s="93">
        <f t="shared" si="42"/>
        <v>4.2784223761657678E-2</v>
      </c>
      <c r="AG59" s="93">
        <f t="shared" si="43"/>
        <v>4.0930849505312825E-2</v>
      </c>
      <c r="AH59" s="93">
        <f t="shared" si="44"/>
        <v>4.0369692367286589E-4</v>
      </c>
      <c r="AI59" s="93">
        <f t="shared" si="45"/>
        <v>-3.266707127857138E-2</v>
      </c>
    </row>
    <row r="60" spans="1:35" x14ac:dyDescent="0.2">
      <c r="A60" s="86">
        <v>41640</v>
      </c>
      <c r="B60" s="87">
        <v>15.950813</v>
      </c>
      <c r="C60" s="87">
        <v>51.076335999999998</v>
      </c>
      <c r="D60" s="87">
        <v>66.824157999999997</v>
      </c>
      <c r="E60" s="87">
        <v>62.903911999999998</v>
      </c>
      <c r="F60" s="87">
        <v>19.046119999999998</v>
      </c>
      <c r="G60" s="88">
        <v>358.69000199999999</v>
      </c>
      <c r="H60" s="87">
        <v>146.73109400000001</v>
      </c>
      <c r="I60" s="87">
        <v>588.27996800000005</v>
      </c>
      <c r="J60" s="88">
        <v>65.639885000000007</v>
      </c>
      <c r="K60" s="89">
        <v>32.719135000000001</v>
      </c>
      <c r="L60" s="90">
        <v>155.46765099999999</v>
      </c>
      <c r="M60" s="39"/>
      <c r="N60" s="40">
        <f t="shared" si="35"/>
        <v>-0.10769669432181106</v>
      </c>
      <c r="O60" s="40">
        <f t="shared" si="35"/>
        <v>-0.10629053520379539</v>
      </c>
      <c r="P60" s="40">
        <f t="shared" si="35"/>
        <v>-3.7874169978741712E-2</v>
      </c>
      <c r="Q60" s="40">
        <f t="shared" si="35"/>
        <v>-4.5434782120457373E-2</v>
      </c>
      <c r="R60" s="40">
        <f t="shared" si="35"/>
        <v>-0.40730709875198567</v>
      </c>
      <c r="S60" s="40">
        <f t="shared" si="35"/>
        <v>-0.10055419166732438</v>
      </c>
      <c r="T60" s="40">
        <f t="shared" si="35"/>
        <v>-7.4128325261184513E-2</v>
      </c>
      <c r="U60" s="40">
        <f t="shared" si="35"/>
        <v>5.3769428100162386E-2</v>
      </c>
      <c r="V60" s="40">
        <f t="shared" si="35"/>
        <v>-6.2088935357767272E-2</v>
      </c>
      <c r="W60" s="40">
        <f t="shared" si="35"/>
        <v>1.14943356674575E-2</v>
      </c>
      <c r="X60" s="40">
        <f t="shared" si="35"/>
        <v>-3.0010501026518588E-2</v>
      </c>
      <c r="Z60" s="93">
        <f t="shared" si="36"/>
        <v>-0.13166569153844285</v>
      </c>
      <c r="AA60" s="93">
        <f t="shared" si="37"/>
        <v>-0.11241032077144184</v>
      </c>
      <c r="AB60" s="93">
        <f t="shared" si="38"/>
        <v>-5.2752446367036541E-2</v>
      </c>
      <c r="AC60" s="93">
        <f t="shared" si="39"/>
        <v>-5.7363584087476591E-2</v>
      </c>
      <c r="AD60" s="93">
        <f t="shared" si="40"/>
        <v>-0.42694218805238343</v>
      </c>
      <c r="AE60" s="93">
        <f t="shared" si="41"/>
        <v>-0.12825339499691177</v>
      </c>
      <c r="AF60" s="93">
        <f t="shared" si="42"/>
        <v>-8.403782370420855E-2</v>
      </c>
      <c r="AG60" s="93">
        <f t="shared" si="43"/>
        <v>3.701750742638181E-2</v>
      </c>
      <c r="AH60" s="93">
        <f t="shared" si="44"/>
        <v>-8.2387014968089589E-2</v>
      </c>
      <c r="AI60" s="93">
        <f t="shared" si="45"/>
        <v>-9.7301612618547716E-3</v>
      </c>
    </row>
    <row r="61" spans="1:35" x14ac:dyDescent="0.2">
      <c r="A61" s="86">
        <v>41671</v>
      </c>
      <c r="B61" s="87">
        <v>16.767783999999999</v>
      </c>
      <c r="C61" s="87">
        <v>54.694496000000001</v>
      </c>
      <c r="D61" s="87">
        <v>74.370750000000001</v>
      </c>
      <c r="E61" s="87">
        <v>62.920765000000003</v>
      </c>
      <c r="F61" s="87">
        <v>21.546227999999999</v>
      </c>
      <c r="G61" s="88">
        <v>362.10000600000001</v>
      </c>
      <c r="H61" s="87">
        <v>148.814178</v>
      </c>
      <c r="I61" s="87">
        <v>605.55523700000003</v>
      </c>
      <c r="J61" s="88">
        <v>70.064261999999999</v>
      </c>
      <c r="K61" s="89">
        <v>33.125542000000003</v>
      </c>
      <c r="L61" s="90">
        <v>162.543869</v>
      </c>
      <c r="M61" s="39"/>
      <c r="N61" s="40">
        <f t="shared" si="35"/>
        <v>5.1218141670897888E-2</v>
      </c>
      <c r="O61" s="40">
        <f t="shared" si="35"/>
        <v>7.0838284093048598E-2</v>
      </c>
      <c r="P61" s="40">
        <f t="shared" si="35"/>
        <v>0.11293209261237536</v>
      </c>
      <c r="Q61" s="40">
        <f t="shared" si="35"/>
        <v>2.679165645533832E-4</v>
      </c>
      <c r="R61" s="40">
        <f t="shared" si="35"/>
        <v>0.13126600063424987</v>
      </c>
      <c r="S61" s="40">
        <f t="shared" si="35"/>
        <v>9.5068275697296478E-3</v>
      </c>
      <c r="T61" s="40">
        <f t="shared" si="35"/>
        <v>1.4196609206771127E-2</v>
      </c>
      <c r="U61" s="40">
        <f t="shared" si="35"/>
        <v>2.9365727102235839E-2</v>
      </c>
      <c r="V61" s="40">
        <f t="shared" si="35"/>
        <v>6.7403789631867772E-2</v>
      </c>
      <c r="W61" s="40">
        <f t="shared" si="35"/>
        <v>1.2421080202762225E-2</v>
      </c>
      <c r="X61" s="40">
        <f t="shared" si="35"/>
        <v>4.5515693808225066E-2</v>
      </c>
      <c r="Z61" s="93">
        <f t="shared" si="36"/>
        <v>2.7249144454266089E-2</v>
      </c>
      <c r="AA61" s="93">
        <f t="shared" si="37"/>
        <v>6.4718498525402152E-2</v>
      </c>
      <c r="AB61" s="93">
        <f t="shared" si="38"/>
        <v>9.805381622408052E-2</v>
      </c>
      <c r="AC61" s="93">
        <f t="shared" si="39"/>
        <v>-1.1660885402465834E-2</v>
      </c>
      <c r="AD61" s="93">
        <f t="shared" si="40"/>
        <v>0.11163091133385213</v>
      </c>
      <c r="AE61" s="93">
        <f t="shared" si="41"/>
        <v>-1.819237575985775E-2</v>
      </c>
      <c r="AF61" s="93">
        <f t="shared" si="42"/>
        <v>4.2871107637470866E-3</v>
      </c>
      <c r="AG61" s="93">
        <f t="shared" si="43"/>
        <v>1.2613806428455266E-2</v>
      </c>
      <c r="AH61" s="93">
        <f t="shared" si="44"/>
        <v>4.7105710021545455E-2</v>
      </c>
      <c r="AI61" s="93">
        <f t="shared" si="45"/>
        <v>-8.8034167265500472E-3</v>
      </c>
    </row>
    <row r="62" spans="1:35" x14ac:dyDescent="0.2">
      <c r="A62" s="86">
        <v>41699</v>
      </c>
      <c r="B62" s="87">
        <v>17.204723000000001</v>
      </c>
      <c r="C62" s="87">
        <v>55.385047999999998</v>
      </c>
      <c r="D62" s="87">
        <v>73.689719999999994</v>
      </c>
      <c r="E62" s="87">
        <v>64.377960000000002</v>
      </c>
      <c r="F62" s="87">
        <v>21.368228999999999</v>
      </c>
      <c r="G62" s="88">
        <v>336.36999500000002</v>
      </c>
      <c r="H62" s="87">
        <v>146.98422199999999</v>
      </c>
      <c r="I62" s="87">
        <v>555.44500700000003</v>
      </c>
      <c r="J62" s="88">
        <v>67.587303000000006</v>
      </c>
      <c r="K62" s="89">
        <v>35.708644999999997</v>
      </c>
      <c r="L62" s="90">
        <v>163.17211900000001</v>
      </c>
      <c r="M62" s="39"/>
      <c r="N62" s="40">
        <f t="shared" si="35"/>
        <v>2.6058243593786834E-2</v>
      </c>
      <c r="O62" s="40">
        <f t="shared" si="35"/>
        <v>1.2625621415361277E-2</v>
      </c>
      <c r="P62" s="40">
        <f t="shared" si="35"/>
        <v>-9.1572291525903182E-3</v>
      </c>
      <c r="Q62" s="40">
        <f t="shared" si="35"/>
        <v>2.3159206662538123E-2</v>
      </c>
      <c r="R62" s="40">
        <f t="shared" si="35"/>
        <v>-8.261260393234493E-3</v>
      </c>
      <c r="S62" s="40">
        <f t="shared" si="35"/>
        <v>-7.1057748063113824E-2</v>
      </c>
      <c r="T62" s="40">
        <f t="shared" si="35"/>
        <v>-1.2296919719571364E-2</v>
      </c>
      <c r="U62" s="40">
        <f t="shared" si="35"/>
        <v>-8.2750882063629128E-2</v>
      </c>
      <c r="V62" s="40">
        <f t="shared" si="35"/>
        <v>-3.5352673806797408E-2</v>
      </c>
      <c r="W62" s="40">
        <f t="shared" si="35"/>
        <v>7.7979192008390097E-2</v>
      </c>
      <c r="X62" s="40">
        <f t="shared" si="35"/>
        <v>3.8651104090552391E-3</v>
      </c>
      <c r="Z62" s="93">
        <f t="shared" si="36"/>
        <v>2.0892463771550358E-3</v>
      </c>
      <c r="AA62" s="93">
        <f t="shared" si="37"/>
        <v>6.5058358477148356E-3</v>
      </c>
      <c r="AB62" s="93">
        <f t="shared" si="38"/>
        <v>-2.4035505540885148E-2</v>
      </c>
      <c r="AC62" s="93">
        <f t="shared" si="39"/>
        <v>1.1230404695518906E-2</v>
      </c>
      <c r="AD62" s="93">
        <f t="shared" si="40"/>
        <v>-2.7896349693632236E-2</v>
      </c>
      <c r="AE62" s="93">
        <f t="shared" si="41"/>
        <v>-9.8756951392701214E-2</v>
      </c>
      <c r="AF62" s="93">
        <f t="shared" si="42"/>
        <v>-2.2206418162595404E-2</v>
      </c>
      <c r="AG62" s="93">
        <f t="shared" si="43"/>
        <v>-9.9502802737409704E-2</v>
      </c>
      <c r="AH62" s="93">
        <f t="shared" si="44"/>
        <v>-5.5650753417119725E-2</v>
      </c>
      <c r="AI62" s="93">
        <f t="shared" si="45"/>
        <v>5.6754695079077822E-2</v>
      </c>
    </row>
    <row r="63" spans="1:35" x14ac:dyDescent="0.2">
      <c r="A63" s="86">
        <v>41730</v>
      </c>
      <c r="B63" s="87">
        <v>18.914809999999999</v>
      </c>
      <c r="C63" s="87">
        <v>61.479813</v>
      </c>
      <c r="D63" s="87">
        <v>73.017899</v>
      </c>
      <c r="E63" s="87">
        <v>67.573891000000003</v>
      </c>
      <c r="F63" s="87">
        <v>21.117889000000002</v>
      </c>
      <c r="G63" s="88">
        <v>304.13000499999998</v>
      </c>
      <c r="H63" s="87">
        <v>143.36901900000001</v>
      </c>
      <c r="I63" s="87">
        <v>525.21801800000003</v>
      </c>
      <c r="J63" s="88">
        <v>68.302482999999995</v>
      </c>
      <c r="K63" s="89">
        <v>35.194653000000002</v>
      </c>
      <c r="L63" s="90">
        <v>165.03156999999999</v>
      </c>
      <c r="M63" s="39"/>
      <c r="N63" s="40">
        <f t="shared" si="35"/>
        <v>9.9396369241167015E-2</v>
      </c>
      <c r="O63" s="40">
        <f t="shared" si="35"/>
        <v>0.11004350849348365</v>
      </c>
      <c r="P63" s="40">
        <f t="shared" si="35"/>
        <v>-9.1168890314686779E-3</v>
      </c>
      <c r="Q63" s="40">
        <f t="shared" si="35"/>
        <v>4.9643247471650165E-2</v>
      </c>
      <c r="R63" s="40">
        <f t="shared" si="35"/>
        <v>-1.1715524014648038E-2</v>
      </c>
      <c r="S63" s="40">
        <f t="shared" si="35"/>
        <v>-9.5846807025698144E-2</v>
      </c>
      <c r="T63" s="40">
        <f t="shared" si="35"/>
        <v>-2.4595857642461638E-2</v>
      </c>
      <c r="U63" s="40">
        <f t="shared" si="35"/>
        <v>-5.4419408976701833E-2</v>
      </c>
      <c r="V63" s="40">
        <f t="shared" si="35"/>
        <v>1.0581573287515189E-2</v>
      </c>
      <c r="W63" s="40">
        <f t="shared" ref="W63:X126" si="46">(K63/K62)-1</f>
        <v>-1.4394049396161512E-2</v>
      </c>
      <c r="X63" s="40">
        <f t="shared" si="46"/>
        <v>1.1395641678220603E-2</v>
      </c>
      <c r="Z63" s="93">
        <f t="shared" si="36"/>
        <v>7.5427372024535214E-2</v>
      </c>
      <c r="AA63" s="93">
        <f t="shared" si="37"/>
        <v>0.10392372292583721</v>
      </c>
      <c r="AB63" s="93">
        <f t="shared" si="38"/>
        <v>-2.3995165419763508E-2</v>
      </c>
      <c r="AC63" s="93">
        <f t="shared" si="39"/>
        <v>3.7714445504630947E-2</v>
      </c>
      <c r="AD63" s="93">
        <f t="shared" si="40"/>
        <v>-3.1350613315045781E-2</v>
      </c>
      <c r="AE63" s="93">
        <f t="shared" si="41"/>
        <v>-0.12354601035528553</v>
      </c>
      <c r="AF63" s="93">
        <f t="shared" si="42"/>
        <v>-3.4505356085485675E-2</v>
      </c>
      <c r="AG63" s="93">
        <f t="shared" si="43"/>
        <v>-7.1171329650482409E-2</v>
      </c>
      <c r="AH63" s="93">
        <f t="shared" si="44"/>
        <v>-9.7165063228071315E-3</v>
      </c>
      <c r="AI63" s="93">
        <f t="shared" si="45"/>
        <v>-3.5618546325473788E-2</v>
      </c>
    </row>
    <row r="64" spans="1:35" x14ac:dyDescent="0.2">
      <c r="A64" s="86">
        <v>41760</v>
      </c>
      <c r="B64" s="87">
        <v>20.290257</v>
      </c>
      <c r="C64" s="87">
        <v>59.234817999999997</v>
      </c>
      <c r="D64" s="87">
        <v>77.315764999999999</v>
      </c>
      <c r="E64" s="87">
        <v>65.081519999999998</v>
      </c>
      <c r="F64" s="87">
        <v>22.526828999999999</v>
      </c>
      <c r="G64" s="88">
        <v>312.54998799999998</v>
      </c>
      <c r="H64" s="87">
        <v>143.36004600000001</v>
      </c>
      <c r="I64" s="87">
        <v>558.35705600000006</v>
      </c>
      <c r="J64" s="88">
        <v>68.921020999999996</v>
      </c>
      <c r="K64" s="89">
        <v>35.665076999999997</v>
      </c>
      <c r="L64" s="90">
        <v>168.86132799999999</v>
      </c>
      <c r="M64" s="39"/>
      <c r="N64" s="40">
        <f t="shared" ref="N64:V92" si="47">(B64/B63)-1</f>
        <v>7.2717991880436594E-2</v>
      </c>
      <c r="O64" s="40">
        <f t="shared" si="47"/>
        <v>-3.651596988429362E-2</v>
      </c>
      <c r="P64" s="40">
        <f t="shared" si="47"/>
        <v>5.8860444615093543E-2</v>
      </c>
      <c r="Q64" s="40">
        <f t="shared" si="47"/>
        <v>-3.6883638978255751E-2</v>
      </c>
      <c r="R64" s="40">
        <f t="shared" si="47"/>
        <v>6.6717842867722199E-2</v>
      </c>
      <c r="S64" s="40">
        <f t="shared" si="47"/>
        <v>2.7685472862172933E-2</v>
      </c>
      <c r="T64" s="40">
        <f t="shared" si="47"/>
        <v>-6.2586743374448695E-5</v>
      </c>
      <c r="U64" s="40">
        <f t="shared" si="47"/>
        <v>6.3095775210057603E-2</v>
      </c>
      <c r="V64" s="40">
        <f t="shared" si="47"/>
        <v>9.0558640452353956E-3</v>
      </c>
      <c r="W64" s="40">
        <f t="shared" si="46"/>
        <v>1.3366348575733822E-2</v>
      </c>
      <c r="X64" s="40">
        <f t="shared" si="46"/>
        <v>2.3206214423094895E-2</v>
      </c>
      <c r="Z64" s="93">
        <f t="shared" si="36"/>
        <v>4.8748994663804793E-2</v>
      </c>
      <c r="AA64" s="93">
        <f t="shared" si="37"/>
        <v>-4.2635755451940059E-2</v>
      </c>
      <c r="AB64" s="93">
        <f t="shared" si="38"/>
        <v>4.3982168226798714E-2</v>
      </c>
      <c r="AC64" s="93">
        <f t="shared" si="39"/>
        <v>-4.8812440945274968E-2</v>
      </c>
      <c r="AD64" s="93">
        <f t="shared" si="40"/>
        <v>4.7082753567324456E-2</v>
      </c>
      <c r="AE64" s="93">
        <f t="shared" si="41"/>
        <v>-1.3730467414464764E-5</v>
      </c>
      <c r="AF64" s="93">
        <f t="shared" si="42"/>
        <v>-9.972085186398489E-3</v>
      </c>
      <c r="AG64" s="93">
        <f t="shared" si="43"/>
        <v>4.6343854536277027E-2</v>
      </c>
      <c r="AH64" s="93">
        <f t="shared" si="44"/>
        <v>-1.1242215565086925E-2</v>
      </c>
      <c r="AI64" s="93">
        <f t="shared" si="45"/>
        <v>-7.8581483535784501E-3</v>
      </c>
    </row>
    <row r="65" spans="1:35" x14ac:dyDescent="0.2">
      <c r="A65" s="86">
        <v>41791</v>
      </c>
      <c r="B65" s="87">
        <v>20.967988999999999</v>
      </c>
      <c r="C65" s="87">
        <v>58.305816999999998</v>
      </c>
      <c r="D65" s="87">
        <v>78.907912999999994</v>
      </c>
      <c r="E65" s="87">
        <v>64.034362999999999</v>
      </c>
      <c r="F65" s="87">
        <v>25.255134999999999</v>
      </c>
      <c r="G65" s="88">
        <v>324.77999899999998</v>
      </c>
      <c r="H65" s="87">
        <v>150.717072</v>
      </c>
      <c r="I65" s="87">
        <v>573.70489499999996</v>
      </c>
      <c r="J65" s="88">
        <v>69.548096000000001</v>
      </c>
      <c r="K65" s="89">
        <v>36.583427</v>
      </c>
      <c r="L65" s="90">
        <v>171.52560399999999</v>
      </c>
      <c r="M65" s="39"/>
      <c r="N65" s="40">
        <f t="shared" si="47"/>
        <v>3.3401844047613594E-2</v>
      </c>
      <c r="O65" s="40">
        <f t="shared" si="47"/>
        <v>-1.568336041819185E-2</v>
      </c>
      <c r="P65" s="40">
        <f t="shared" si="47"/>
        <v>2.0592798894248698E-2</v>
      </c>
      <c r="Q65" s="40">
        <f t="shared" si="47"/>
        <v>-1.6089928446661905E-2</v>
      </c>
      <c r="R65" s="40">
        <f t="shared" si="47"/>
        <v>0.12111362855375685</v>
      </c>
      <c r="S65" s="40">
        <f t="shared" si="47"/>
        <v>3.9129775938433253E-2</v>
      </c>
      <c r="T65" s="40">
        <f t="shared" si="47"/>
        <v>5.1318524270004717E-2</v>
      </c>
      <c r="U65" s="40">
        <f t="shared" si="47"/>
        <v>2.7487498966969115E-2</v>
      </c>
      <c r="V65" s="40">
        <f t="shared" si="47"/>
        <v>9.0984577840191871E-3</v>
      </c>
      <c r="W65" s="40">
        <f t="shared" si="46"/>
        <v>2.5749278488870431E-2</v>
      </c>
      <c r="X65" s="40">
        <f t="shared" si="46"/>
        <v>1.5777893207140847E-2</v>
      </c>
      <c r="Z65" s="93">
        <f t="shared" si="36"/>
        <v>9.4328468309817955E-3</v>
      </c>
      <c r="AA65" s="93">
        <f t="shared" si="37"/>
        <v>-2.1803145985838289E-2</v>
      </c>
      <c r="AB65" s="93">
        <f t="shared" si="38"/>
        <v>5.7145225059538687E-3</v>
      </c>
      <c r="AC65" s="93">
        <f t="shared" si="39"/>
        <v>-2.8018730413681123E-2</v>
      </c>
      <c r="AD65" s="93">
        <f t="shared" si="40"/>
        <v>0.1014785392533591</v>
      </c>
      <c r="AE65" s="93">
        <f t="shared" si="41"/>
        <v>1.1430572608845856E-2</v>
      </c>
      <c r="AF65" s="93">
        <f t="shared" si="42"/>
        <v>4.140902582698068E-2</v>
      </c>
      <c r="AG65" s="93">
        <f t="shared" si="43"/>
        <v>1.0735578293188542E-2</v>
      </c>
      <c r="AH65" s="93">
        <f t="shared" si="44"/>
        <v>-1.1199621826303133E-2</v>
      </c>
      <c r="AI65" s="93">
        <f t="shared" si="45"/>
        <v>4.5247815595581588E-3</v>
      </c>
    </row>
    <row r="66" spans="1:35" x14ac:dyDescent="0.2">
      <c r="A66" s="86">
        <v>41821</v>
      </c>
      <c r="B66" s="87">
        <v>21.570419000000001</v>
      </c>
      <c r="C66" s="87">
        <v>51.602947</v>
      </c>
      <c r="D66" s="87">
        <v>79.036758000000006</v>
      </c>
      <c r="E66" s="87">
        <v>62.763409000000003</v>
      </c>
      <c r="F66" s="87">
        <v>24.355598000000001</v>
      </c>
      <c r="G66" s="88">
        <v>312.98998999999998</v>
      </c>
      <c r="H66" s="87">
        <v>155.604736</v>
      </c>
      <c r="I66" s="87">
        <v>570.03497300000004</v>
      </c>
      <c r="J66" s="88">
        <v>69.859756000000004</v>
      </c>
      <c r="K66" s="89">
        <v>37.864288000000002</v>
      </c>
      <c r="L66" s="90">
        <v>170.03152499999999</v>
      </c>
      <c r="M66" s="39"/>
      <c r="N66" s="40">
        <f t="shared" si="47"/>
        <v>2.8730938384220028E-2</v>
      </c>
      <c r="O66" s="40">
        <f t="shared" si="47"/>
        <v>-0.114960570743739</v>
      </c>
      <c r="P66" s="40">
        <f t="shared" si="47"/>
        <v>1.6328527152911221E-3</v>
      </c>
      <c r="Q66" s="40">
        <f t="shared" si="47"/>
        <v>-1.984799942493376E-2</v>
      </c>
      <c r="R66" s="40">
        <f t="shared" si="47"/>
        <v>-3.5617984223802357E-2</v>
      </c>
      <c r="S66" s="40">
        <f t="shared" si="47"/>
        <v>-3.6301524220400005E-2</v>
      </c>
      <c r="T66" s="40">
        <f t="shared" si="47"/>
        <v>3.2429398575365198E-2</v>
      </c>
      <c r="U66" s="40">
        <f t="shared" si="47"/>
        <v>-6.3968811003433101E-3</v>
      </c>
      <c r="V66" s="40">
        <f t="shared" si="47"/>
        <v>4.4812154167384044E-3</v>
      </c>
      <c r="W66" s="40">
        <f t="shared" si="46"/>
        <v>3.5012056142252668E-2</v>
      </c>
      <c r="X66" s="40">
        <f t="shared" si="46"/>
        <v>-8.7105304698417152E-3</v>
      </c>
      <c r="Z66" s="93">
        <f t="shared" si="36"/>
        <v>4.7619411675882302E-3</v>
      </c>
      <c r="AA66" s="93">
        <f t="shared" si="37"/>
        <v>-0.12108035631138545</v>
      </c>
      <c r="AB66" s="93">
        <f t="shared" si="38"/>
        <v>-1.3245423673003708E-2</v>
      </c>
      <c r="AC66" s="93">
        <f t="shared" si="39"/>
        <v>-3.1776801391952977E-2</v>
      </c>
      <c r="AD66" s="93">
        <f t="shared" si="40"/>
        <v>-5.52530735242001E-2</v>
      </c>
      <c r="AE66" s="93">
        <f t="shared" si="41"/>
        <v>-6.4000727549987396E-2</v>
      </c>
      <c r="AF66" s="93">
        <f t="shared" si="42"/>
        <v>2.2519900132341158E-2</v>
      </c>
      <c r="AG66" s="93">
        <f t="shared" si="43"/>
        <v>-2.3148801774123883E-2</v>
      </c>
      <c r="AH66" s="93">
        <f t="shared" si="44"/>
        <v>-1.5816864193583916E-2</v>
      </c>
      <c r="AI66" s="93">
        <f t="shared" si="45"/>
        <v>1.3787559212940396E-2</v>
      </c>
    </row>
    <row r="67" spans="1:35" x14ac:dyDescent="0.2">
      <c r="A67" s="86">
        <v>41852</v>
      </c>
      <c r="B67" s="87">
        <v>23.127276999999999</v>
      </c>
      <c r="C67" s="87">
        <v>53.055363</v>
      </c>
      <c r="D67" s="87">
        <v>82.718010000000007</v>
      </c>
      <c r="E67" s="87">
        <v>64.401145999999997</v>
      </c>
      <c r="F67" s="87">
        <v>26.125132000000001</v>
      </c>
      <c r="G67" s="88">
        <v>339.040009</v>
      </c>
      <c r="H67" s="87">
        <v>161.22152700000001</v>
      </c>
      <c r="I67" s="87">
        <v>570.03497300000004</v>
      </c>
      <c r="J67" s="88">
        <v>80.790206999999995</v>
      </c>
      <c r="K67" s="89">
        <v>39.855761999999999</v>
      </c>
      <c r="L67" s="90">
        <v>176.741592</v>
      </c>
      <c r="M67" s="39"/>
      <c r="N67" s="40">
        <f t="shared" si="47"/>
        <v>7.2175603079383865E-2</v>
      </c>
      <c r="O67" s="40">
        <f t="shared" si="47"/>
        <v>2.81459894141316E-2</v>
      </c>
      <c r="P67" s="40">
        <f t="shared" si="47"/>
        <v>4.6576454970483461E-2</v>
      </c>
      <c r="Q67" s="40">
        <f t="shared" si="47"/>
        <v>2.6093818453997608E-2</v>
      </c>
      <c r="R67" s="40">
        <f t="shared" si="47"/>
        <v>7.2654097838205312E-2</v>
      </c>
      <c r="S67" s="40">
        <f t="shared" si="47"/>
        <v>8.3229559514027995E-2</v>
      </c>
      <c r="T67" s="40">
        <f t="shared" si="47"/>
        <v>3.6096529863975491E-2</v>
      </c>
      <c r="U67" s="40">
        <f t="shared" si="47"/>
        <v>0</v>
      </c>
      <c r="V67" s="40">
        <f t="shared" si="47"/>
        <v>0.1564627709263684</v>
      </c>
      <c r="W67" s="40">
        <f t="shared" si="46"/>
        <v>5.2595046815616886E-2</v>
      </c>
      <c r="X67" s="40">
        <f t="shared" si="46"/>
        <v>3.9463664164630652E-2</v>
      </c>
      <c r="Z67" s="93">
        <f t="shared" si="36"/>
        <v>4.8206605862752064E-2</v>
      </c>
      <c r="AA67" s="93">
        <f t="shared" si="37"/>
        <v>2.2026203846485161E-2</v>
      </c>
      <c r="AB67" s="93">
        <f t="shared" si="38"/>
        <v>3.1698178582188631E-2</v>
      </c>
      <c r="AC67" s="93">
        <f t="shared" si="39"/>
        <v>1.4165016486978391E-2</v>
      </c>
      <c r="AD67" s="93">
        <f t="shared" si="40"/>
        <v>5.3019008537807569E-2</v>
      </c>
      <c r="AE67" s="93">
        <f t="shared" si="41"/>
        <v>5.5530356184440598E-2</v>
      </c>
      <c r="AF67" s="93">
        <f t="shared" si="42"/>
        <v>2.618703142095145E-2</v>
      </c>
      <c r="AG67" s="93">
        <f t="shared" si="43"/>
        <v>-1.6751920673780573E-2</v>
      </c>
      <c r="AH67" s="93">
        <f t="shared" si="44"/>
        <v>0.13616469131604608</v>
      </c>
      <c r="AI67" s="93">
        <f t="shared" si="45"/>
        <v>3.1370549886304611E-2</v>
      </c>
    </row>
    <row r="68" spans="1:35" x14ac:dyDescent="0.2">
      <c r="A68" s="86">
        <v>41883</v>
      </c>
      <c r="B68" s="87">
        <v>22.845499</v>
      </c>
      <c r="C68" s="87">
        <v>48.581229999999998</v>
      </c>
      <c r="D68" s="87">
        <v>81.935744999999997</v>
      </c>
      <c r="E68" s="87">
        <v>65.658287000000001</v>
      </c>
      <c r="F68" s="87">
        <v>27.517817999999998</v>
      </c>
      <c r="G68" s="88">
        <v>322.44000199999999</v>
      </c>
      <c r="H68" s="87">
        <v>165.748535</v>
      </c>
      <c r="I68" s="87">
        <v>575.77917500000001</v>
      </c>
      <c r="J68" s="88">
        <v>79.269454999999994</v>
      </c>
      <c r="K68" s="89">
        <v>40.925666999999997</v>
      </c>
      <c r="L68" s="90">
        <v>173.49224899999999</v>
      </c>
      <c r="M68" s="39"/>
      <c r="N68" s="40">
        <f t="shared" si="47"/>
        <v>-1.2183794918874336E-2</v>
      </c>
      <c r="O68" s="40">
        <f t="shared" si="47"/>
        <v>-8.432951443570369E-2</v>
      </c>
      <c r="P68" s="40">
        <f t="shared" si="47"/>
        <v>-9.4570094227364176E-3</v>
      </c>
      <c r="Q68" s="40">
        <f t="shared" si="47"/>
        <v>1.9520475613896693E-2</v>
      </c>
      <c r="R68" s="40">
        <f t="shared" si="47"/>
        <v>5.3308285676795686E-2</v>
      </c>
      <c r="S68" s="40">
        <f t="shared" si="47"/>
        <v>-4.8961793768711237E-2</v>
      </c>
      <c r="T68" s="40">
        <f t="shared" si="47"/>
        <v>2.8079426390744899E-2</v>
      </c>
      <c r="U68" s="40">
        <f t="shared" si="47"/>
        <v>1.0076929086945574E-2</v>
      </c>
      <c r="V68" s="40">
        <f t="shared" si="47"/>
        <v>-1.8823469532637804E-2</v>
      </c>
      <c r="W68" s="40">
        <f t="shared" si="46"/>
        <v>2.6844424653077681E-2</v>
      </c>
      <c r="X68" s="40">
        <f t="shared" si="46"/>
        <v>-1.8384710487387768E-2</v>
      </c>
      <c r="Z68" s="93">
        <f t="shared" si="36"/>
        <v>-3.6152792135506137E-2</v>
      </c>
      <c r="AA68" s="93">
        <f t="shared" si="37"/>
        <v>-9.0449300003350136E-2</v>
      </c>
      <c r="AB68" s="93">
        <f t="shared" si="38"/>
        <v>-2.4335285811031247E-2</v>
      </c>
      <c r="AC68" s="93">
        <f t="shared" si="39"/>
        <v>7.5916736468774754E-3</v>
      </c>
      <c r="AD68" s="93">
        <f t="shared" si="40"/>
        <v>3.3673196376397943E-2</v>
      </c>
      <c r="AE68" s="93">
        <f t="shared" si="41"/>
        <v>-7.6660997098298628E-2</v>
      </c>
      <c r="AF68" s="93">
        <f t="shared" si="42"/>
        <v>1.8169927947720859E-2</v>
      </c>
      <c r="AG68" s="93">
        <f t="shared" si="43"/>
        <v>-6.6749915868349989E-3</v>
      </c>
      <c r="AH68" s="93">
        <f t="shared" si="44"/>
        <v>-3.9121549142960121E-2</v>
      </c>
      <c r="AI68" s="93">
        <f t="shared" si="45"/>
        <v>5.619927723765409E-3</v>
      </c>
    </row>
    <row r="69" spans="1:35" x14ac:dyDescent="0.2">
      <c r="A69" s="86">
        <v>41913</v>
      </c>
      <c r="B69" s="87">
        <v>24.489466</v>
      </c>
      <c r="C69" s="87">
        <v>55.073951999999998</v>
      </c>
      <c r="D69" s="87">
        <v>84.098502999999994</v>
      </c>
      <c r="E69" s="87">
        <v>65.486571999999995</v>
      </c>
      <c r="F69" s="87">
        <v>28.134720000000002</v>
      </c>
      <c r="G69" s="88">
        <v>305.459991</v>
      </c>
      <c r="H69" s="87">
        <v>171.545288</v>
      </c>
      <c r="I69" s="87">
        <v>557.54925500000002</v>
      </c>
      <c r="J69" s="88">
        <v>84.689468000000005</v>
      </c>
      <c r="K69" s="89">
        <v>41.446514000000001</v>
      </c>
      <c r="L69" s="90">
        <v>178.40821800000001</v>
      </c>
      <c r="M69" s="39"/>
      <c r="N69" s="40">
        <f t="shared" si="47"/>
        <v>7.1960214132333E-2</v>
      </c>
      <c r="O69" s="40">
        <f t="shared" si="47"/>
        <v>0.13364671911353421</v>
      </c>
      <c r="P69" s="40">
        <f t="shared" si="47"/>
        <v>2.6395781230768023E-2</v>
      </c>
      <c r="Q69" s="40">
        <f t="shared" si="47"/>
        <v>-2.615282972582067E-3</v>
      </c>
      <c r="R69" s="40">
        <f t="shared" si="47"/>
        <v>2.2418274588486664E-2</v>
      </c>
      <c r="S69" s="40">
        <f t="shared" si="47"/>
        <v>-5.2660993966871406E-2</v>
      </c>
      <c r="T69" s="40">
        <f t="shared" si="47"/>
        <v>3.4973177892643204E-2</v>
      </c>
      <c r="U69" s="40">
        <f t="shared" si="47"/>
        <v>-3.166130487439045E-2</v>
      </c>
      <c r="V69" s="40">
        <f t="shared" si="47"/>
        <v>6.8374546034156714E-2</v>
      </c>
      <c r="W69" s="40">
        <f t="shared" si="46"/>
        <v>1.2726658798255075E-2</v>
      </c>
      <c r="X69" s="40">
        <f t="shared" si="46"/>
        <v>2.8335381138554494E-2</v>
      </c>
      <c r="Z69" s="93">
        <f t="shared" si="36"/>
        <v>4.7991216915701199E-2</v>
      </c>
      <c r="AA69" s="93">
        <f t="shared" si="37"/>
        <v>0.12752693354588776</v>
      </c>
      <c r="AB69" s="93">
        <f t="shared" si="38"/>
        <v>1.1517504842473193E-2</v>
      </c>
      <c r="AC69" s="93">
        <f t="shared" si="39"/>
        <v>-1.4544084939601284E-2</v>
      </c>
      <c r="AD69" s="93">
        <f t="shared" si="40"/>
        <v>2.7831852880889213E-3</v>
      </c>
      <c r="AE69" s="93">
        <f t="shared" si="41"/>
        <v>-8.0360197296458796E-2</v>
      </c>
      <c r="AF69" s="93">
        <f t="shared" si="42"/>
        <v>2.5063679449619163E-2</v>
      </c>
      <c r="AG69" s="93">
        <f t="shared" si="43"/>
        <v>-4.8413225548171027E-2</v>
      </c>
      <c r="AH69" s="93">
        <f t="shared" si="44"/>
        <v>4.8076466423834396E-2</v>
      </c>
      <c r="AI69" s="93">
        <f t="shared" si="45"/>
        <v>-8.497838131057197E-3</v>
      </c>
    </row>
    <row r="70" spans="1:35" x14ac:dyDescent="0.2">
      <c r="A70" s="86">
        <v>41944</v>
      </c>
      <c r="B70" s="87">
        <v>26.967897000000001</v>
      </c>
      <c r="C70" s="87">
        <v>58.410229000000001</v>
      </c>
      <c r="D70" s="87">
        <v>85.138458</v>
      </c>
      <c r="E70" s="87">
        <v>75.163155000000003</v>
      </c>
      <c r="F70" s="87">
        <v>32.477707000000002</v>
      </c>
      <c r="G70" s="88">
        <v>338.64001500000001</v>
      </c>
      <c r="H70" s="87">
        <v>170.118683</v>
      </c>
      <c r="I70" s="87">
        <v>540.346497</v>
      </c>
      <c r="J70" s="88">
        <v>86.322128000000006</v>
      </c>
      <c r="K70" s="89">
        <v>42.205719000000002</v>
      </c>
      <c r="L70" s="90">
        <v>183.309448</v>
      </c>
      <c r="M70" s="39"/>
      <c r="N70" s="40">
        <f t="shared" si="47"/>
        <v>0.10120396255271547</v>
      </c>
      <c r="O70" s="40">
        <f t="shared" si="47"/>
        <v>6.0578129566587258E-2</v>
      </c>
      <c r="P70" s="40">
        <f t="shared" si="47"/>
        <v>1.2365915716716191E-2</v>
      </c>
      <c r="Q70" s="40">
        <f t="shared" si="47"/>
        <v>0.14776438442983397</v>
      </c>
      <c r="R70" s="40">
        <f t="shared" si="47"/>
        <v>0.15436396736843294</v>
      </c>
      <c r="S70" s="40">
        <f t="shared" si="47"/>
        <v>0.10862314207296619</v>
      </c>
      <c r="T70" s="40">
        <f t="shared" si="47"/>
        <v>-8.3162004426492464E-3</v>
      </c>
      <c r="U70" s="40">
        <f t="shared" si="47"/>
        <v>-3.0854239057318877E-2</v>
      </c>
      <c r="V70" s="40">
        <f t="shared" si="47"/>
        <v>1.9278194072490873E-2</v>
      </c>
      <c r="W70" s="40">
        <f t="shared" si="46"/>
        <v>1.8317704596338302E-2</v>
      </c>
      <c r="X70" s="40">
        <f t="shared" si="46"/>
        <v>2.7471996833688506E-2</v>
      </c>
      <c r="Z70" s="93">
        <f t="shared" si="36"/>
        <v>7.7234965336083664E-2</v>
      </c>
      <c r="AA70" s="93">
        <f t="shared" si="37"/>
        <v>5.4458343998940818E-2</v>
      </c>
      <c r="AB70" s="93">
        <f t="shared" si="38"/>
        <v>-2.5123606715786381E-3</v>
      </c>
      <c r="AC70" s="93">
        <f t="shared" si="39"/>
        <v>0.13583558246281474</v>
      </c>
      <c r="AD70" s="93">
        <f t="shared" si="40"/>
        <v>0.13472887806803518</v>
      </c>
      <c r="AE70" s="93">
        <f t="shared" si="41"/>
        <v>8.0923938743378804E-2</v>
      </c>
      <c r="AF70" s="93">
        <f t="shared" si="42"/>
        <v>-1.8225698885673287E-2</v>
      </c>
      <c r="AG70" s="93">
        <f t="shared" si="43"/>
        <v>-4.7606159731099454E-2</v>
      </c>
      <c r="AH70" s="93">
        <f t="shared" si="44"/>
        <v>-1.0198855378314477E-3</v>
      </c>
      <c r="AI70" s="93">
        <f t="shared" si="45"/>
        <v>-2.9067923329739696E-3</v>
      </c>
    </row>
    <row r="71" spans="1:35" x14ac:dyDescent="0.2">
      <c r="A71" s="86">
        <v>41974</v>
      </c>
      <c r="B71" s="87">
        <v>25.137675999999999</v>
      </c>
      <c r="C71" s="87">
        <v>55.249985000000002</v>
      </c>
      <c r="D71" s="87">
        <v>86.684593000000007</v>
      </c>
      <c r="E71" s="87">
        <v>73.737853999999999</v>
      </c>
      <c r="F71" s="87">
        <v>32.123348</v>
      </c>
      <c r="G71" s="88">
        <v>310.35000600000001</v>
      </c>
      <c r="H71" s="87">
        <v>175.571259</v>
      </c>
      <c r="I71" s="87">
        <v>524.95874000000003</v>
      </c>
      <c r="J71" s="88">
        <v>91.159285999999994</v>
      </c>
      <c r="K71" s="89">
        <v>41.263744000000003</v>
      </c>
      <c r="L71" s="90">
        <v>181.840836</v>
      </c>
      <c r="M71" s="39"/>
      <c r="N71" s="40">
        <f t="shared" si="47"/>
        <v>-6.7866656417443383E-2</v>
      </c>
      <c r="O71" s="40">
        <f t="shared" si="47"/>
        <v>-5.4104290534454091E-2</v>
      </c>
      <c r="P71" s="40">
        <f t="shared" si="47"/>
        <v>1.8160241990758275E-2</v>
      </c>
      <c r="Q71" s="40">
        <f t="shared" si="47"/>
        <v>-1.896276174144107E-2</v>
      </c>
      <c r="R71" s="40">
        <f t="shared" si="47"/>
        <v>-1.0910838009592361E-2</v>
      </c>
      <c r="S71" s="40">
        <f t="shared" si="47"/>
        <v>-8.3540065399536401E-2</v>
      </c>
      <c r="T71" s="40">
        <f t="shared" si="47"/>
        <v>3.205160011731345E-2</v>
      </c>
      <c r="U71" s="40">
        <f t="shared" si="47"/>
        <v>-2.8477573344941942E-2</v>
      </c>
      <c r="V71" s="40">
        <f t="shared" si="47"/>
        <v>5.6036130156568831E-2</v>
      </c>
      <c r="W71" s="40">
        <f t="shared" si="46"/>
        <v>-2.2318657810331377E-2</v>
      </c>
      <c r="X71" s="40">
        <f t="shared" si="46"/>
        <v>-8.0116546965981472E-3</v>
      </c>
      <c r="Z71" s="93">
        <f t="shared" si="36"/>
        <v>-9.1835653634075184E-2</v>
      </c>
      <c r="AA71" s="93">
        <f t="shared" si="37"/>
        <v>-6.0224076102100531E-2</v>
      </c>
      <c r="AB71" s="93">
        <f t="shared" si="38"/>
        <v>3.281965602463445E-3</v>
      </c>
      <c r="AC71" s="93">
        <f t="shared" si="39"/>
        <v>-3.0891563708460287E-2</v>
      </c>
      <c r="AD71" s="93">
        <f t="shared" si="40"/>
        <v>-3.0545927309990104E-2</v>
      </c>
      <c r="AE71" s="93">
        <f t="shared" si="41"/>
        <v>-0.11123926872912379</v>
      </c>
      <c r="AF71" s="93">
        <f t="shared" si="42"/>
        <v>2.214210167428941E-2</v>
      </c>
      <c r="AG71" s="93">
        <f t="shared" si="43"/>
        <v>-4.5229494018722519E-2</v>
      </c>
      <c r="AH71" s="93">
        <f t="shared" si="44"/>
        <v>3.5738050546246514E-2</v>
      </c>
      <c r="AI71" s="93">
        <f t="shared" si="45"/>
        <v>-4.3543154739643652E-2</v>
      </c>
    </row>
    <row r="72" spans="1:35" x14ac:dyDescent="0.2">
      <c r="A72" s="86">
        <v>42005</v>
      </c>
      <c r="B72" s="87">
        <v>26.681736000000001</v>
      </c>
      <c r="C72" s="87">
        <v>51.932808000000001</v>
      </c>
      <c r="D72" s="87">
        <v>84.775940000000006</v>
      </c>
      <c r="E72" s="87">
        <v>73.372719000000004</v>
      </c>
      <c r="F72" s="87">
        <v>29.159676000000001</v>
      </c>
      <c r="G72" s="88">
        <v>354.52999899999998</v>
      </c>
      <c r="H72" s="87">
        <v>156.16902200000001</v>
      </c>
      <c r="I72" s="87">
        <v>533.05651899999998</v>
      </c>
      <c r="J72" s="88">
        <v>91.114731000000006</v>
      </c>
      <c r="K72" s="89">
        <v>35.889251999999999</v>
      </c>
      <c r="L72" s="90">
        <v>177.426895</v>
      </c>
      <c r="M72" s="39"/>
      <c r="N72" s="40">
        <f t="shared" si="47"/>
        <v>6.1424134832511967E-2</v>
      </c>
      <c r="O72" s="40">
        <f t="shared" si="47"/>
        <v>-6.0039419015226914E-2</v>
      </c>
      <c r="P72" s="40">
        <f t="shared" si="47"/>
        <v>-2.2018364901361442E-2</v>
      </c>
      <c r="Q72" s="40">
        <f t="shared" si="47"/>
        <v>-4.951798570107524E-3</v>
      </c>
      <c r="R72" s="40">
        <f t="shared" si="47"/>
        <v>-9.2259125667722985E-2</v>
      </c>
      <c r="S72" s="40">
        <f t="shared" si="47"/>
        <v>0.14235537988035341</v>
      </c>
      <c r="T72" s="40">
        <f t="shared" si="47"/>
        <v>-0.11050918647225727</v>
      </c>
      <c r="U72" s="40">
        <f t="shared" si="47"/>
        <v>1.542555325395667E-2</v>
      </c>
      <c r="V72" s="40">
        <f t="shared" si="47"/>
        <v>-4.8875986150209716E-4</v>
      </c>
      <c r="W72" s="40">
        <f t="shared" si="46"/>
        <v>-0.13024731832380509</v>
      </c>
      <c r="X72" s="40">
        <f t="shared" si="46"/>
        <v>-2.4273651051626266E-2</v>
      </c>
      <c r="Z72" s="93">
        <f t="shared" si="36"/>
        <v>3.7455137615880166E-2</v>
      </c>
      <c r="AA72" s="93">
        <f t="shared" si="37"/>
        <v>-6.615920458287336E-2</v>
      </c>
      <c r="AB72" s="93">
        <f t="shared" si="38"/>
        <v>-3.6896641289656272E-2</v>
      </c>
      <c r="AC72" s="93">
        <f t="shared" si="39"/>
        <v>-1.6880600537126741E-2</v>
      </c>
      <c r="AD72" s="93">
        <f t="shared" si="40"/>
        <v>-0.11189421496812073</v>
      </c>
      <c r="AE72" s="93">
        <f t="shared" si="41"/>
        <v>0.11465617655076601</v>
      </c>
      <c r="AF72" s="93">
        <f t="shared" si="42"/>
        <v>-0.12041868491528131</v>
      </c>
      <c r="AG72" s="93">
        <f t="shared" si="43"/>
        <v>-1.3263674198239032E-3</v>
      </c>
      <c r="AH72" s="93">
        <f t="shared" si="44"/>
        <v>-2.0786839471824418E-2</v>
      </c>
      <c r="AI72" s="93">
        <f t="shared" si="45"/>
        <v>-0.15147181525311737</v>
      </c>
    </row>
    <row r="73" spans="1:35" x14ac:dyDescent="0.2">
      <c r="A73" s="86">
        <v>42036</v>
      </c>
      <c r="B73" s="87">
        <v>29.255172999999999</v>
      </c>
      <c r="C73" s="87">
        <v>53.506785999999998</v>
      </c>
      <c r="D73" s="87">
        <v>97.003951999999998</v>
      </c>
      <c r="E73" s="87">
        <v>72.466140999999993</v>
      </c>
      <c r="F73" s="87">
        <v>31.562028999999999</v>
      </c>
      <c r="G73" s="88">
        <v>380.16000400000001</v>
      </c>
      <c r="H73" s="87">
        <v>171.911835</v>
      </c>
      <c r="I73" s="87">
        <v>556.87109399999997</v>
      </c>
      <c r="J73" s="88">
        <v>100.12848700000001</v>
      </c>
      <c r="K73" s="89">
        <v>38.954048</v>
      </c>
      <c r="L73" s="90">
        <v>187.399124</v>
      </c>
      <c r="M73" s="39"/>
      <c r="N73" s="40">
        <f t="shared" si="47"/>
        <v>9.6449383953127965E-2</v>
      </c>
      <c r="O73" s="40">
        <f t="shared" si="47"/>
        <v>3.0307970252638761E-2</v>
      </c>
      <c r="P73" s="40">
        <f t="shared" si="47"/>
        <v>0.14423917918220663</v>
      </c>
      <c r="Q73" s="40">
        <f t="shared" si="47"/>
        <v>-1.2355791258056192E-2</v>
      </c>
      <c r="R73" s="40">
        <f t="shared" si="47"/>
        <v>8.2386134880236606E-2</v>
      </c>
      <c r="S73" s="40">
        <f t="shared" si="47"/>
        <v>7.229290912558306E-2</v>
      </c>
      <c r="T73" s="40">
        <f t="shared" si="47"/>
        <v>0.10080624696490692</v>
      </c>
      <c r="U73" s="40">
        <f t="shared" si="47"/>
        <v>4.4675515918416231E-2</v>
      </c>
      <c r="V73" s="40">
        <f t="shared" si="47"/>
        <v>9.8927537853346736E-2</v>
      </c>
      <c r="W73" s="40">
        <f t="shared" si="46"/>
        <v>8.5395928563793966E-2</v>
      </c>
      <c r="X73" s="40">
        <f t="shared" si="46"/>
        <v>5.6204720259575014E-2</v>
      </c>
      <c r="Z73" s="93">
        <f t="shared" si="36"/>
        <v>7.2480386736496163E-2</v>
      </c>
      <c r="AA73" s="93">
        <f t="shared" si="37"/>
        <v>2.4188184684992321E-2</v>
      </c>
      <c r="AB73" s="93">
        <f t="shared" si="38"/>
        <v>0.1293609027939118</v>
      </c>
      <c r="AC73" s="93">
        <f t="shared" si="39"/>
        <v>-2.428459322507541E-2</v>
      </c>
      <c r="AD73" s="93">
        <f t="shared" si="40"/>
        <v>6.2751045579838863E-2</v>
      </c>
      <c r="AE73" s="93">
        <f t="shared" si="41"/>
        <v>4.4593705795995663E-2</v>
      </c>
      <c r="AF73" s="93">
        <f t="shared" si="42"/>
        <v>9.0896748521882884E-2</v>
      </c>
      <c r="AG73" s="93">
        <f t="shared" si="43"/>
        <v>2.7923595244635658E-2</v>
      </c>
      <c r="AH73" s="93">
        <f t="shared" si="44"/>
        <v>7.8629458243024419E-2</v>
      </c>
      <c r="AI73" s="93">
        <f t="shared" si="45"/>
        <v>6.417143163448169E-2</v>
      </c>
    </row>
    <row r="74" spans="1:35" x14ac:dyDescent="0.2">
      <c r="A74" s="86">
        <v>42064</v>
      </c>
      <c r="B74" s="87">
        <v>28.449223</v>
      </c>
      <c r="C74" s="87">
        <v>51.377276999999999</v>
      </c>
      <c r="D74" s="87">
        <v>97.758887999999999</v>
      </c>
      <c r="E74" s="87">
        <v>71.015617000000006</v>
      </c>
      <c r="F74" s="87">
        <v>31.305229000000001</v>
      </c>
      <c r="G74" s="88">
        <v>372.10000600000001</v>
      </c>
      <c r="H74" s="87">
        <v>170.79780600000001</v>
      </c>
      <c r="I74" s="87">
        <v>546.49957300000005</v>
      </c>
      <c r="J74" s="88">
        <v>99.133719999999997</v>
      </c>
      <c r="K74" s="89">
        <v>36.377276999999999</v>
      </c>
      <c r="L74" s="90">
        <v>183.63618500000001</v>
      </c>
      <c r="M74" s="39"/>
      <c r="N74" s="40">
        <f t="shared" si="47"/>
        <v>-2.7548973988292591E-2</v>
      </c>
      <c r="O74" s="40">
        <f t="shared" si="47"/>
        <v>-3.9798858410221016E-2</v>
      </c>
      <c r="P74" s="40">
        <f t="shared" si="47"/>
        <v>7.7825282829713238E-3</v>
      </c>
      <c r="Q74" s="40">
        <f t="shared" si="47"/>
        <v>-2.001657574121396E-2</v>
      </c>
      <c r="R74" s="40">
        <f t="shared" si="47"/>
        <v>-8.13635904079546E-3</v>
      </c>
      <c r="S74" s="40">
        <f t="shared" si="47"/>
        <v>-2.1201593842575805E-2</v>
      </c>
      <c r="T74" s="40">
        <f t="shared" si="47"/>
        <v>-6.4802344760033215E-3</v>
      </c>
      <c r="U74" s="40">
        <f t="shared" si="47"/>
        <v>-1.8624635237396436E-2</v>
      </c>
      <c r="V74" s="40">
        <f t="shared" si="47"/>
        <v>-9.9349049386915356E-3</v>
      </c>
      <c r="W74" s="40">
        <f t="shared" si="46"/>
        <v>-6.6148991755619391E-2</v>
      </c>
      <c r="X74" s="40">
        <f t="shared" si="46"/>
        <v>-2.0079811045434659E-2</v>
      </c>
      <c r="Z74" s="93">
        <f t="shared" si="36"/>
        <v>-5.1517971204924393E-2</v>
      </c>
      <c r="AA74" s="93">
        <f t="shared" si="37"/>
        <v>-4.5918643977867456E-2</v>
      </c>
      <c r="AB74" s="93">
        <f t="shared" si="38"/>
        <v>-7.0957481053235058E-3</v>
      </c>
      <c r="AC74" s="93">
        <f t="shared" si="39"/>
        <v>-3.1945377708233177E-2</v>
      </c>
      <c r="AD74" s="93">
        <f t="shared" si="40"/>
        <v>-2.7771448341193203E-2</v>
      </c>
      <c r="AE74" s="93">
        <f t="shared" si="41"/>
        <v>-4.8900797172163203E-2</v>
      </c>
      <c r="AF74" s="93">
        <f t="shared" si="42"/>
        <v>-1.6389732919027362E-2</v>
      </c>
      <c r="AG74" s="93">
        <f t="shared" si="43"/>
        <v>-3.5376555911177013E-2</v>
      </c>
      <c r="AH74" s="93">
        <f t="shared" si="44"/>
        <v>-3.0232984549013856E-2</v>
      </c>
      <c r="AI74" s="93">
        <f t="shared" si="45"/>
        <v>-8.7373488684931666E-2</v>
      </c>
    </row>
    <row r="75" spans="1:35" x14ac:dyDescent="0.2">
      <c r="A75" s="86">
        <v>42095</v>
      </c>
      <c r="B75" s="87">
        <v>28.613842000000002</v>
      </c>
      <c r="C75" s="87">
        <v>47.545544</v>
      </c>
      <c r="D75" s="87">
        <v>101.328491</v>
      </c>
      <c r="E75" s="87">
        <v>67.794044</v>
      </c>
      <c r="F75" s="87">
        <v>29.223904000000001</v>
      </c>
      <c r="G75" s="88">
        <v>421.77999899999998</v>
      </c>
      <c r="H75" s="87">
        <v>178.47584499999999</v>
      </c>
      <c r="I75" s="87">
        <v>537.34002699999996</v>
      </c>
      <c r="J75" s="88">
        <v>93.828873000000002</v>
      </c>
      <c r="K75" s="89">
        <v>43.516734999999997</v>
      </c>
      <c r="L75" s="90">
        <v>186.26980599999999</v>
      </c>
      <c r="M75" s="39"/>
      <c r="N75" s="40">
        <f t="shared" si="47"/>
        <v>5.7864146236965563E-3</v>
      </c>
      <c r="O75" s="40">
        <f t="shared" si="47"/>
        <v>-7.4580305219367649E-2</v>
      </c>
      <c r="P75" s="40">
        <f t="shared" si="47"/>
        <v>3.6514357651040497E-2</v>
      </c>
      <c r="Q75" s="40">
        <f t="shared" si="47"/>
        <v>-4.5364289378771572E-2</v>
      </c>
      <c r="R75" s="40">
        <f t="shared" si="47"/>
        <v>-6.6484899375756079E-2</v>
      </c>
      <c r="S75" s="40">
        <f t="shared" si="47"/>
        <v>0.13351247567569224</v>
      </c>
      <c r="T75" s="40">
        <f t="shared" si="47"/>
        <v>4.4953967382929783E-2</v>
      </c>
      <c r="U75" s="40">
        <f t="shared" si="47"/>
        <v>-1.6760390039682771E-2</v>
      </c>
      <c r="V75" s="40">
        <f t="shared" si="47"/>
        <v>-5.3512034048555757E-2</v>
      </c>
      <c r="W75" s="40">
        <f t="shared" si="46"/>
        <v>0.19626147388656934</v>
      </c>
      <c r="X75" s="40">
        <f t="shared" si="46"/>
        <v>1.4341514446077008E-2</v>
      </c>
      <c r="Z75" s="93">
        <f t="shared" si="36"/>
        <v>-1.8182582592935242E-2</v>
      </c>
      <c r="AA75" s="93">
        <f t="shared" si="37"/>
        <v>-8.0700090787014095E-2</v>
      </c>
      <c r="AB75" s="93">
        <f t="shared" si="38"/>
        <v>2.1636081262745667E-2</v>
      </c>
      <c r="AC75" s="93">
        <f t="shared" si="39"/>
        <v>-5.7293091345790789E-2</v>
      </c>
      <c r="AD75" s="93">
        <f t="shared" si="40"/>
        <v>-8.6119988676153822E-2</v>
      </c>
      <c r="AE75" s="93">
        <f t="shared" si="41"/>
        <v>0.10581327234610485</v>
      </c>
      <c r="AF75" s="93">
        <f t="shared" si="42"/>
        <v>3.5044468939905746E-2</v>
      </c>
      <c r="AG75" s="93">
        <f t="shared" si="43"/>
        <v>-3.3512310713463347E-2</v>
      </c>
      <c r="AH75" s="93">
        <f t="shared" si="44"/>
        <v>-7.3810113658878074E-2</v>
      </c>
      <c r="AI75" s="93">
        <f t="shared" si="45"/>
        <v>0.17503697695725706</v>
      </c>
    </row>
    <row r="76" spans="1:35" x14ac:dyDescent="0.2">
      <c r="A76" s="86">
        <v>42125</v>
      </c>
      <c r="B76" s="87">
        <v>29.786746999999998</v>
      </c>
      <c r="C76" s="87">
        <v>45.244822999999997</v>
      </c>
      <c r="D76" s="87">
        <v>102.86631800000001</v>
      </c>
      <c r="E76" s="87">
        <v>64.510734999999997</v>
      </c>
      <c r="F76" s="87">
        <v>29.266071</v>
      </c>
      <c r="G76" s="88">
        <v>429.23001099999999</v>
      </c>
      <c r="H76" s="87">
        <v>187.35325599999999</v>
      </c>
      <c r="I76" s="87">
        <v>532.10998500000005</v>
      </c>
      <c r="J76" s="88">
        <v>97.723052999999993</v>
      </c>
      <c r="K76" s="89">
        <v>41.924225</v>
      </c>
      <c r="L76" s="90">
        <v>188.66452000000001</v>
      </c>
      <c r="M76" s="39"/>
      <c r="N76" s="40">
        <f t="shared" si="47"/>
        <v>4.0990825349493276E-2</v>
      </c>
      <c r="O76" s="40">
        <f t="shared" si="47"/>
        <v>-4.8389834387003838E-2</v>
      </c>
      <c r="P76" s="40">
        <f t="shared" si="47"/>
        <v>1.5176649576277734E-2</v>
      </c>
      <c r="Q76" s="40">
        <f t="shared" si="47"/>
        <v>-4.8430640898188715E-2</v>
      </c>
      <c r="R76" s="40">
        <f t="shared" si="47"/>
        <v>1.4428941458335398E-3</v>
      </c>
      <c r="S76" s="40">
        <f t="shared" si="47"/>
        <v>1.7663265251228744E-2</v>
      </c>
      <c r="T76" s="40">
        <f t="shared" si="47"/>
        <v>4.9740125897709042E-2</v>
      </c>
      <c r="U76" s="40">
        <f t="shared" si="47"/>
        <v>-9.7332075356446612E-3</v>
      </c>
      <c r="V76" s="40">
        <f t="shared" si="47"/>
        <v>4.150300302551857E-2</v>
      </c>
      <c r="W76" s="40">
        <f t="shared" si="46"/>
        <v>-3.6595346594821443E-2</v>
      </c>
      <c r="X76" s="40">
        <f t="shared" si="46"/>
        <v>1.2856157696325754E-2</v>
      </c>
      <c r="Z76" s="93">
        <f t="shared" si="36"/>
        <v>1.7021828132861478E-2</v>
      </c>
      <c r="AA76" s="93">
        <f t="shared" si="37"/>
        <v>-5.4509619954650278E-2</v>
      </c>
      <c r="AB76" s="93">
        <f t="shared" si="38"/>
        <v>2.9837318798290463E-4</v>
      </c>
      <c r="AC76" s="93">
        <f t="shared" si="39"/>
        <v>-6.0359442865207932E-2</v>
      </c>
      <c r="AD76" s="93">
        <f t="shared" si="40"/>
        <v>-1.8192195154564203E-2</v>
      </c>
      <c r="AE76" s="93">
        <f t="shared" si="41"/>
        <v>-1.0035938078358654E-2</v>
      </c>
      <c r="AF76" s="93">
        <f t="shared" si="42"/>
        <v>3.9830627454685005E-2</v>
      </c>
      <c r="AG76" s="93">
        <f t="shared" si="43"/>
        <v>-2.6485128209425234E-2</v>
      </c>
      <c r="AH76" s="93">
        <f t="shared" si="44"/>
        <v>2.1204923415196249E-2</v>
      </c>
      <c r="AI76" s="93">
        <f t="shared" si="45"/>
        <v>-5.7819843524133718E-2</v>
      </c>
    </row>
    <row r="77" spans="1:35" x14ac:dyDescent="0.2">
      <c r="A77" s="86">
        <v>42156</v>
      </c>
      <c r="B77" s="87">
        <v>28.797649</v>
      </c>
      <c r="C77" s="87">
        <v>47.924835000000002</v>
      </c>
      <c r="D77" s="87">
        <v>106.38001300000001</v>
      </c>
      <c r="E77" s="87">
        <v>61.998469999999998</v>
      </c>
      <c r="F77" s="87">
        <v>27.503359</v>
      </c>
      <c r="G77" s="88">
        <v>434.08999599999999</v>
      </c>
      <c r="H77" s="87">
        <v>190.30744899999999</v>
      </c>
      <c r="I77" s="87">
        <v>520.51000999999997</v>
      </c>
      <c r="J77" s="88">
        <v>97.468697000000006</v>
      </c>
      <c r="K77" s="89">
        <v>39.756374000000001</v>
      </c>
      <c r="L77" s="90">
        <v>183.93760700000001</v>
      </c>
      <c r="M77" s="39"/>
      <c r="N77" s="40">
        <f t="shared" si="47"/>
        <v>-3.3205975798565657E-2</v>
      </c>
      <c r="O77" s="40">
        <f t="shared" si="47"/>
        <v>5.9233561373419619E-2</v>
      </c>
      <c r="P77" s="40">
        <f t="shared" si="47"/>
        <v>3.4157876633632345E-2</v>
      </c>
      <c r="Q77" s="40">
        <f t="shared" si="47"/>
        <v>-3.8943363457260238E-2</v>
      </c>
      <c r="R77" s="40">
        <f t="shared" si="47"/>
        <v>-6.023056528496773E-2</v>
      </c>
      <c r="S77" s="40">
        <f t="shared" si="47"/>
        <v>1.1322565700095044E-2</v>
      </c>
      <c r="T77" s="40">
        <f t="shared" si="47"/>
        <v>1.5768036612077818E-2</v>
      </c>
      <c r="U77" s="40">
        <f t="shared" si="47"/>
        <v>-2.1799957390388203E-2</v>
      </c>
      <c r="V77" s="40">
        <f t="shared" si="47"/>
        <v>-2.602824944488713E-3</v>
      </c>
      <c r="W77" s="40">
        <f t="shared" si="46"/>
        <v>-5.1708791277596644E-2</v>
      </c>
      <c r="X77" s="40">
        <f t="shared" si="46"/>
        <v>-2.5054594260754515E-2</v>
      </c>
      <c r="Z77" s="93">
        <f t="shared" si="36"/>
        <v>-5.7174973015197458E-2</v>
      </c>
      <c r="AA77" s="93">
        <f t="shared" si="37"/>
        <v>5.3113775805773179E-2</v>
      </c>
      <c r="AB77" s="93">
        <f t="shared" si="38"/>
        <v>1.9279600245337515E-2</v>
      </c>
      <c r="AC77" s="93">
        <f t="shared" si="39"/>
        <v>-5.0872165424279456E-2</v>
      </c>
      <c r="AD77" s="93">
        <f t="shared" si="40"/>
        <v>-7.9865654585365473E-2</v>
      </c>
      <c r="AE77" s="93">
        <f t="shared" si="41"/>
        <v>-1.6376637629492354E-2</v>
      </c>
      <c r="AF77" s="93">
        <f t="shared" si="42"/>
        <v>5.8585381690537779E-3</v>
      </c>
      <c r="AG77" s="93">
        <f t="shared" si="43"/>
        <v>-3.8551878064168779E-2</v>
      </c>
      <c r="AH77" s="93">
        <f t="shared" si="44"/>
        <v>-2.2900904554811034E-2</v>
      </c>
      <c r="AI77" s="93">
        <f t="shared" si="45"/>
        <v>-7.2933288206908919E-2</v>
      </c>
    </row>
    <row r="78" spans="1:35" x14ac:dyDescent="0.2">
      <c r="A78" s="86">
        <v>42186</v>
      </c>
      <c r="B78" s="87">
        <v>27.849436000000001</v>
      </c>
      <c r="C78" s="87">
        <v>49.583286000000001</v>
      </c>
      <c r="D78" s="87">
        <v>111.841606</v>
      </c>
      <c r="E78" s="87">
        <v>62.916240999999999</v>
      </c>
      <c r="F78" s="87">
        <v>27.417376000000001</v>
      </c>
      <c r="G78" s="88">
        <v>536.15002400000003</v>
      </c>
      <c r="H78" s="87">
        <v>186.91677899999999</v>
      </c>
      <c r="I78" s="87">
        <v>625.60998500000005</v>
      </c>
      <c r="J78" s="88">
        <v>103.18860599999999</v>
      </c>
      <c r="K78" s="89">
        <v>42.052616</v>
      </c>
      <c r="L78" s="90">
        <v>189.007553</v>
      </c>
      <c r="M78" s="39"/>
      <c r="N78" s="40">
        <f t="shared" si="47"/>
        <v>-3.292675037465731E-2</v>
      </c>
      <c r="O78" s="40">
        <f t="shared" si="47"/>
        <v>3.4605252162057454E-2</v>
      </c>
      <c r="P78" s="40">
        <f t="shared" si="47"/>
        <v>5.1340405457555249E-2</v>
      </c>
      <c r="Q78" s="40">
        <f t="shared" si="47"/>
        <v>1.4803123367399307E-2</v>
      </c>
      <c r="R78" s="40">
        <f t="shared" si="47"/>
        <v>-3.1262726854562883E-3</v>
      </c>
      <c r="S78" s="40">
        <f t="shared" si="47"/>
        <v>0.23511260093632758</v>
      </c>
      <c r="T78" s="40">
        <f t="shared" si="47"/>
        <v>-1.7816801275077787E-2</v>
      </c>
      <c r="U78" s="40">
        <f t="shared" si="47"/>
        <v>0.20191729838202366</v>
      </c>
      <c r="V78" s="40">
        <f t="shared" si="47"/>
        <v>5.8684574392124933E-2</v>
      </c>
      <c r="W78" s="40">
        <f t="shared" si="46"/>
        <v>5.7757832744002258E-2</v>
      </c>
      <c r="X78" s="40">
        <f t="shared" si="46"/>
        <v>2.7563400887345324E-2</v>
      </c>
      <c r="Z78" s="93">
        <f t="shared" si="36"/>
        <v>-5.6895747591289111E-2</v>
      </c>
      <c r="AA78" s="93">
        <f t="shared" si="37"/>
        <v>2.8485466594411014E-2</v>
      </c>
      <c r="AB78" s="93">
        <f t="shared" si="38"/>
        <v>3.646212906926042E-2</v>
      </c>
      <c r="AC78" s="93">
        <f t="shared" si="39"/>
        <v>2.8743214003800893E-3</v>
      </c>
      <c r="AD78" s="93">
        <f t="shared" si="40"/>
        <v>-2.2761361985854031E-2</v>
      </c>
      <c r="AE78" s="93">
        <f t="shared" si="41"/>
        <v>0.20741339760674019</v>
      </c>
      <c r="AF78" s="93">
        <f t="shared" si="42"/>
        <v>-2.7726299718101827E-2</v>
      </c>
      <c r="AG78" s="93">
        <f t="shared" si="43"/>
        <v>0.1851653777082431</v>
      </c>
      <c r="AH78" s="93">
        <f t="shared" si="44"/>
        <v>3.8386494781802616E-2</v>
      </c>
      <c r="AI78" s="93">
        <f t="shared" si="45"/>
        <v>3.6533335814689982E-2</v>
      </c>
    </row>
    <row r="79" spans="1:35" x14ac:dyDescent="0.2">
      <c r="A79" s="86">
        <v>42217</v>
      </c>
      <c r="B79" s="87">
        <v>25.888725000000001</v>
      </c>
      <c r="C79" s="87">
        <v>47.669688999999998</v>
      </c>
      <c r="D79" s="87">
        <v>95.505775</v>
      </c>
      <c r="E79" s="87">
        <v>56.579163000000001</v>
      </c>
      <c r="F79" s="87">
        <v>31.195868999999998</v>
      </c>
      <c r="G79" s="88">
        <v>512.89001499999995</v>
      </c>
      <c r="H79" s="87">
        <v>171.904663</v>
      </c>
      <c r="I79" s="87">
        <v>637.60998500000005</v>
      </c>
      <c r="J79" s="88">
        <v>102.68601200000001</v>
      </c>
      <c r="K79" s="89">
        <v>39.189067999999999</v>
      </c>
      <c r="L79" s="90">
        <v>178.82540900000001</v>
      </c>
      <c r="M79" s="39"/>
      <c r="N79" s="40">
        <f t="shared" si="47"/>
        <v>-7.040397514692931E-2</v>
      </c>
      <c r="O79" s="40">
        <f t="shared" si="47"/>
        <v>-3.8593589783460502E-2</v>
      </c>
      <c r="P79" s="40">
        <f t="shared" si="47"/>
        <v>-0.1460621997863657</v>
      </c>
      <c r="Q79" s="40">
        <f t="shared" si="47"/>
        <v>-0.10072245098050281</v>
      </c>
      <c r="R79" s="40">
        <f t="shared" si="47"/>
        <v>0.13781380829441869</v>
      </c>
      <c r="S79" s="40">
        <f t="shared" si="47"/>
        <v>-4.3383396360717308E-2</v>
      </c>
      <c r="T79" s="40">
        <f t="shared" si="47"/>
        <v>-8.0314437688871143E-2</v>
      </c>
      <c r="U79" s="40">
        <f t="shared" si="47"/>
        <v>1.9181279531528039E-2</v>
      </c>
      <c r="V79" s="40">
        <f t="shared" si="47"/>
        <v>-4.870634651271355E-3</v>
      </c>
      <c r="W79" s="40">
        <f t="shared" si="46"/>
        <v>-6.8094408205187529E-2</v>
      </c>
      <c r="X79" s="40">
        <f t="shared" si="46"/>
        <v>-5.3871624908026772E-2</v>
      </c>
      <c r="Z79" s="93">
        <f t="shared" si="36"/>
        <v>-9.4372972363561111E-2</v>
      </c>
      <c r="AA79" s="93">
        <f t="shared" si="37"/>
        <v>-4.4713375351106942E-2</v>
      </c>
      <c r="AB79" s="93">
        <f t="shared" si="38"/>
        <v>-0.16094047617466054</v>
      </c>
      <c r="AC79" s="93">
        <f t="shared" si="39"/>
        <v>-0.11265125294752203</v>
      </c>
      <c r="AD79" s="93">
        <f t="shared" si="40"/>
        <v>0.11817871899402095</v>
      </c>
      <c r="AE79" s="93">
        <f t="shared" si="41"/>
        <v>-7.1082599690304699E-2</v>
      </c>
      <c r="AF79" s="93">
        <f t="shared" si="42"/>
        <v>-9.022393613189518E-2</v>
      </c>
      <c r="AG79" s="93">
        <f t="shared" si="43"/>
        <v>2.4293588577474663E-3</v>
      </c>
      <c r="AH79" s="93">
        <f t="shared" si="44"/>
        <v>-2.5168714261593676E-2</v>
      </c>
      <c r="AI79" s="93">
        <f t="shared" si="45"/>
        <v>-8.9318905134499804E-2</v>
      </c>
    </row>
    <row r="80" spans="1:35" x14ac:dyDescent="0.2">
      <c r="A80" s="86">
        <v>42248</v>
      </c>
      <c r="B80" s="87">
        <v>25.438564</v>
      </c>
      <c r="C80" s="87">
        <v>46.691639000000002</v>
      </c>
      <c r="D80" s="87">
        <v>95.805756000000002</v>
      </c>
      <c r="E80" s="87">
        <v>57.062308999999999</v>
      </c>
      <c r="F80" s="87">
        <v>31.518518</v>
      </c>
      <c r="G80" s="88">
        <v>511.89001500000001</v>
      </c>
      <c r="H80" s="87">
        <v>158.92433199999999</v>
      </c>
      <c r="I80" s="87">
        <v>608.419983</v>
      </c>
      <c r="J80" s="88">
        <v>101.83074999999999</v>
      </c>
      <c r="K80" s="89">
        <v>40.118251999999998</v>
      </c>
      <c r="L80" s="90">
        <v>172.06424000000001</v>
      </c>
      <c r="M80" s="39"/>
      <c r="N80" s="40">
        <f t="shared" si="47"/>
        <v>-1.7388303209215694E-2</v>
      </c>
      <c r="O80" s="40">
        <f t="shared" si="47"/>
        <v>-2.0517230561332145E-2</v>
      </c>
      <c r="P80" s="40">
        <f t="shared" si="47"/>
        <v>3.1409723652837673E-3</v>
      </c>
      <c r="Q80" s="40">
        <f t="shared" si="47"/>
        <v>8.5392921065303717E-3</v>
      </c>
      <c r="R80" s="40">
        <f t="shared" si="47"/>
        <v>1.0342683513640871E-2</v>
      </c>
      <c r="S80" s="40">
        <f t="shared" si="47"/>
        <v>-1.949735753775439E-3</v>
      </c>
      <c r="T80" s="40">
        <f t="shared" si="47"/>
        <v>-7.5508894136280702E-2</v>
      </c>
      <c r="U80" s="40">
        <f t="shared" si="47"/>
        <v>-4.5780340155745947E-2</v>
      </c>
      <c r="V80" s="40">
        <f t="shared" si="47"/>
        <v>-8.3289046223745666E-3</v>
      </c>
      <c r="W80" s="40">
        <f t="shared" si="46"/>
        <v>2.3710285735807801E-2</v>
      </c>
      <c r="X80" s="40">
        <f t="shared" si="46"/>
        <v>-3.7808771347476622E-2</v>
      </c>
      <c r="Z80" s="93">
        <f t="shared" si="36"/>
        <v>-4.1357300425847496E-2</v>
      </c>
      <c r="AA80" s="93">
        <f t="shared" si="37"/>
        <v>-2.6637016128978584E-2</v>
      </c>
      <c r="AB80" s="93">
        <f t="shared" si="38"/>
        <v>-1.1737304023011062E-2</v>
      </c>
      <c r="AC80" s="93">
        <f t="shared" si="39"/>
        <v>-3.3895098604888457E-3</v>
      </c>
      <c r="AD80" s="93">
        <f t="shared" si="40"/>
        <v>-9.2924057867568716E-3</v>
      </c>
      <c r="AE80" s="93">
        <f t="shared" si="41"/>
        <v>-2.9648939083362837E-2</v>
      </c>
      <c r="AF80" s="93">
        <f t="shared" si="42"/>
        <v>-8.5418392579304739E-2</v>
      </c>
      <c r="AG80" s="93">
        <f t="shared" si="43"/>
        <v>-6.2532260829526523E-2</v>
      </c>
      <c r="AH80" s="93">
        <f t="shared" si="44"/>
        <v>-2.8626984232696887E-2</v>
      </c>
      <c r="AI80" s="93">
        <f t="shared" si="45"/>
        <v>2.4857888064955293E-3</v>
      </c>
    </row>
    <row r="81" spans="1:35" x14ac:dyDescent="0.2">
      <c r="A81" s="86">
        <v>42278</v>
      </c>
      <c r="B81" s="87">
        <v>27.560364</v>
      </c>
      <c r="C81" s="87">
        <v>42.295757000000002</v>
      </c>
      <c r="D81" s="87">
        <v>106.623749</v>
      </c>
      <c r="E81" s="87">
        <v>50.373947000000001</v>
      </c>
      <c r="F81" s="87">
        <v>29.928349999999998</v>
      </c>
      <c r="G81" s="88">
        <v>625.90002400000003</v>
      </c>
      <c r="H81" s="87">
        <v>171.49122600000001</v>
      </c>
      <c r="I81" s="87">
        <v>710.80999799999995</v>
      </c>
      <c r="J81" s="88">
        <v>109.57192999999999</v>
      </c>
      <c r="K81" s="89">
        <v>47.714066000000003</v>
      </c>
      <c r="L81" s="90">
        <v>188.53703300000001</v>
      </c>
      <c r="M81" s="39"/>
      <c r="N81" s="40">
        <f t="shared" si="47"/>
        <v>8.3408796188338297E-2</v>
      </c>
      <c r="O81" s="40">
        <f t="shared" si="47"/>
        <v>-9.4147091302577701E-2</v>
      </c>
      <c r="P81" s="40">
        <f t="shared" si="47"/>
        <v>0.11291589828903392</v>
      </c>
      <c r="Q81" s="40">
        <f t="shared" si="47"/>
        <v>-0.11721155552958784</v>
      </c>
      <c r="R81" s="40">
        <f t="shared" si="47"/>
        <v>-5.0451864519772238E-2</v>
      </c>
      <c r="S81" s="40">
        <f t="shared" si="47"/>
        <v>0.22272364308571246</v>
      </c>
      <c r="T81" s="40">
        <f t="shared" si="47"/>
        <v>7.9074700782760132E-2</v>
      </c>
      <c r="U81" s="40">
        <f t="shared" si="47"/>
        <v>0.16828838279626313</v>
      </c>
      <c r="V81" s="40">
        <f t="shared" si="47"/>
        <v>7.6020062702081725E-2</v>
      </c>
      <c r="W81" s="40">
        <f t="shared" si="46"/>
        <v>0.18933561711512259</v>
      </c>
      <c r="X81" s="40">
        <f t="shared" si="46"/>
        <v>9.5736295932263404E-2</v>
      </c>
      <c r="Z81" s="93">
        <f t="shared" si="36"/>
        <v>5.9439798971706495E-2</v>
      </c>
      <c r="AA81" s="93">
        <f t="shared" si="37"/>
        <v>-0.10026687687022415</v>
      </c>
      <c r="AB81" s="93">
        <f t="shared" si="38"/>
        <v>9.8037621900739086E-2</v>
      </c>
      <c r="AC81" s="93">
        <f t="shared" si="39"/>
        <v>-0.12914035749660707</v>
      </c>
      <c r="AD81" s="93">
        <f t="shared" si="40"/>
        <v>-7.0086953820169981E-2</v>
      </c>
      <c r="AE81" s="93">
        <f t="shared" si="41"/>
        <v>0.19502443975612507</v>
      </c>
      <c r="AF81" s="93">
        <f t="shared" si="42"/>
        <v>6.9165202339736095E-2</v>
      </c>
      <c r="AG81" s="93">
        <f t="shared" si="43"/>
        <v>0.15153646212248256</v>
      </c>
      <c r="AH81" s="93">
        <f t="shared" si="44"/>
        <v>5.5721983091759408E-2</v>
      </c>
      <c r="AI81" s="93">
        <f t="shared" si="45"/>
        <v>0.16811112018581031</v>
      </c>
    </row>
    <row r="82" spans="1:35" x14ac:dyDescent="0.2">
      <c r="A82" s="86">
        <v>42309</v>
      </c>
      <c r="B82" s="87">
        <v>27.283605999999999</v>
      </c>
      <c r="C82" s="87">
        <v>41.842444999999998</v>
      </c>
      <c r="D82" s="87">
        <v>106.370651</v>
      </c>
      <c r="E82" s="87">
        <v>51.782032000000001</v>
      </c>
      <c r="F82" s="87">
        <v>27.151667</v>
      </c>
      <c r="G82" s="88">
        <v>664.79998799999998</v>
      </c>
      <c r="H82" s="87">
        <v>173.79603599999999</v>
      </c>
      <c r="I82" s="87">
        <v>742.59997599999997</v>
      </c>
      <c r="J82" s="88">
        <v>118.646782</v>
      </c>
      <c r="K82" s="89">
        <v>49.264046</v>
      </c>
      <c r="L82" s="90">
        <v>188.35655199999999</v>
      </c>
      <c r="M82" s="39"/>
      <c r="N82" s="40">
        <f t="shared" si="47"/>
        <v>-1.0041884787878708E-2</v>
      </c>
      <c r="O82" s="40">
        <f t="shared" si="47"/>
        <v>-1.071767080560837E-2</v>
      </c>
      <c r="P82" s="40">
        <f t="shared" si="47"/>
        <v>-2.3737488352618685E-3</v>
      </c>
      <c r="Q82" s="40">
        <f t="shared" si="47"/>
        <v>2.7952643853776271E-2</v>
      </c>
      <c r="R82" s="40">
        <f t="shared" si="47"/>
        <v>-9.2777684035371122E-2</v>
      </c>
      <c r="S82" s="40">
        <f t="shared" si="47"/>
        <v>6.2150443374962894E-2</v>
      </c>
      <c r="T82" s="40">
        <f t="shared" si="47"/>
        <v>1.343981294996377E-2</v>
      </c>
      <c r="U82" s="40">
        <f t="shared" si="47"/>
        <v>4.4723594335261518E-2</v>
      </c>
      <c r="V82" s="40">
        <f t="shared" si="47"/>
        <v>8.2820956060553064E-2</v>
      </c>
      <c r="W82" s="40">
        <f t="shared" si="46"/>
        <v>3.2484760363956422E-2</v>
      </c>
      <c r="X82" s="40">
        <f t="shared" si="46"/>
        <v>-9.5727081904384281E-4</v>
      </c>
      <c r="Z82" s="93">
        <f t="shared" si="36"/>
        <v>-3.4010882004510509E-2</v>
      </c>
      <c r="AA82" s="93">
        <f t="shared" si="37"/>
        <v>-1.683745637325481E-2</v>
      </c>
      <c r="AB82" s="93">
        <f t="shared" si="38"/>
        <v>-1.7252025223556698E-2</v>
      </c>
      <c r="AC82" s="93">
        <f t="shared" si="39"/>
        <v>1.6023841886757054E-2</v>
      </c>
      <c r="AD82" s="93">
        <f t="shared" si="40"/>
        <v>-0.11241277333576886</v>
      </c>
      <c r="AE82" s="93">
        <f t="shared" si="41"/>
        <v>3.4451240045375496E-2</v>
      </c>
      <c r="AF82" s="93">
        <f t="shared" si="42"/>
        <v>3.5303145069397295E-3</v>
      </c>
      <c r="AG82" s="93">
        <f t="shared" si="43"/>
        <v>2.7971673661480945E-2</v>
      </c>
      <c r="AH82" s="93">
        <f t="shared" si="44"/>
        <v>6.2522876450230747E-2</v>
      </c>
      <c r="AI82" s="93">
        <f t="shared" si="45"/>
        <v>1.126026343464415E-2</v>
      </c>
    </row>
    <row r="83" spans="1:35" x14ac:dyDescent="0.2">
      <c r="A83" s="86">
        <v>42339</v>
      </c>
      <c r="B83" s="87">
        <v>24.380092999999999</v>
      </c>
      <c r="C83" s="87">
        <v>38.823143000000002</v>
      </c>
      <c r="D83" s="87">
        <v>98.505561999999998</v>
      </c>
      <c r="E83" s="87">
        <v>53.946941000000002</v>
      </c>
      <c r="F83" s="87">
        <v>26.015369</v>
      </c>
      <c r="G83" s="88">
        <v>675.89001499999995</v>
      </c>
      <c r="H83" s="87">
        <v>165.406387</v>
      </c>
      <c r="I83" s="87">
        <v>758.88000499999998</v>
      </c>
      <c r="J83" s="88">
        <v>117.20227800000001</v>
      </c>
      <c r="K83" s="89">
        <v>50.627274</v>
      </c>
      <c r="L83" s="90">
        <v>184.00618</v>
      </c>
      <c r="M83" s="39"/>
      <c r="N83" s="40">
        <f t="shared" si="47"/>
        <v>-0.10641969393635142</v>
      </c>
      <c r="O83" s="40">
        <f t="shared" si="47"/>
        <v>-7.2158832974506981E-2</v>
      </c>
      <c r="P83" s="40">
        <f t="shared" si="47"/>
        <v>-7.3940404858479192E-2</v>
      </c>
      <c r="Q83" s="40">
        <f t="shared" si="47"/>
        <v>4.1808112126615615E-2</v>
      </c>
      <c r="R83" s="40">
        <f t="shared" si="47"/>
        <v>-4.1850027108832788E-2</v>
      </c>
      <c r="S83" s="40">
        <f t="shared" si="47"/>
        <v>1.6681749699429815E-2</v>
      </c>
      <c r="T83" s="40">
        <f t="shared" si="47"/>
        <v>-4.8272959459213394E-2</v>
      </c>
      <c r="U83" s="40">
        <f t="shared" si="47"/>
        <v>2.1923013097431054E-2</v>
      </c>
      <c r="V83" s="40">
        <f t="shared" si="47"/>
        <v>-1.2174826621087709E-2</v>
      </c>
      <c r="W83" s="40">
        <f t="shared" si="46"/>
        <v>2.7671864385641287E-2</v>
      </c>
      <c r="X83" s="40">
        <f t="shared" si="46"/>
        <v>-2.309647290634198E-2</v>
      </c>
      <c r="Z83" s="93">
        <f t="shared" si="36"/>
        <v>-0.13038869115298321</v>
      </c>
      <c r="AA83" s="93">
        <f t="shared" si="37"/>
        <v>-7.8278618542153428E-2</v>
      </c>
      <c r="AB83" s="93">
        <f t="shared" si="38"/>
        <v>-8.8818681246774028E-2</v>
      </c>
      <c r="AC83" s="93">
        <f t="shared" si="39"/>
        <v>2.9879310159596398E-2</v>
      </c>
      <c r="AD83" s="93">
        <f t="shared" si="40"/>
        <v>-6.1485116409230531E-2</v>
      </c>
      <c r="AE83" s="93">
        <f t="shared" si="41"/>
        <v>-1.1017453630157582E-2</v>
      </c>
      <c r="AF83" s="93">
        <f t="shared" si="42"/>
        <v>-5.8182457902237431E-2</v>
      </c>
      <c r="AG83" s="93">
        <f t="shared" si="43"/>
        <v>5.1710924236504814E-3</v>
      </c>
      <c r="AH83" s="93">
        <f t="shared" si="44"/>
        <v>-3.2472906231410026E-2</v>
      </c>
      <c r="AI83" s="93">
        <f t="shared" si="45"/>
        <v>6.4473674563290152E-3</v>
      </c>
    </row>
    <row r="84" spans="1:35" x14ac:dyDescent="0.2">
      <c r="A84" s="86">
        <v>42370</v>
      </c>
      <c r="B84" s="87">
        <v>22.545680999999998</v>
      </c>
      <c r="C84" s="87">
        <v>34.439231999999997</v>
      </c>
      <c r="D84" s="87">
        <v>90.400734</v>
      </c>
      <c r="E84" s="87">
        <v>58.889149000000003</v>
      </c>
      <c r="F84" s="87">
        <v>24.041262</v>
      </c>
      <c r="G84" s="88">
        <v>587</v>
      </c>
      <c r="H84" s="87">
        <v>148.27198799999999</v>
      </c>
      <c r="I84" s="87">
        <v>742.95001200000002</v>
      </c>
      <c r="J84" s="88">
        <v>111.944061</v>
      </c>
      <c r="K84" s="89">
        <v>50.271385000000002</v>
      </c>
      <c r="L84" s="90">
        <v>175.885727</v>
      </c>
      <c r="M84" s="39"/>
      <c r="N84" s="40">
        <f t="shared" si="47"/>
        <v>-7.5242206828333269E-2</v>
      </c>
      <c r="O84" s="40">
        <f t="shared" si="47"/>
        <v>-0.11292004359358554</v>
      </c>
      <c r="P84" s="40">
        <f t="shared" si="47"/>
        <v>-8.2277871781493928E-2</v>
      </c>
      <c r="Q84" s="40">
        <f t="shared" si="47"/>
        <v>9.1612386326038298E-2</v>
      </c>
      <c r="R84" s="40">
        <f t="shared" si="47"/>
        <v>-7.5882337090817376E-2</v>
      </c>
      <c r="S84" s="40">
        <f t="shared" si="47"/>
        <v>-0.13151550256294287</v>
      </c>
      <c r="T84" s="40">
        <f t="shared" si="47"/>
        <v>-0.10358970600089346</v>
      </c>
      <c r="U84" s="40">
        <f t="shared" si="47"/>
        <v>-2.0991451738143985E-2</v>
      </c>
      <c r="V84" s="40">
        <f t="shared" si="47"/>
        <v>-4.4864460740259737E-2</v>
      </c>
      <c r="W84" s="40">
        <f t="shared" si="46"/>
        <v>-7.0295904140522669E-3</v>
      </c>
      <c r="X84" s="40">
        <f t="shared" si="46"/>
        <v>-4.4131414499230415E-2</v>
      </c>
      <c r="Z84" s="93">
        <f t="shared" si="36"/>
        <v>-9.9211204044965071E-2</v>
      </c>
      <c r="AA84" s="93">
        <f t="shared" si="37"/>
        <v>-0.11903982916123199</v>
      </c>
      <c r="AB84" s="93">
        <f t="shared" si="38"/>
        <v>-9.7156148169788764E-2</v>
      </c>
      <c r="AC84" s="93">
        <f t="shared" si="39"/>
        <v>7.968358435901908E-2</v>
      </c>
      <c r="AD84" s="93">
        <f t="shared" si="40"/>
        <v>-9.5517426391215118E-2</v>
      </c>
      <c r="AE84" s="93">
        <f t="shared" si="41"/>
        <v>-0.15921470589253026</v>
      </c>
      <c r="AF84" s="93">
        <f t="shared" si="42"/>
        <v>-0.11349920444391749</v>
      </c>
      <c r="AG84" s="93">
        <f t="shared" si="43"/>
        <v>-3.7743372411924561E-2</v>
      </c>
      <c r="AH84" s="93">
        <f t="shared" si="44"/>
        <v>-6.5162540350582054E-2</v>
      </c>
      <c r="AI84" s="93">
        <f t="shared" si="45"/>
        <v>-2.8254087343364539E-2</v>
      </c>
    </row>
    <row r="85" spans="1:35" x14ac:dyDescent="0.2">
      <c r="A85" s="86">
        <v>42401</v>
      </c>
      <c r="B85" s="87">
        <v>22.395130000000002</v>
      </c>
      <c r="C85" s="87">
        <v>37.168532999999996</v>
      </c>
      <c r="D85" s="87">
        <v>90.117690999999994</v>
      </c>
      <c r="E85" s="87">
        <v>58.871403000000001</v>
      </c>
      <c r="F85" s="87">
        <v>27.880293000000002</v>
      </c>
      <c r="G85" s="88">
        <v>552.52002000000005</v>
      </c>
      <c r="H85" s="87">
        <v>137.231415</v>
      </c>
      <c r="I85" s="87">
        <v>697.77002000000005</v>
      </c>
      <c r="J85" s="88">
        <v>110.484222</v>
      </c>
      <c r="K85" s="89">
        <v>46.429622999999999</v>
      </c>
      <c r="L85" s="90">
        <v>175.74041700000001</v>
      </c>
      <c r="M85" s="39"/>
      <c r="N85" s="40">
        <f t="shared" si="47"/>
        <v>-6.6775982504141407E-3</v>
      </c>
      <c r="O85" s="40">
        <f t="shared" si="47"/>
        <v>7.924976375779802E-2</v>
      </c>
      <c r="P85" s="40">
        <f t="shared" si="47"/>
        <v>-3.1309812152632288E-3</v>
      </c>
      <c r="Q85" s="40">
        <f t="shared" si="47"/>
        <v>-3.0134583877250432E-4</v>
      </c>
      <c r="R85" s="40">
        <f t="shared" si="47"/>
        <v>0.15968508641518087</v>
      </c>
      <c r="S85" s="40">
        <f t="shared" si="47"/>
        <v>-5.8739318568994836E-2</v>
      </c>
      <c r="T85" s="40">
        <f t="shared" si="47"/>
        <v>-7.4461623863841364E-2</v>
      </c>
      <c r="U85" s="40">
        <f t="shared" si="47"/>
        <v>-6.0811617565462717E-2</v>
      </c>
      <c r="V85" s="40">
        <f t="shared" si="47"/>
        <v>-1.3040790078180264E-2</v>
      </c>
      <c r="W85" s="40">
        <f t="shared" si="46"/>
        <v>-7.6420452708832354E-2</v>
      </c>
      <c r="X85" s="40">
        <f t="shared" si="46"/>
        <v>-8.2616140876512478E-4</v>
      </c>
      <c r="Z85" s="93">
        <f t="shared" si="36"/>
        <v>-3.0646595467045939E-2</v>
      </c>
      <c r="AA85" s="93">
        <f t="shared" si="37"/>
        <v>7.3129978190151573E-2</v>
      </c>
      <c r="AB85" s="93">
        <f t="shared" si="38"/>
        <v>-1.8009257603558058E-2</v>
      </c>
      <c r="AC85" s="93">
        <f t="shared" si="39"/>
        <v>-1.2230147805791722E-2</v>
      </c>
      <c r="AD85" s="93">
        <f t="shared" si="40"/>
        <v>0.14004999711478311</v>
      </c>
      <c r="AE85" s="93">
        <f t="shared" si="41"/>
        <v>-8.6438521898582227E-2</v>
      </c>
      <c r="AF85" s="93">
        <f t="shared" si="42"/>
        <v>-8.4371122306865401E-2</v>
      </c>
      <c r="AG85" s="93">
        <f t="shared" si="43"/>
        <v>-7.7563538239243293E-2</v>
      </c>
      <c r="AH85" s="93">
        <f t="shared" si="44"/>
        <v>-3.3338869688502581E-2</v>
      </c>
      <c r="AI85" s="93">
        <f t="shared" si="45"/>
        <v>-9.7644949638144629E-2</v>
      </c>
    </row>
    <row r="86" spans="1:35" x14ac:dyDescent="0.2">
      <c r="A86" s="86">
        <v>42430</v>
      </c>
      <c r="B86" s="87">
        <v>25.381014</v>
      </c>
      <c r="C86" s="87">
        <v>44.603679999999997</v>
      </c>
      <c r="D86" s="87">
        <v>93.693352000000004</v>
      </c>
      <c r="E86" s="87">
        <v>60.779369000000003</v>
      </c>
      <c r="F86" s="87">
        <v>27.923323</v>
      </c>
      <c r="G86" s="88">
        <v>593.64001499999995</v>
      </c>
      <c r="H86" s="87">
        <v>144.69465600000001</v>
      </c>
      <c r="I86" s="87">
        <v>744.95001200000002</v>
      </c>
      <c r="J86" s="88">
        <v>118.771393</v>
      </c>
      <c r="K86" s="89">
        <v>50.760993999999997</v>
      </c>
      <c r="L86" s="90">
        <v>186.59938</v>
      </c>
      <c r="M86" s="39"/>
      <c r="N86" s="40">
        <f t="shared" si="47"/>
        <v>0.13332737965798813</v>
      </c>
      <c r="O86" s="40">
        <f t="shared" si="47"/>
        <v>0.20003875321094866</v>
      </c>
      <c r="P86" s="40">
        <f t="shared" si="47"/>
        <v>3.9677681044890667E-2</v>
      </c>
      <c r="Q86" s="40">
        <f t="shared" si="47"/>
        <v>3.2409045865613217E-2</v>
      </c>
      <c r="R86" s="40">
        <f t="shared" si="47"/>
        <v>1.5433840670182608E-3</v>
      </c>
      <c r="S86" s="40">
        <f t="shared" si="47"/>
        <v>7.4422633590724763E-2</v>
      </c>
      <c r="T86" s="40">
        <f t="shared" si="47"/>
        <v>5.4384347782175269E-2</v>
      </c>
      <c r="U86" s="40">
        <f t="shared" si="47"/>
        <v>6.7615389953268545E-2</v>
      </c>
      <c r="V86" s="40">
        <f t="shared" si="47"/>
        <v>7.5007732778350933E-2</v>
      </c>
      <c r="W86" s="40">
        <f t="shared" si="46"/>
        <v>9.3288954769242816E-2</v>
      </c>
      <c r="X86" s="40">
        <f t="shared" si="46"/>
        <v>6.178978737714047E-2</v>
      </c>
      <c r="Z86" s="93">
        <f t="shared" si="36"/>
        <v>0.10935838244135633</v>
      </c>
      <c r="AA86" s="93">
        <f t="shared" si="37"/>
        <v>0.19391896764330221</v>
      </c>
      <c r="AB86" s="93">
        <f t="shared" si="38"/>
        <v>2.4799404656595837E-2</v>
      </c>
      <c r="AC86" s="93">
        <f t="shared" si="39"/>
        <v>2.0480243898594E-2</v>
      </c>
      <c r="AD86" s="93">
        <f t="shared" si="40"/>
        <v>-1.8091705233379482E-2</v>
      </c>
      <c r="AE86" s="93">
        <f t="shared" si="41"/>
        <v>4.6723430261137365E-2</v>
      </c>
      <c r="AF86" s="93">
        <f t="shared" si="42"/>
        <v>4.4474849339151232E-2</v>
      </c>
      <c r="AG86" s="93">
        <f t="shared" si="43"/>
        <v>5.0863469279487969E-2</v>
      </c>
      <c r="AH86" s="93">
        <f t="shared" si="44"/>
        <v>5.4709653168028616E-2</v>
      </c>
      <c r="AI86" s="93">
        <f t="shared" si="45"/>
        <v>7.206445783993054E-2</v>
      </c>
    </row>
    <row r="87" spans="1:35" x14ac:dyDescent="0.2">
      <c r="A87" s="86">
        <v>42461</v>
      </c>
      <c r="B87" s="87">
        <v>21.82967</v>
      </c>
      <c r="C87" s="87">
        <v>41.562328000000001</v>
      </c>
      <c r="D87" s="87">
        <v>97.419944999999998</v>
      </c>
      <c r="E87" s="87">
        <v>59.781044000000001</v>
      </c>
      <c r="F87" s="87">
        <v>28.229524999999999</v>
      </c>
      <c r="G87" s="88">
        <v>659.59002699999996</v>
      </c>
      <c r="H87" s="87">
        <v>151.26664700000001</v>
      </c>
      <c r="I87" s="87">
        <v>693.01000999999997</v>
      </c>
      <c r="J87" s="88">
        <v>119.83622</v>
      </c>
      <c r="K87" s="89">
        <v>45.834702</v>
      </c>
      <c r="L87" s="90">
        <v>188.300995</v>
      </c>
      <c r="M87" s="39"/>
      <c r="N87" s="40">
        <f t="shared" si="47"/>
        <v>-0.13992128131681425</v>
      </c>
      <c r="O87" s="40">
        <f t="shared" si="47"/>
        <v>-6.8186122759377632E-2</v>
      </c>
      <c r="P87" s="40">
        <f t="shared" si="47"/>
        <v>3.977435880402691E-2</v>
      </c>
      <c r="Q87" s="40">
        <f t="shared" si="47"/>
        <v>-1.642539263610987E-2</v>
      </c>
      <c r="R87" s="40">
        <f t="shared" si="47"/>
        <v>1.096581520759532E-2</v>
      </c>
      <c r="S87" s="40">
        <f t="shared" si="47"/>
        <v>0.11109428329220705</v>
      </c>
      <c r="T87" s="40">
        <f t="shared" si="47"/>
        <v>4.5419721651641431E-2</v>
      </c>
      <c r="U87" s="40">
        <f t="shared" si="47"/>
        <v>-6.9722801749548813E-2</v>
      </c>
      <c r="V87" s="40">
        <f t="shared" si="47"/>
        <v>8.9653490887320331E-3</v>
      </c>
      <c r="W87" s="40">
        <f t="shared" si="46"/>
        <v>-9.7048769375950306E-2</v>
      </c>
      <c r="X87" s="40">
        <f t="shared" si="46"/>
        <v>9.1190817461450635E-3</v>
      </c>
      <c r="Z87" s="93">
        <f t="shared" si="36"/>
        <v>-0.16389027853344604</v>
      </c>
      <c r="AA87" s="93">
        <f t="shared" si="37"/>
        <v>-7.4305908327024078E-2</v>
      </c>
      <c r="AB87" s="93">
        <f t="shared" si="38"/>
        <v>2.4896082415732081E-2</v>
      </c>
      <c r="AC87" s="93">
        <f t="shared" si="39"/>
        <v>-2.8354194603129088E-2</v>
      </c>
      <c r="AD87" s="93">
        <f t="shared" si="40"/>
        <v>-8.6692740928024231E-3</v>
      </c>
      <c r="AE87" s="93">
        <f t="shared" si="41"/>
        <v>8.3395079962619661E-2</v>
      </c>
      <c r="AF87" s="93">
        <f t="shared" si="42"/>
        <v>3.5510223208617395E-2</v>
      </c>
      <c r="AG87" s="93">
        <f t="shared" si="43"/>
        <v>-8.6474722423329389E-2</v>
      </c>
      <c r="AH87" s="93">
        <f t="shared" si="44"/>
        <v>-1.1332730521590288E-2</v>
      </c>
      <c r="AI87" s="93">
        <f t="shared" si="45"/>
        <v>-0.11827326630526258</v>
      </c>
    </row>
    <row r="88" spans="1:35" x14ac:dyDescent="0.2">
      <c r="A88" s="86">
        <v>42491</v>
      </c>
      <c r="B88" s="87">
        <v>23.254867999999998</v>
      </c>
      <c r="C88" s="87">
        <v>40.311019999999999</v>
      </c>
      <c r="D88" s="87">
        <v>93.608436999999995</v>
      </c>
      <c r="E88" s="87">
        <v>63.276539</v>
      </c>
      <c r="F88" s="87">
        <v>28.308713999999998</v>
      </c>
      <c r="G88" s="88">
        <v>722.78997800000002</v>
      </c>
      <c r="H88" s="87">
        <v>146.999008</v>
      </c>
      <c r="I88" s="87">
        <v>735.71997099999999</v>
      </c>
      <c r="J88" s="88">
        <v>118.252037</v>
      </c>
      <c r="K88" s="89">
        <v>48.711433</v>
      </c>
      <c r="L88" s="90">
        <v>191.50431800000001</v>
      </c>
      <c r="M88" s="39"/>
      <c r="N88" s="40">
        <f t="shared" si="47"/>
        <v>6.5287198569653038E-2</v>
      </c>
      <c r="O88" s="40">
        <f t="shared" si="47"/>
        <v>-3.0106783238898482E-2</v>
      </c>
      <c r="P88" s="40">
        <f t="shared" si="47"/>
        <v>-3.9124513979144626E-2</v>
      </c>
      <c r="Q88" s="40">
        <f t="shared" si="47"/>
        <v>5.8471628565068157E-2</v>
      </c>
      <c r="R88" s="40">
        <f t="shared" si="47"/>
        <v>2.8051835799574043E-3</v>
      </c>
      <c r="S88" s="40">
        <f t="shared" si="47"/>
        <v>9.5817020289786781E-2</v>
      </c>
      <c r="T88" s="40">
        <f t="shared" si="47"/>
        <v>-2.8212689873399532E-2</v>
      </c>
      <c r="U88" s="40">
        <f t="shared" si="47"/>
        <v>6.1629645147549983E-2</v>
      </c>
      <c r="V88" s="40">
        <f t="shared" si="47"/>
        <v>-1.3219567506384977E-2</v>
      </c>
      <c r="W88" s="40">
        <f t="shared" si="46"/>
        <v>6.2763165777754981E-2</v>
      </c>
      <c r="X88" s="40">
        <f t="shared" si="46"/>
        <v>1.7011715737349276E-2</v>
      </c>
      <c r="Z88" s="93">
        <f t="shared" si="36"/>
        <v>4.1318201353021236E-2</v>
      </c>
      <c r="AA88" s="93">
        <f t="shared" si="37"/>
        <v>-3.6226568806544922E-2</v>
      </c>
      <c r="AB88" s="93">
        <f t="shared" si="38"/>
        <v>-5.4002790367439456E-2</v>
      </c>
      <c r="AC88" s="93">
        <f t="shared" si="39"/>
        <v>4.6542826598048939E-2</v>
      </c>
      <c r="AD88" s="93">
        <f t="shared" si="40"/>
        <v>-1.6829905720440339E-2</v>
      </c>
      <c r="AE88" s="93">
        <f t="shared" si="41"/>
        <v>6.811781696019939E-2</v>
      </c>
      <c r="AF88" s="93">
        <f t="shared" si="42"/>
        <v>-3.8122188316423569E-2</v>
      </c>
      <c r="AG88" s="93">
        <f t="shared" si="43"/>
        <v>4.4877724473769406E-2</v>
      </c>
      <c r="AH88" s="93">
        <f t="shared" si="44"/>
        <v>-3.3517647116707294E-2</v>
      </c>
      <c r="AI88" s="93">
        <f t="shared" si="45"/>
        <v>4.1538668848442706E-2</v>
      </c>
    </row>
    <row r="89" spans="1:35" x14ac:dyDescent="0.2">
      <c r="A89" s="86">
        <v>42522</v>
      </c>
      <c r="B89" s="87">
        <v>22.398364999999998</v>
      </c>
      <c r="C89" s="87">
        <v>39.677975000000004</v>
      </c>
      <c r="D89" s="87">
        <v>92.287612999999993</v>
      </c>
      <c r="E89" s="87">
        <v>65.757034000000004</v>
      </c>
      <c r="F89" s="87">
        <v>26.927164000000001</v>
      </c>
      <c r="G89" s="88">
        <v>715.61999500000002</v>
      </c>
      <c r="H89" s="87">
        <v>137.513397</v>
      </c>
      <c r="I89" s="87">
        <v>692.09997599999997</v>
      </c>
      <c r="J89" s="88">
        <v>114.878822</v>
      </c>
      <c r="K89" s="89">
        <v>47.358455999999997</v>
      </c>
      <c r="L89" s="90">
        <v>191.17575099999999</v>
      </c>
      <c r="M89" s="39"/>
      <c r="N89" s="40">
        <f t="shared" si="47"/>
        <v>-3.6831127142927689E-2</v>
      </c>
      <c r="O89" s="40">
        <f t="shared" si="47"/>
        <v>-1.5704018404892661E-2</v>
      </c>
      <c r="P89" s="40">
        <f t="shared" si="47"/>
        <v>-1.4110095653023236E-2</v>
      </c>
      <c r="Q89" s="40">
        <f t="shared" si="47"/>
        <v>3.9200864004271807E-2</v>
      </c>
      <c r="R89" s="40">
        <f t="shared" si="47"/>
        <v>-4.8802994018025569E-2</v>
      </c>
      <c r="S89" s="40">
        <f t="shared" si="47"/>
        <v>-9.9198705270371335E-3</v>
      </c>
      <c r="T89" s="40">
        <f t="shared" si="47"/>
        <v>-6.4528401443362138E-2</v>
      </c>
      <c r="U89" s="40">
        <f t="shared" si="47"/>
        <v>-5.9288855433285548E-2</v>
      </c>
      <c r="V89" s="40">
        <f t="shared" si="47"/>
        <v>-2.852563968940347E-2</v>
      </c>
      <c r="W89" s="40">
        <f t="shared" si="46"/>
        <v>-2.7775347935257932E-2</v>
      </c>
      <c r="X89" s="40">
        <f t="shared" si="46"/>
        <v>-1.7157158827093566E-3</v>
      </c>
      <c r="Z89" s="93">
        <f t="shared" si="36"/>
        <v>-6.080012435955949E-2</v>
      </c>
      <c r="AA89" s="93">
        <f t="shared" si="37"/>
        <v>-2.1823803972539101E-2</v>
      </c>
      <c r="AB89" s="93">
        <f t="shared" si="38"/>
        <v>-2.8988372041318065E-2</v>
      </c>
      <c r="AC89" s="93">
        <f t="shared" si="39"/>
        <v>2.727206203725259E-2</v>
      </c>
      <c r="AD89" s="93">
        <f t="shared" si="40"/>
        <v>-6.8438083318423312E-2</v>
      </c>
      <c r="AE89" s="93">
        <f t="shared" si="41"/>
        <v>-3.7619073856624531E-2</v>
      </c>
      <c r="AF89" s="93">
        <f t="shared" si="42"/>
        <v>-7.4437899886386175E-2</v>
      </c>
      <c r="AG89" s="93">
        <f t="shared" si="43"/>
        <v>-7.6040776107066124E-2</v>
      </c>
      <c r="AH89" s="93">
        <f t="shared" si="44"/>
        <v>-4.8823719299725787E-2</v>
      </c>
      <c r="AI89" s="93">
        <f t="shared" si="45"/>
        <v>-4.8999844864570208E-2</v>
      </c>
    </row>
    <row r="90" spans="1:35" x14ac:dyDescent="0.2">
      <c r="A90" s="86">
        <v>42552</v>
      </c>
      <c r="B90" s="87">
        <v>24.415627000000001</v>
      </c>
      <c r="C90" s="87">
        <v>46.35228</v>
      </c>
      <c r="D90" s="87">
        <v>90.523369000000002</v>
      </c>
      <c r="E90" s="87">
        <v>65.712012999999999</v>
      </c>
      <c r="F90" s="87">
        <v>29.844707</v>
      </c>
      <c r="G90" s="88">
        <v>758.80999799999995</v>
      </c>
      <c r="H90" s="87">
        <v>146.98147599999999</v>
      </c>
      <c r="I90" s="87">
        <v>768.78997800000002</v>
      </c>
      <c r="J90" s="88">
        <v>124.370369</v>
      </c>
      <c r="K90" s="89">
        <v>52.458019</v>
      </c>
      <c r="L90" s="90">
        <v>199.178619</v>
      </c>
      <c r="M90" s="39"/>
      <c r="N90" s="40">
        <f t="shared" si="47"/>
        <v>9.006291307423564E-2</v>
      </c>
      <c r="O90" s="40">
        <f t="shared" si="47"/>
        <v>0.1682118354074269</v>
      </c>
      <c r="P90" s="40">
        <f t="shared" si="47"/>
        <v>-1.9116801731560606E-2</v>
      </c>
      <c r="Q90" s="40">
        <f t="shared" si="47"/>
        <v>-6.8465679276230595E-4</v>
      </c>
      <c r="R90" s="40">
        <f t="shared" si="47"/>
        <v>0.10834943479380144</v>
      </c>
      <c r="S90" s="40">
        <f t="shared" si="47"/>
        <v>6.0353264723968403E-2</v>
      </c>
      <c r="T90" s="40">
        <f t="shared" si="47"/>
        <v>6.8852047920828996E-2</v>
      </c>
      <c r="U90" s="40">
        <f t="shared" si="47"/>
        <v>0.11080769348271158</v>
      </c>
      <c r="V90" s="40">
        <f t="shared" si="47"/>
        <v>8.262225216759278E-2</v>
      </c>
      <c r="W90" s="40">
        <f t="shared" si="46"/>
        <v>0.1076800941314473</v>
      </c>
      <c r="X90" s="40">
        <f t="shared" si="46"/>
        <v>4.1861313258290789E-2</v>
      </c>
      <c r="Z90" s="93">
        <f t="shared" si="36"/>
        <v>6.6093915857603838E-2</v>
      </c>
      <c r="AA90" s="93">
        <f t="shared" si="37"/>
        <v>0.16209204983978046</v>
      </c>
      <c r="AB90" s="93">
        <f t="shared" si="38"/>
        <v>-3.3995078119855436E-2</v>
      </c>
      <c r="AC90" s="93">
        <f t="shared" si="39"/>
        <v>-1.2613458759781523E-2</v>
      </c>
      <c r="AD90" s="93">
        <f t="shared" si="40"/>
        <v>8.8714345493403693E-2</v>
      </c>
      <c r="AE90" s="93">
        <f t="shared" si="41"/>
        <v>3.2654061394381005E-2</v>
      </c>
      <c r="AF90" s="93">
        <f t="shared" si="42"/>
        <v>5.8942549477804959E-2</v>
      </c>
      <c r="AG90" s="93">
        <f t="shared" si="43"/>
        <v>9.4055772808931001E-2</v>
      </c>
      <c r="AH90" s="93">
        <f t="shared" si="44"/>
        <v>6.2324172557270463E-2</v>
      </c>
      <c r="AI90" s="93">
        <f t="shared" si="45"/>
        <v>8.6455597202135026E-2</v>
      </c>
    </row>
    <row r="91" spans="1:35" x14ac:dyDescent="0.2">
      <c r="A91" s="86">
        <v>42583</v>
      </c>
      <c r="B91" s="87">
        <v>24.858431</v>
      </c>
      <c r="C91" s="87">
        <v>46.159584000000002</v>
      </c>
      <c r="D91" s="87">
        <v>89.765015000000005</v>
      </c>
      <c r="E91" s="87">
        <v>64.334175000000002</v>
      </c>
      <c r="F91" s="87">
        <v>34.179290999999999</v>
      </c>
      <c r="G91" s="88">
        <v>769.15997300000004</v>
      </c>
      <c r="H91" s="87">
        <v>156.838165</v>
      </c>
      <c r="I91" s="87">
        <v>767.04998799999998</v>
      </c>
      <c r="J91" s="88">
        <v>120.663719</v>
      </c>
      <c r="K91" s="89">
        <v>53.179924</v>
      </c>
      <c r="L91" s="90">
        <v>199.41716</v>
      </c>
      <c r="M91" s="39"/>
      <c r="N91" s="40">
        <f t="shared" si="47"/>
        <v>1.8136089644554154E-2</v>
      </c>
      <c r="O91" s="40">
        <f t="shared" si="47"/>
        <v>-4.1572065063465446E-3</v>
      </c>
      <c r="P91" s="40">
        <f t="shared" si="47"/>
        <v>-8.3774389793203063E-3</v>
      </c>
      <c r="Q91" s="40">
        <f t="shared" si="47"/>
        <v>-2.0967825167675147E-2</v>
      </c>
      <c r="R91" s="40">
        <f t="shared" si="47"/>
        <v>0.14523794788804589</v>
      </c>
      <c r="S91" s="40">
        <f t="shared" si="47"/>
        <v>1.363974516318911E-2</v>
      </c>
      <c r="T91" s="40">
        <f t="shared" si="47"/>
        <v>6.7060756690183299E-2</v>
      </c>
      <c r="U91" s="40">
        <f t="shared" si="47"/>
        <v>-2.2632839264198346E-3</v>
      </c>
      <c r="V91" s="40">
        <f t="shared" si="47"/>
        <v>-2.9803320757213481E-2</v>
      </c>
      <c r="W91" s="40">
        <f t="shared" si="46"/>
        <v>1.3761575708758578E-2</v>
      </c>
      <c r="X91" s="40">
        <f t="shared" si="46"/>
        <v>1.1976235260471313E-3</v>
      </c>
      <c r="Z91" s="93">
        <f t="shared" ref="Z91:Z144" si="48">N91-N$18</f>
        <v>-5.832907572077644E-3</v>
      </c>
      <c r="AA91" s="93">
        <f t="shared" si="37"/>
        <v>-1.0276992073992986E-2</v>
      </c>
      <c r="AB91" s="93">
        <f t="shared" si="38"/>
        <v>-2.3255715367615136E-2</v>
      </c>
      <c r="AC91" s="93">
        <f t="shared" si="39"/>
        <v>-3.2896627134694365E-2</v>
      </c>
      <c r="AD91" s="93">
        <f t="shared" si="40"/>
        <v>0.12560285858764814</v>
      </c>
      <c r="AE91" s="93">
        <f t="shared" si="41"/>
        <v>-1.4059458166398288E-2</v>
      </c>
      <c r="AF91" s="93">
        <f t="shared" si="42"/>
        <v>5.7151258247159262E-2</v>
      </c>
      <c r="AG91" s="93">
        <f t="shared" si="43"/>
        <v>-1.9015204600200408E-2</v>
      </c>
      <c r="AH91" s="93">
        <f t="shared" si="44"/>
        <v>-5.0101400367535798E-2</v>
      </c>
      <c r="AI91" s="93">
        <f t="shared" si="45"/>
        <v>-7.4629212205536942E-3</v>
      </c>
    </row>
    <row r="92" spans="1:35" x14ac:dyDescent="0.2">
      <c r="A92" s="86">
        <v>42614</v>
      </c>
      <c r="B92" s="87">
        <v>26.630254999999998</v>
      </c>
      <c r="C92" s="87">
        <v>46.06324</v>
      </c>
      <c r="D92" s="87">
        <v>88.244536999999994</v>
      </c>
      <c r="E92" s="87">
        <v>65.391159000000002</v>
      </c>
      <c r="F92" s="87">
        <v>33.912823000000003</v>
      </c>
      <c r="G92" s="88">
        <v>837.30999799999995</v>
      </c>
      <c r="H92" s="87">
        <v>149.841904</v>
      </c>
      <c r="I92" s="87">
        <v>777.28997800000002</v>
      </c>
      <c r="J92" s="88">
        <v>116.36318199999999</v>
      </c>
      <c r="K92" s="89">
        <v>53.641758000000003</v>
      </c>
      <c r="L92" s="90">
        <v>198.42639199999999</v>
      </c>
      <c r="M92" s="39"/>
      <c r="N92" s="40">
        <f t="shared" si="47"/>
        <v>7.1276582178497083E-2</v>
      </c>
      <c r="O92" s="40">
        <f t="shared" si="47"/>
        <v>-2.0871938533935097E-3</v>
      </c>
      <c r="P92" s="40">
        <f t="shared" si="47"/>
        <v>-1.6938425287401859E-2</v>
      </c>
      <c r="Q92" s="40">
        <f t="shared" ref="Q92:X132" si="49">(E92/E91)-1</f>
        <v>1.6429588162123698E-2</v>
      </c>
      <c r="R92" s="40">
        <f t="shared" si="49"/>
        <v>-7.7961827821412255E-3</v>
      </c>
      <c r="S92" s="40">
        <f t="shared" si="49"/>
        <v>8.8603187103185155E-2</v>
      </c>
      <c r="T92" s="40">
        <f t="shared" si="49"/>
        <v>-4.4608153889074131E-2</v>
      </c>
      <c r="U92" s="40">
        <f t="shared" si="49"/>
        <v>1.3349833987612358E-2</v>
      </c>
      <c r="V92" s="40">
        <f t="shared" si="49"/>
        <v>-3.5640680029098148E-2</v>
      </c>
      <c r="W92" s="40">
        <f t="shared" si="46"/>
        <v>8.6843674315895125E-3</v>
      </c>
      <c r="X92" s="40">
        <f t="shared" si="46"/>
        <v>-4.9683186742806029E-3</v>
      </c>
      <c r="Z92" s="93">
        <f t="shared" si="48"/>
        <v>4.7307584961865282E-2</v>
      </c>
      <c r="AA92" s="93">
        <f t="shared" si="37"/>
        <v>-8.2069794210399508E-3</v>
      </c>
      <c r="AB92" s="93">
        <f t="shared" si="38"/>
        <v>-3.1816701675696689E-2</v>
      </c>
      <c r="AC92" s="93">
        <f t="shared" si="39"/>
        <v>4.5007861951044809E-3</v>
      </c>
      <c r="AD92" s="93">
        <f t="shared" si="40"/>
        <v>-2.7431272082538968E-2</v>
      </c>
      <c r="AE92" s="93">
        <f t="shared" si="41"/>
        <v>6.0903983773597757E-2</v>
      </c>
      <c r="AF92" s="93">
        <f t="shared" si="42"/>
        <v>-5.4517652332098168E-2</v>
      </c>
      <c r="AG92" s="93">
        <f t="shared" si="43"/>
        <v>-3.4020866861682146E-3</v>
      </c>
      <c r="AH92" s="93">
        <f t="shared" si="44"/>
        <v>-5.5938759639420466E-2</v>
      </c>
      <c r="AI92" s="93">
        <f t="shared" si="45"/>
        <v>-1.2540129497722759E-2</v>
      </c>
    </row>
    <row r="93" spans="1:35" x14ac:dyDescent="0.2">
      <c r="A93" s="86">
        <v>42644</v>
      </c>
      <c r="B93" s="87">
        <v>26.745678000000002</v>
      </c>
      <c r="C93" s="87">
        <v>50.279404</v>
      </c>
      <c r="D93" s="87">
        <v>88.082977</v>
      </c>
      <c r="E93" s="87">
        <v>63.487053000000003</v>
      </c>
      <c r="F93" s="87">
        <v>34.818320999999997</v>
      </c>
      <c r="G93" s="88">
        <v>789.82000700000003</v>
      </c>
      <c r="H93" s="87">
        <v>165.60936000000001</v>
      </c>
      <c r="I93" s="87">
        <v>784.53997800000002</v>
      </c>
      <c r="J93" s="88">
        <v>110.331604</v>
      </c>
      <c r="K93" s="89">
        <v>55.802329999999998</v>
      </c>
      <c r="L93" s="90">
        <v>195.97122200000001</v>
      </c>
      <c r="M93" s="39"/>
      <c r="N93" s="40">
        <f t="shared" ref="N93:U144" si="50">(B93/B92)-1</f>
        <v>4.334280689388903E-3</v>
      </c>
      <c r="O93" s="40">
        <f t="shared" si="50"/>
        <v>9.1529905408303858E-2</v>
      </c>
      <c r="P93" s="40">
        <f t="shared" si="50"/>
        <v>-1.8308215498937797E-3</v>
      </c>
      <c r="Q93" s="40">
        <f t="shared" si="49"/>
        <v>-2.9118707010530209E-2</v>
      </c>
      <c r="R93" s="40">
        <f t="shared" si="49"/>
        <v>2.6700755640425289E-2</v>
      </c>
      <c r="S93" s="40">
        <f t="shared" si="49"/>
        <v>-5.6717334217236903E-2</v>
      </c>
      <c r="T93" s="40">
        <f t="shared" si="49"/>
        <v>0.10522728008047744</v>
      </c>
      <c r="U93" s="40">
        <f t="shared" si="49"/>
        <v>9.327278371264347E-3</v>
      </c>
      <c r="V93" s="40">
        <f t="shared" si="49"/>
        <v>-5.1834075833367965E-2</v>
      </c>
      <c r="W93" s="40">
        <f t="shared" si="46"/>
        <v>4.0277799993057473E-2</v>
      </c>
      <c r="X93" s="40">
        <f t="shared" si="46"/>
        <v>-1.2373202854991106E-2</v>
      </c>
      <c r="Z93" s="93">
        <f t="shared" si="48"/>
        <v>-1.9634716527242895E-2</v>
      </c>
      <c r="AA93" s="93">
        <f t="shared" si="37"/>
        <v>8.5410119840657411E-2</v>
      </c>
      <c r="AB93" s="93">
        <f t="shared" si="38"/>
        <v>-1.6709097938188609E-2</v>
      </c>
      <c r="AC93" s="93">
        <f t="shared" si="39"/>
        <v>-4.1047508977549427E-2</v>
      </c>
      <c r="AD93" s="93">
        <f t="shared" si="40"/>
        <v>7.065666340027546E-3</v>
      </c>
      <c r="AE93" s="93">
        <f t="shared" si="41"/>
        <v>-8.4416537546824294E-2</v>
      </c>
      <c r="AF93" s="93">
        <f t="shared" si="42"/>
        <v>9.53177816374534E-2</v>
      </c>
      <c r="AG93" s="93">
        <f t="shared" si="43"/>
        <v>-7.424642302516226E-3</v>
      </c>
      <c r="AH93" s="93">
        <f t="shared" si="44"/>
        <v>-7.2132155443690282E-2</v>
      </c>
      <c r="AI93" s="93">
        <f t="shared" si="45"/>
        <v>1.9053303063745201E-2</v>
      </c>
    </row>
    <row r="94" spans="1:35" x14ac:dyDescent="0.2">
      <c r="A94" s="86">
        <v>42675</v>
      </c>
      <c r="B94" s="87">
        <v>26.034281</v>
      </c>
      <c r="C94" s="87">
        <v>53.691921000000001</v>
      </c>
      <c r="D94" s="87">
        <v>94.193404999999998</v>
      </c>
      <c r="E94" s="87">
        <v>63.858822000000004</v>
      </c>
      <c r="F94" s="87">
        <v>40.894314000000001</v>
      </c>
      <c r="G94" s="88">
        <v>750.57000700000003</v>
      </c>
      <c r="H94" s="87">
        <v>203.750427</v>
      </c>
      <c r="I94" s="87">
        <v>758.03997800000002</v>
      </c>
      <c r="J94" s="88">
        <v>117.014267</v>
      </c>
      <c r="K94" s="89">
        <v>56.118965000000003</v>
      </c>
      <c r="L94" s="90">
        <v>203.190506</v>
      </c>
      <c r="M94" s="39"/>
      <c r="N94" s="40">
        <f t="shared" si="50"/>
        <v>-2.6598577908550358E-2</v>
      </c>
      <c r="O94" s="40">
        <f t="shared" si="50"/>
        <v>6.7871071025424223E-2</v>
      </c>
      <c r="P94" s="40">
        <f t="shared" si="50"/>
        <v>6.9371270228525628E-2</v>
      </c>
      <c r="Q94" s="40">
        <f t="shared" si="49"/>
        <v>5.8558238638042326E-3</v>
      </c>
      <c r="R94" s="40">
        <f t="shared" si="49"/>
        <v>0.17450562880387044</v>
      </c>
      <c r="S94" s="40">
        <f t="shared" si="49"/>
        <v>-4.9694866744493638E-2</v>
      </c>
      <c r="T94" s="40">
        <f t="shared" si="49"/>
        <v>0.23030743552176025</v>
      </c>
      <c r="U94" s="40">
        <f t="shared" si="49"/>
        <v>-3.3777756064841347E-2</v>
      </c>
      <c r="V94" s="40">
        <f t="shared" si="49"/>
        <v>6.0568891937798686E-2</v>
      </c>
      <c r="W94" s="40">
        <f t="shared" si="46"/>
        <v>5.674225431088642E-3</v>
      </c>
      <c r="X94" s="40">
        <f t="shared" si="46"/>
        <v>3.6838490500406218E-2</v>
      </c>
      <c r="Z94" s="93">
        <f t="shared" si="48"/>
        <v>-5.056757512518216E-2</v>
      </c>
      <c r="AA94" s="93">
        <f t="shared" si="37"/>
        <v>6.1751285457777784E-2</v>
      </c>
      <c r="AB94" s="93">
        <f t="shared" si="38"/>
        <v>5.4492993840230798E-2</v>
      </c>
      <c r="AC94" s="93">
        <f t="shared" si="39"/>
        <v>-6.0729781032149849E-3</v>
      </c>
      <c r="AD94" s="93">
        <f t="shared" si="40"/>
        <v>0.15487053950347268</v>
      </c>
      <c r="AE94" s="93">
        <f t="shared" si="41"/>
        <v>-7.7394070074081028E-2</v>
      </c>
      <c r="AF94" s="93">
        <f t="shared" si="42"/>
        <v>0.2203979370787362</v>
      </c>
      <c r="AG94" s="93">
        <f t="shared" si="43"/>
        <v>-5.0529676738621923E-2</v>
      </c>
      <c r="AH94" s="93">
        <f t="shared" si="44"/>
        <v>4.0270812327476369E-2</v>
      </c>
      <c r="AI94" s="93">
        <f t="shared" si="45"/>
        <v>-1.555027149822363E-2</v>
      </c>
    </row>
    <row r="95" spans="1:35" x14ac:dyDescent="0.2">
      <c r="A95" s="86">
        <v>42705</v>
      </c>
      <c r="B95" s="87">
        <v>27.422834000000002</v>
      </c>
      <c r="C95" s="87">
        <v>51.443362999999998</v>
      </c>
      <c r="D95" s="87">
        <v>99.039901999999998</v>
      </c>
      <c r="E95" s="87">
        <v>62.671042999999997</v>
      </c>
      <c r="F95" s="87">
        <v>38.182934000000003</v>
      </c>
      <c r="G95" s="88">
        <v>768.65997300000004</v>
      </c>
      <c r="H95" s="87">
        <v>223.171448</v>
      </c>
      <c r="I95" s="87">
        <v>771.82000700000003</v>
      </c>
      <c r="J95" s="88">
        <v>121.890129</v>
      </c>
      <c r="K95" s="89">
        <v>58.260711999999998</v>
      </c>
      <c r="L95" s="90">
        <v>206.09477200000001</v>
      </c>
      <c r="M95" s="39"/>
      <c r="N95" s="40">
        <f t="shared" si="50"/>
        <v>5.3335561677313237E-2</v>
      </c>
      <c r="O95" s="40">
        <f t="shared" si="50"/>
        <v>-4.1878889004548836E-2</v>
      </c>
      <c r="P95" s="40">
        <f t="shared" si="50"/>
        <v>5.145261496810738E-2</v>
      </c>
      <c r="Q95" s="40">
        <f t="shared" si="49"/>
        <v>-1.8600076900886275E-2</v>
      </c>
      <c r="R95" s="40">
        <f t="shared" si="49"/>
        <v>-6.6302126990074872E-2</v>
      </c>
      <c r="S95" s="40">
        <f t="shared" si="49"/>
        <v>2.4101637197448067E-2</v>
      </c>
      <c r="T95" s="40">
        <f t="shared" si="49"/>
        <v>9.531769472070839E-2</v>
      </c>
      <c r="U95" s="40">
        <f t="shared" si="49"/>
        <v>1.8178499023701944E-2</v>
      </c>
      <c r="V95" s="40">
        <f t="shared" si="49"/>
        <v>4.1668953068774162E-2</v>
      </c>
      <c r="W95" s="40">
        <f t="shared" si="46"/>
        <v>3.816440663151921E-2</v>
      </c>
      <c r="X95" s="40">
        <f t="shared" si="46"/>
        <v>1.4293315456382683E-2</v>
      </c>
      <c r="Z95" s="93">
        <f t="shared" si="48"/>
        <v>2.9366564460681439E-2</v>
      </c>
      <c r="AA95" s="93">
        <f t="shared" si="37"/>
        <v>-4.7998674572195275E-2</v>
      </c>
      <c r="AB95" s="93">
        <f t="shared" si="38"/>
        <v>3.657433857981255E-2</v>
      </c>
      <c r="AC95" s="93">
        <f t="shared" si="39"/>
        <v>-3.0528878867905493E-2</v>
      </c>
      <c r="AD95" s="93">
        <f t="shared" si="40"/>
        <v>-8.5937216290472615E-2</v>
      </c>
      <c r="AE95" s="93">
        <f t="shared" si="41"/>
        <v>-3.5975661321393307E-3</v>
      </c>
      <c r="AF95" s="93">
        <f t="shared" si="42"/>
        <v>8.5408196277684353E-2</v>
      </c>
      <c r="AG95" s="93">
        <f t="shared" si="43"/>
        <v>1.4265783499213709E-3</v>
      </c>
      <c r="AH95" s="93">
        <f t="shared" si="44"/>
        <v>2.1370873458451841E-2</v>
      </c>
      <c r="AI95" s="93">
        <f t="shared" si="45"/>
        <v>1.6939909702206938E-2</v>
      </c>
    </row>
    <row r="96" spans="1:35" x14ac:dyDescent="0.2">
      <c r="A96" s="86">
        <v>42736</v>
      </c>
      <c r="B96" s="87">
        <v>28.732175999999999</v>
      </c>
      <c r="C96" s="87">
        <v>50.587017000000003</v>
      </c>
      <c r="D96" s="87">
        <v>105.960678</v>
      </c>
      <c r="E96" s="87">
        <v>60.946185999999997</v>
      </c>
      <c r="F96" s="87">
        <v>40.078082999999999</v>
      </c>
      <c r="G96" s="88">
        <v>823.47997999999995</v>
      </c>
      <c r="H96" s="87">
        <v>213.730118</v>
      </c>
      <c r="I96" s="87">
        <v>796.78997800000002</v>
      </c>
      <c r="J96" s="88">
        <v>125.07189200000001</v>
      </c>
      <c r="K96" s="89">
        <v>60.614021000000001</v>
      </c>
      <c r="L96" s="90">
        <v>211.01925700000001</v>
      </c>
      <c r="M96" s="39"/>
      <c r="N96" s="40">
        <f t="shared" si="50"/>
        <v>4.7746414539066029E-2</v>
      </c>
      <c r="O96" s="40">
        <f t="shared" si="50"/>
        <v>-1.6646384490842769E-2</v>
      </c>
      <c r="P96" s="40">
        <f t="shared" si="50"/>
        <v>6.9878663652151118E-2</v>
      </c>
      <c r="Q96" s="40">
        <f t="shared" si="49"/>
        <v>-2.7522391800627877E-2</v>
      </c>
      <c r="R96" s="40">
        <f t="shared" si="49"/>
        <v>4.9633404284751936E-2</v>
      </c>
      <c r="S96" s="40">
        <f t="shared" si="49"/>
        <v>7.1318930249539392E-2</v>
      </c>
      <c r="T96" s="40">
        <f t="shared" si="49"/>
        <v>-4.2305277330996205E-2</v>
      </c>
      <c r="U96" s="40">
        <f t="shared" si="49"/>
        <v>3.2352064954957793E-2</v>
      </c>
      <c r="V96" s="40">
        <f t="shared" si="49"/>
        <v>2.6103532961229359E-2</v>
      </c>
      <c r="W96" s="40">
        <f t="shared" si="46"/>
        <v>4.0392726405403367E-2</v>
      </c>
      <c r="X96" s="40">
        <f t="shared" si="46"/>
        <v>2.3894274232244994E-2</v>
      </c>
      <c r="Z96" s="93">
        <f t="shared" si="48"/>
        <v>2.3777417322434231E-2</v>
      </c>
      <c r="AA96" s="93">
        <f t="shared" si="37"/>
        <v>-2.2766170058489209E-2</v>
      </c>
      <c r="AB96" s="93">
        <f t="shared" si="38"/>
        <v>5.5000387263856289E-2</v>
      </c>
      <c r="AC96" s="93">
        <f t="shared" si="39"/>
        <v>-3.9451193767647094E-2</v>
      </c>
      <c r="AD96" s="93">
        <f t="shared" si="40"/>
        <v>2.9998314984354194E-2</v>
      </c>
      <c r="AE96" s="93">
        <f t="shared" si="41"/>
        <v>4.3619726919951994E-2</v>
      </c>
      <c r="AF96" s="93">
        <f t="shared" si="42"/>
        <v>-5.2214775774020242E-2</v>
      </c>
      <c r="AG96" s="93">
        <f t="shared" si="43"/>
        <v>1.560014428117722E-2</v>
      </c>
      <c r="AH96" s="93">
        <f t="shared" si="44"/>
        <v>5.8054533509070382E-3</v>
      </c>
      <c r="AI96" s="93">
        <f t="shared" si="45"/>
        <v>1.9168229476091096E-2</v>
      </c>
    </row>
    <row r="97" spans="1:35" x14ac:dyDescent="0.2">
      <c r="A97" s="86">
        <v>42767</v>
      </c>
      <c r="B97" s="87">
        <v>32.435284000000003</v>
      </c>
      <c r="C97" s="87">
        <v>50.001677999999998</v>
      </c>
      <c r="D97" s="87">
        <v>105.424408</v>
      </c>
      <c r="E97" s="87">
        <v>64.772475999999997</v>
      </c>
      <c r="F97" s="87">
        <v>39.726993999999998</v>
      </c>
      <c r="G97" s="88">
        <v>845.03997800000002</v>
      </c>
      <c r="H97" s="87">
        <v>231.19612100000001</v>
      </c>
      <c r="I97" s="87">
        <v>823.21002199999998</v>
      </c>
      <c r="J97" s="88">
        <v>131.735535</v>
      </c>
      <c r="K97" s="89">
        <v>59.985847</v>
      </c>
      <c r="L97" s="90">
        <v>219.31054700000001</v>
      </c>
      <c r="M97" s="39"/>
      <c r="N97" s="40">
        <f t="shared" si="50"/>
        <v>0.12888365990797235</v>
      </c>
      <c r="O97" s="40">
        <f t="shared" si="50"/>
        <v>-1.1570933308837072E-2</v>
      </c>
      <c r="P97" s="40">
        <f t="shared" si="50"/>
        <v>-5.0610283939481748E-3</v>
      </c>
      <c r="Q97" s="40">
        <f t="shared" si="49"/>
        <v>6.2781451164146684E-2</v>
      </c>
      <c r="R97" s="40">
        <f t="shared" si="49"/>
        <v>-8.7601245798109018E-3</v>
      </c>
      <c r="S97" s="40">
        <f t="shared" si="49"/>
        <v>2.6181569101412894E-2</v>
      </c>
      <c r="T97" s="40">
        <f t="shared" si="49"/>
        <v>8.1719895929688313E-2</v>
      </c>
      <c r="U97" s="40">
        <f t="shared" si="49"/>
        <v>3.315810279933018E-2</v>
      </c>
      <c r="V97" s="40">
        <f t="shared" si="49"/>
        <v>5.3278501615694696E-2</v>
      </c>
      <c r="W97" s="40">
        <f t="shared" si="46"/>
        <v>-1.0363509789261482E-2</v>
      </c>
      <c r="X97" s="40">
        <f t="shared" si="46"/>
        <v>3.9291627303947863E-2</v>
      </c>
      <c r="Z97" s="93">
        <f t="shared" si="48"/>
        <v>0.10491466269134055</v>
      </c>
      <c r="AA97" s="93">
        <f t="shared" si="37"/>
        <v>-1.7690718876483512E-2</v>
      </c>
      <c r="AB97" s="93">
        <f t="shared" si="38"/>
        <v>-1.9939304782243004E-2</v>
      </c>
      <c r="AC97" s="93">
        <f t="shared" si="39"/>
        <v>5.0852649197127467E-2</v>
      </c>
      <c r="AD97" s="93">
        <f t="shared" si="40"/>
        <v>-2.8395213880208645E-2</v>
      </c>
      <c r="AE97" s="93">
        <f t="shared" si="41"/>
        <v>-1.5176342281745039E-3</v>
      </c>
      <c r="AF97" s="93">
        <f t="shared" si="42"/>
        <v>7.1810397486664276E-2</v>
      </c>
      <c r="AG97" s="93">
        <f t="shared" si="43"/>
        <v>1.6406182125549607E-2</v>
      </c>
      <c r="AH97" s="93">
        <f t="shared" si="44"/>
        <v>3.2980422005372378E-2</v>
      </c>
      <c r="AI97" s="93">
        <f t="shared" si="45"/>
        <v>-3.1588006718573758E-2</v>
      </c>
    </row>
    <row r="98" spans="1:35" x14ac:dyDescent="0.2">
      <c r="A98" s="86">
        <v>42795</v>
      </c>
      <c r="B98" s="87">
        <v>34.162018000000003</v>
      </c>
      <c r="C98" s="87">
        <v>53.999321000000002</v>
      </c>
      <c r="D98" s="87">
        <v>108.584564</v>
      </c>
      <c r="E98" s="87">
        <v>65.822638999999995</v>
      </c>
      <c r="F98" s="87">
        <v>44.246124000000002</v>
      </c>
      <c r="G98" s="88">
        <v>886.53997800000002</v>
      </c>
      <c r="H98" s="87">
        <v>214.66253699999999</v>
      </c>
      <c r="I98" s="87">
        <v>829.55999799999995</v>
      </c>
      <c r="J98" s="88">
        <v>133.480942</v>
      </c>
      <c r="K98" s="89">
        <v>62.122833</v>
      </c>
      <c r="L98" s="90">
        <v>218.633499</v>
      </c>
      <c r="M98" s="39"/>
      <c r="N98" s="40">
        <f t="shared" si="50"/>
        <v>5.3236284288431079E-2</v>
      </c>
      <c r="O98" s="40">
        <f t="shared" si="50"/>
        <v>7.9950176872064294E-2</v>
      </c>
      <c r="P98" s="40">
        <f t="shared" si="50"/>
        <v>2.9975563154217566E-2</v>
      </c>
      <c r="Q98" s="40">
        <f t="shared" si="49"/>
        <v>1.6213105702490127E-2</v>
      </c>
      <c r="R98" s="40">
        <f t="shared" si="49"/>
        <v>0.11375464249824696</v>
      </c>
      <c r="S98" s="40">
        <f t="shared" si="49"/>
        <v>4.9110102575525616E-2</v>
      </c>
      <c r="T98" s="40">
        <f t="shared" si="49"/>
        <v>-7.1513241348889367E-2</v>
      </c>
      <c r="U98" s="40">
        <f t="shared" si="49"/>
        <v>7.7136767414136553E-3</v>
      </c>
      <c r="V98" s="40">
        <f t="shared" si="49"/>
        <v>1.3249325628047037E-2</v>
      </c>
      <c r="W98" s="40">
        <f t="shared" si="46"/>
        <v>3.5624836638548985E-2</v>
      </c>
      <c r="X98" s="40">
        <f t="shared" si="46"/>
        <v>-3.0871657075389747E-3</v>
      </c>
      <c r="Z98" s="93">
        <f t="shared" si="48"/>
        <v>2.9267287071799281E-2</v>
      </c>
      <c r="AA98" s="93">
        <f t="shared" si="37"/>
        <v>7.3830391304417847E-2</v>
      </c>
      <c r="AB98" s="93">
        <f t="shared" si="38"/>
        <v>1.5097286765922736E-2</v>
      </c>
      <c r="AC98" s="93">
        <f t="shared" si="39"/>
        <v>4.2843037354709096E-3</v>
      </c>
      <c r="AD98" s="93">
        <f t="shared" si="40"/>
        <v>9.4119553197849218E-2</v>
      </c>
      <c r="AE98" s="93">
        <f t="shared" si="41"/>
        <v>2.1410899245938218E-2</v>
      </c>
      <c r="AF98" s="93">
        <f t="shared" si="42"/>
        <v>-8.1422739791913404E-2</v>
      </c>
      <c r="AG98" s="93">
        <f t="shared" si="43"/>
        <v>-9.0382439323669177E-3</v>
      </c>
      <c r="AH98" s="93">
        <f t="shared" si="44"/>
        <v>-7.0487539822752833E-3</v>
      </c>
      <c r="AI98" s="93">
        <f t="shared" si="45"/>
        <v>1.4400339709236713E-2</v>
      </c>
    </row>
    <row r="99" spans="1:35" x14ac:dyDescent="0.2">
      <c r="A99" s="86">
        <v>42826</v>
      </c>
      <c r="B99" s="87">
        <v>34.159636999999996</v>
      </c>
      <c r="C99" s="87">
        <v>50.705803000000003</v>
      </c>
      <c r="D99" s="87">
        <v>110.700897</v>
      </c>
      <c r="E99" s="87">
        <v>69.158317999999994</v>
      </c>
      <c r="F99" s="87">
        <v>46.990020999999999</v>
      </c>
      <c r="G99" s="88">
        <v>924.98999000000003</v>
      </c>
      <c r="H99" s="87">
        <v>209.130585</v>
      </c>
      <c r="I99" s="87">
        <v>905.96002199999998</v>
      </c>
      <c r="J99" s="88">
        <v>142.77179000000001</v>
      </c>
      <c r="K99" s="89">
        <v>64.575301999999994</v>
      </c>
      <c r="L99" s="90">
        <v>221.76428200000001</v>
      </c>
      <c r="M99" s="39"/>
      <c r="N99" s="40">
        <f t="shared" si="50"/>
        <v>-6.9697287789272089E-5</v>
      </c>
      <c r="O99" s="40">
        <f t="shared" si="50"/>
        <v>-6.0991840990000545E-2</v>
      </c>
      <c r="P99" s="40">
        <f t="shared" si="50"/>
        <v>1.9490182785096399E-2</v>
      </c>
      <c r="Q99" s="40">
        <f t="shared" si="49"/>
        <v>5.0676773989569046E-2</v>
      </c>
      <c r="R99" s="40">
        <f t="shared" si="49"/>
        <v>6.2014403792747919E-2</v>
      </c>
      <c r="S99" s="40">
        <f t="shared" si="49"/>
        <v>4.3370872102961089E-2</v>
      </c>
      <c r="T99" s="40">
        <f t="shared" si="49"/>
        <v>-2.57704584941153E-2</v>
      </c>
      <c r="U99" s="40">
        <f t="shared" si="49"/>
        <v>9.2097044438249398E-2</v>
      </c>
      <c r="V99" s="40">
        <f t="shared" si="49"/>
        <v>6.9604303511732857E-2</v>
      </c>
      <c r="W99" s="40">
        <f t="shared" si="46"/>
        <v>3.947773920741815E-2</v>
      </c>
      <c r="X99" s="40">
        <f t="shared" si="46"/>
        <v>1.4319777226819319E-2</v>
      </c>
      <c r="Z99" s="93">
        <f t="shared" si="48"/>
        <v>-2.403869450442107E-2</v>
      </c>
      <c r="AA99" s="93">
        <f t="shared" si="37"/>
        <v>-6.7111626557646992E-2</v>
      </c>
      <c r="AB99" s="93">
        <f t="shared" si="38"/>
        <v>4.6119063968015697E-3</v>
      </c>
      <c r="AC99" s="93">
        <f t="shared" si="39"/>
        <v>3.8747972022549829E-2</v>
      </c>
      <c r="AD99" s="93">
        <f t="shared" si="40"/>
        <v>4.2379314492350176E-2</v>
      </c>
      <c r="AE99" s="93">
        <f t="shared" si="41"/>
        <v>1.5671668773373691E-2</v>
      </c>
      <c r="AF99" s="93">
        <f t="shared" si="42"/>
        <v>-3.5679956937139337E-2</v>
      </c>
      <c r="AG99" s="93">
        <f t="shared" si="43"/>
        <v>7.5345123764468822E-2</v>
      </c>
      <c r="AH99" s="93">
        <f t="shared" si="44"/>
        <v>4.930622390141054E-2</v>
      </c>
      <c r="AI99" s="93">
        <f t="shared" si="45"/>
        <v>1.8253242278105878E-2</v>
      </c>
    </row>
    <row r="100" spans="1:35" x14ac:dyDescent="0.2">
      <c r="A100" s="86">
        <v>42856</v>
      </c>
      <c r="B100" s="87">
        <v>36.325969999999998</v>
      </c>
      <c r="C100" s="87">
        <v>47.314117000000003</v>
      </c>
      <c r="D100" s="87">
        <v>103.365532</v>
      </c>
      <c r="E100" s="87">
        <v>72.304382000000004</v>
      </c>
      <c r="F100" s="87">
        <v>53.864834000000002</v>
      </c>
      <c r="G100" s="88">
        <v>994.61999500000002</v>
      </c>
      <c r="H100" s="87">
        <v>197.412521</v>
      </c>
      <c r="I100" s="87">
        <v>964.85998500000005</v>
      </c>
      <c r="J100" s="88">
        <v>140.402939</v>
      </c>
      <c r="K100" s="89">
        <v>65.876991000000004</v>
      </c>
      <c r="L100" s="90">
        <v>224.89404300000001</v>
      </c>
      <c r="M100" s="39"/>
      <c r="N100" s="40">
        <f t="shared" si="50"/>
        <v>6.3417916296944377E-2</v>
      </c>
      <c r="O100" s="40">
        <f t="shared" si="50"/>
        <v>-6.6889503751671131E-2</v>
      </c>
      <c r="P100" s="40">
        <f t="shared" si="50"/>
        <v>-6.6262922874057661E-2</v>
      </c>
      <c r="Q100" s="40">
        <f t="shared" si="49"/>
        <v>4.5490753548980356E-2</v>
      </c>
      <c r="R100" s="40">
        <f t="shared" si="49"/>
        <v>0.14630368009412043</v>
      </c>
      <c r="S100" s="40">
        <f t="shared" si="49"/>
        <v>7.5276495694834411E-2</v>
      </c>
      <c r="T100" s="40">
        <f t="shared" si="49"/>
        <v>-5.6032282413402079E-2</v>
      </c>
      <c r="U100" s="40">
        <f t="shared" si="49"/>
        <v>6.5013865479375488E-2</v>
      </c>
      <c r="V100" s="40">
        <f t="shared" si="49"/>
        <v>-1.6591870144655352E-2</v>
      </c>
      <c r="W100" s="40">
        <f t="shared" si="46"/>
        <v>2.0157691248583021E-2</v>
      </c>
      <c r="X100" s="40">
        <f t="shared" si="46"/>
        <v>1.4113007612289952E-2</v>
      </c>
      <c r="Z100" s="93">
        <f t="shared" si="48"/>
        <v>3.9448919080312575E-2</v>
      </c>
      <c r="AA100" s="93">
        <f t="shared" si="37"/>
        <v>-7.3009289319317577E-2</v>
      </c>
      <c r="AB100" s="93">
        <f t="shared" si="38"/>
        <v>-8.1141199262352498E-2</v>
      </c>
      <c r="AC100" s="93">
        <f t="shared" si="39"/>
        <v>3.3561951581961139E-2</v>
      </c>
      <c r="AD100" s="93">
        <f t="shared" si="40"/>
        <v>0.12666859079372267</v>
      </c>
      <c r="AE100" s="93">
        <f t="shared" si="41"/>
        <v>4.7577292365247013E-2</v>
      </c>
      <c r="AF100" s="93">
        <f t="shared" si="42"/>
        <v>-6.5941780856426116E-2</v>
      </c>
      <c r="AG100" s="93">
        <f t="shared" si="43"/>
        <v>4.8261944805594911E-2</v>
      </c>
      <c r="AH100" s="93">
        <f t="shared" si="44"/>
        <v>-3.6889949754977669E-2</v>
      </c>
      <c r="AI100" s="93">
        <f t="shared" si="45"/>
        <v>-1.0668056807292513E-3</v>
      </c>
    </row>
    <row r="101" spans="1:35" x14ac:dyDescent="0.2">
      <c r="A101" s="86">
        <v>42887</v>
      </c>
      <c r="B101" s="87">
        <v>34.388984999999998</v>
      </c>
      <c r="C101" s="87">
        <v>48.550255</v>
      </c>
      <c r="D101" s="87">
        <v>101.74715399999999</v>
      </c>
      <c r="E101" s="87">
        <v>70.084152000000003</v>
      </c>
      <c r="F101" s="87">
        <v>51.996487000000002</v>
      </c>
      <c r="G101" s="88">
        <v>968</v>
      </c>
      <c r="H101" s="87">
        <v>208.05317700000001</v>
      </c>
      <c r="I101" s="87">
        <v>908.72997999999995</v>
      </c>
      <c r="J101" s="88">
        <v>141.11312899999999</v>
      </c>
      <c r="K101" s="89">
        <v>65.391304000000005</v>
      </c>
      <c r="L101" s="90">
        <v>225.22936999999999</v>
      </c>
      <c r="M101" s="39"/>
      <c r="N101" s="40">
        <f t="shared" si="50"/>
        <v>-5.3322320092209496E-2</v>
      </c>
      <c r="O101" s="40">
        <f t="shared" si="50"/>
        <v>2.6126198233816789E-2</v>
      </c>
      <c r="P101" s="40">
        <f t="shared" si="50"/>
        <v>-1.5656843908083418E-2</v>
      </c>
      <c r="Q101" s="40">
        <f t="shared" si="49"/>
        <v>-3.0706714290151926E-2</v>
      </c>
      <c r="R101" s="40">
        <f t="shared" si="49"/>
        <v>-3.4685839744721059E-2</v>
      </c>
      <c r="S101" s="40">
        <f t="shared" si="49"/>
        <v>-2.6763985375138133E-2</v>
      </c>
      <c r="T101" s="40">
        <f t="shared" si="49"/>
        <v>5.3900613527953611E-2</v>
      </c>
      <c r="U101" s="40">
        <f t="shared" si="49"/>
        <v>-5.8174248981835541E-2</v>
      </c>
      <c r="V101" s="40">
        <f t="shared" si="49"/>
        <v>5.0582274492130264E-3</v>
      </c>
      <c r="W101" s="40">
        <f t="shared" si="46"/>
        <v>-7.3726348551651499E-3</v>
      </c>
      <c r="X101" s="40">
        <f t="shared" si="46"/>
        <v>1.4910443848439314E-3</v>
      </c>
      <c r="Z101" s="93">
        <f t="shared" si="48"/>
        <v>-7.7291317308841298E-2</v>
      </c>
      <c r="AA101" s="93">
        <f t="shared" si="37"/>
        <v>2.0006412666170349E-2</v>
      </c>
      <c r="AB101" s="93">
        <f t="shared" si="38"/>
        <v>-3.0535120296378247E-2</v>
      </c>
      <c r="AC101" s="93">
        <f t="shared" si="39"/>
        <v>-4.2635516257171144E-2</v>
      </c>
      <c r="AD101" s="93">
        <f t="shared" si="40"/>
        <v>-5.4320929045118801E-2</v>
      </c>
      <c r="AE101" s="93">
        <f t="shared" si="41"/>
        <v>-5.4463188704725531E-2</v>
      </c>
      <c r="AF101" s="93">
        <f t="shared" si="42"/>
        <v>4.3991115084929575E-2</v>
      </c>
      <c r="AG101" s="93">
        <f t="shared" si="43"/>
        <v>-7.4926169655616118E-2</v>
      </c>
      <c r="AH101" s="93">
        <f t="shared" si="44"/>
        <v>-1.5239852161109294E-2</v>
      </c>
      <c r="AI101" s="93">
        <f t="shared" si="45"/>
        <v>-2.8597131784477422E-2</v>
      </c>
    </row>
    <row r="102" spans="1:35" x14ac:dyDescent="0.2">
      <c r="A102" s="86">
        <v>42917</v>
      </c>
      <c r="B102" s="87">
        <v>35.513629999999999</v>
      </c>
      <c r="C102" s="87">
        <v>43.741962000000001</v>
      </c>
      <c r="D102" s="87">
        <v>105.271187</v>
      </c>
      <c r="E102" s="87">
        <v>74.075469999999996</v>
      </c>
      <c r="F102" s="87">
        <v>53.229354999999998</v>
      </c>
      <c r="G102" s="88">
        <v>987.78002900000001</v>
      </c>
      <c r="H102" s="87">
        <v>211.26915</v>
      </c>
      <c r="I102" s="87">
        <v>930.5</v>
      </c>
      <c r="J102" s="88">
        <v>137.61750799999999</v>
      </c>
      <c r="K102" s="89">
        <v>68.967758000000003</v>
      </c>
      <c r="L102" s="90">
        <v>230.97970599999999</v>
      </c>
      <c r="M102" s="39"/>
      <c r="N102" s="40">
        <f t="shared" si="50"/>
        <v>3.2703640424397662E-2</v>
      </c>
      <c r="O102" s="40">
        <f t="shared" si="50"/>
        <v>-9.9037440689034417E-2</v>
      </c>
      <c r="P102" s="40">
        <f t="shared" si="50"/>
        <v>3.4635199722637955E-2</v>
      </c>
      <c r="Q102" s="40">
        <f t="shared" si="49"/>
        <v>5.695036447041546E-2</v>
      </c>
      <c r="R102" s="40">
        <f t="shared" si="49"/>
        <v>2.3710601833543121E-2</v>
      </c>
      <c r="S102" s="40">
        <f t="shared" si="49"/>
        <v>2.0433914256198449E-2</v>
      </c>
      <c r="T102" s="40">
        <f t="shared" si="49"/>
        <v>1.5457456821243332E-2</v>
      </c>
      <c r="U102" s="40">
        <f t="shared" si="49"/>
        <v>2.3956533270752312E-2</v>
      </c>
      <c r="V102" s="40">
        <f t="shared" si="49"/>
        <v>-2.4771763086622545E-2</v>
      </c>
      <c r="W102" s="40">
        <f t="shared" si="46"/>
        <v>5.4693113322835663E-2</v>
      </c>
      <c r="X102" s="40">
        <f t="shared" si="46"/>
        <v>2.5531021997708292E-2</v>
      </c>
      <c r="Z102" s="93">
        <f t="shared" si="48"/>
        <v>8.7346432077658638E-3</v>
      </c>
      <c r="AA102" s="93">
        <f t="shared" si="37"/>
        <v>-0.10515722625668086</v>
      </c>
      <c r="AB102" s="93">
        <f t="shared" si="38"/>
        <v>1.9756923334343125E-2</v>
      </c>
      <c r="AC102" s="93">
        <f t="shared" si="39"/>
        <v>4.5021562503396242E-2</v>
      </c>
      <c r="AD102" s="93">
        <f t="shared" si="40"/>
        <v>4.0755125331453784E-3</v>
      </c>
      <c r="AE102" s="93">
        <f t="shared" si="41"/>
        <v>-7.2652890733889489E-3</v>
      </c>
      <c r="AF102" s="93">
        <f t="shared" si="42"/>
        <v>5.5479583782192914E-3</v>
      </c>
      <c r="AG102" s="93">
        <f t="shared" si="43"/>
        <v>7.2046125969717385E-3</v>
      </c>
      <c r="AH102" s="93">
        <f t="shared" si="44"/>
        <v>-4.5069842696944862E-2</v>
      </c>
      <c r="AI102" s="93">
        <f t="shared" si="45"/>
        <v>3.3468616393523387E-2</v>
      </c>
    </row>
    <row r="103" spans="1:35" x14ac:dyDescent="0.2">
      <c r="A103" s="86">
        <v>42948</v>
      </c>
      <c r="B103" s="87">
        <v>39.159785999999997</v>
      </c>
      <c r="C103" s="87">
        <v>42.250050000000002</v>
      </c>
      <c r="D103" s="87">
        <v>97.632110999999995</v>
      </c>
      <c r="E103" s="87">
        <v>72.297432000000001</v>
      </c>
      <c r="F103" s="87">
        <v>49.506767000000004</v>
      </c>
      <c r="G103" s="88">
        <v>980.59997599999997</v>
      </c>
      <c r="H103" s="87">
        <v>209.77835099999999</v>
      </c>
      <c r="I103" s="87">
        <v>939.330017</v>
      </c>
      <c r="J103" s="88">
        <v>137.86586</v>
      </c>
      <c r="K103" s="89">
        <v>70.931495999999996</v>
      </c>
      <c r="L103" s="90">
        <v>231.65364099999999</v>
      </c>
      <c r="M103" s="39"/>
      <c r="N103" s="40">
        <f t="shared" si="50"/>
        <v>0.10266920052948669</v>
      </c>
      <c r="O103" s="40">
        <f t="shared" si="50"/>
        <v>-3.4107112067812584E-2</v>
      </c>
      <c r="P103" s="40">
        <f t="shared" si="50"/>
        <v>-7.2565686943379837E-2</v>
      </c>
      <c r="Q103" s="40">
        <f t="shared" si="49"/>
        <v>-2.4003060662321718E-2</v>
      </c>
      <c r="R103" s="40">
        <f t="shared" si="49"/>
        <v>-6.9934869584649229E-2</v>
      </c>
      <c r="S103" s="40">
        <f t="shared" si="49"/>
        <v>-7.2688784842804832E-3</v>
      </c>
      <c r="T103" s="40">
        <f t="shared" si="49"/>
        <v>-7.0563970177378588E-3</v>
      </c>
      <c r="U103" s="40">
        <f t="shared" si="49"/>
        <v>9.4895400322407841E-3</v>
      </c>
      <c r="V103" s="40">
        <f t="shared" si="49"/>
        <v>1.8046540996805582E-3</v>
      </c>
      <c r="W103" s="40">
        <f t="shared" si="46"/>
        <v>2.8473275874793424E-2</v>
      </c>
      <c r="X103" s="40">
        <f t="shared" si="46"/>
        <v>2.917723862718935E-3</v>
      </c>
      <c r="Z103" s="93">
        <f t="shared" si="48"/>
        <v>7.8700203312854891E-2</v>
      </c>
      <c r="AA103" s="93">
        <f t="shared" si="37"/>
        <v>-4.0226897635459023E-2</v>
      </c>
      <c r="AB103" s="93">
        <f t="shared" si="38"/>
        <v>-8.7443963331674673E-2</v>
      </c>
      <c r="AC103" s="93">
        <f t="shared" si="39"/>
        <v>-3.5931862629340935E-2</v>
      </c>
      <c r="AD103" s="93">
        <f t="shared" si="40"/>
        <v>-8.9569958885046971E-2</v>
      </c>
      <c r="AE103" s="93">
        <f t="shared" si="41"/>
        <v>-3.4968081813867881E-2</v>
      </c>
      <c r="AF103" s="93">
        <f t="shared" si="42"/>
        <v>-1.6965895460761899E-2</v>
      </c>
      <c r="AG103" s="93">
        <f t="shared" si="43"/>
        <v>-7.2623806415397889E-3</v>
      </c>
      <c r="AH103" s="93">
        <f t="shared" si="44"/>
        <v>-1.8493425510641762E-2</v>
      </c>
      <c r="AI103" s="93">
        <f t="shared" si="45"/>
        <v>7.2487789454811526E-3</v>
      </c>
    </row>
    <row r="104" spans="1:35" x14ac:dyDescent="0.2">
      <c r="A104" s="86">
        <v>42979</v>
      </c>
      <c r="B104" s="87">
        <v>36.945168000000002</v>
      </c>
      <c r="C104" s="87">
        <v>43.328544999999998</v>
      </c>
      <c r="D104" s="87">
        <v>95.094832999999994</v>
      </c>
      <c r="E104" s="87">
        <v>72.817429000000004</v>
      </c>
      <c r="F104" s="87">
        <v>51.970253</v>
      </c>
      <c r="G104" s="88">
        <v>961.34997599999997</v>
      </c>
      <c r="H104" s="87">
        <v>223.148605</v>
      </c>
      <c r="I104" s="87">
        <v>959.10998500000005</v>
      </c>
      <c r="J104" s="88">
        <v>151.34910600000001</v>
      </c>
      <c r="K104" s="89">
        <v>71.042373999999995</v>
      </c>
      <c r="L104" s="90">
        <v>235.15432699999999</v>
      </c>
      <c r="M104" s="39"/>
      <c r="N104" s="40">
        <f t="shared" si="50"/>
        <v>-5.6553373401989293E-2</v>
      </c>
      <c r="O104" s="40">
        <f t="shared" si="50"/>
        <v>2.5526478666889174E-2</v>
      </c>
      <c r="P104" s="40">
        <f t="shared" si="50"/>
        <v>-2.5988150558375223E-2</v>
      </c>
      <c r="Q104" s="40">
        <f t="shared" si="49"/>
        <v>7.1924684683128959E-3</v>
      </c>
      <c r="R104" s="40">
        <f t="shared" si="49"/>
        <v>4.976059131471855E-2</v>
      </c>
      <c r="S104" s="40">
        <f t="shared" si="49"/>
        <v>-1.9630838742749512E-2</v>
      </c>
      <c r="T104" s="40">
        <f t="shared" si="49"/>
        <v>6.3735146816937371E-2</v>
      </c>
      <c r="U104" s="40">
        <f t="shared" si="49"/>
        <v>2.1057527857113234E-2</v>
      </c>
      <c r="V104" s="40">
        <f t="shared" si="49"/>
        <v>9.7799745346672573E-2</v>
      </c>
      <c r="W104" s="40">
        <f t="shared" si="46"/>
        <v>1.5631701888818572E-3</v>
      </c>
      <c r="X104" s="40">
        <f t="shared" si="46"/>
        <v>1.5111724490443068E-2</v>
      </c>
      <c r="Z104" s="93">
        <f t="shared" si="48"/>
        <v>-8.0522370618621095E-2</v>
      </c>
      <c r="AA104" s="93">
        <f t="shared" si="37"/>
        <v>1.9406693099242735E-2</v>
      </c>
      <c r="AB104" s="93">
        <f t="shared" si="38"/>
        <v>-4.0866426946670052E-2</v>
      </c>
      <c r="AC104" s="93">
        <f t="shared" si="39"/>
        <v>-4.7363334987063216E-3</v>
      </c>
      <c r="AD104" s="93">
        <f t="shared" si="40"/>
        <v>3.0125502014320807E-2</v>
      </c>
      <c r="AE104" s="93">
        <f t="shared" si="41"/>
        <v>-4.733004207233691E-2</v>
      </c>
      <c r="AF104" s="93">
        <f t="shared" si="42"/>
        <v>5.3825648373913335E-2</v>
      </c>
      <c r="AG104" s="93">
        <f t="shared" si="43"/>
        <v>4.305607183332661E-3</v>
      </c>
      <c r="AH104" s="93">
        <f t="shared" si="44"/>
        <v>7.7501665736350256E-2</v>
      </c>
      <c r="AI104" s="93">
        <f t="shared" si="45"/>
        <v>-1.9661326740430415E-2</v>
      </c>
    </row>
    <row r="105" spans="1:35" x14ac:dyDescent="0.2">
      <c r="A105" s="86">
        <v>43009</v>
      </c>
      <c r="B105" s="87">
        <v>40.521748000000002</v>
      </c>
      <c r="C105" s="87">
        <v>42.876942</v>
      </c>
      <c r="D105" s="87">
        <v>94.361626000000001</v>
      </c>
      <c r="E105" s="87">
        <v>81.362792999999996</v>
      </c>
      <c r="F105" s="87">
        <v>51.374125999999997</v>
      </c>
      <c r="G105" s="88">
        <v>1105.280029</v>
      </c>
      <c r="H105" s="87">
        <v>228.125427</v>
      </c>
      <c r="I105" s="87">
        <v>1016.6400149999999</v>
      </c>
      <c r="J105" s="88">
        <v>153.403336</v>
      </c>
      <c r="K105" s="89">
        <v>79.330177000000006</v>
      </c>
      <c r="L105" s="90">
        <v>241.88999899999999</v>
      </c>
      <c r="M105" s="39"/>
      <c r="N105" s="40">
        <f t="shared" si="50"/>
        <v>9.6807788233633119E-2</v>
      </c>
      <c r="O105" s="40">
        <f t="shared" si="50"/>
        <v>-1.0422759407222149E-2</v>
      </c>
      <c r="P105" s="40">
        <f t="shared" si="50"/>
        <v>-7.7102717031953816E-3</v>
      </c>
      <c r="Q105" s="40">
        <f t="shared" si="49"/>
        <v>0.11735327815542607</v>
      </c>
      <c r="R105" s="40">
        <f t="shared" si="49"/>
        <v>-1.1470542581349386E-2</v>
      </c>
      <c r="S105" s="40">
        <f t="shared" si="49"/>
        <v>0.14971660331117542</v>
      </c>
      <c r="T105" s="40">
        <f t="shared" si="49"/>
        <v>2.2302725127947731E-2</v>
      </c>
      <c r="U105" s="40">
        <f t="shared" si="49"/>
        <v>5.9982724504739515E-2</v>
      </c>
      <c r="V105" s="40">
        <f t="shared" si="49"/>
        <v>1.3572792428651503E-2</v>
      </c>
      <c r="W105" s="40">
        <f t="shared" si="46"/>
        <v>0.11665999506153901</v>
      </c>
      <c r="X105" s="40">
        <f t="shared" si="46"/>
        <v>2.8643623470300916E-2</v>
      </c>
      <c r="Z105" s="93">
        <f t="shared" si="48"/>
        <v>7.2838791017001317E-2</v>
      </c>
      <c r="AA105" s="93">
        <f t="shared" si="37"/>
        <v>-1.6542544974868588E-2</v>
      </c>
      <c r="AB105" s="93">
        <f t="shared" si="38"/>
        <v>-2.2588548091490211E-2</v>
      </c>
      <c r="AC105" s="93">
        <f t="shared" si="39"/>
        <v>0.10542447618840685</v>
      </c>
      <c r="AD105" s="93">
        <f t="shared" si="40"/>
        <v>-3.1105631881747128E-2</v>
      </c>
      <c r="AE105" s="93">
        <f t="shared" si="41"/>
        <v>0.12201739998158803</v>
      </c>
      <c r="AF105" s="93">
        <f t="shared" si="42"/>
        <v>1.2393226684923691E-2</v>
      </c>
      <c r="AG105" s="93">
        <f t="shared" si="43"/>
        <v>4.3230803830958939E-2</v>
      </c>
      <c r="AH105" s="93">
        <f t="shared" si="44"/>
        <v>-6.7252871816708172E-3</v>
      </c>
      <c r="AI105" s="93">
        <f t="shared" si="45"/>
        <v>9.5435498132226737E-2</v>
      </c>
    </row>
    <row r="106" spans="1:35" x14ac:dyDescent="0.2">
      <c r="A106" s="86">
        <v>43040</v>
      </c>
      <c r="B106" s="87">
        <v>41.195351000000002</v>
      </c>
      <c r="C106" s="87">
        <v>45.467312</v>
      </c>
      <c r="D106" s="87">
        <v>101.12447400000001</v>
      </c>
      <c r="E106" s="87">
        <v>90.607085999999995</v>
      </c>
      <c r="F106" s="87">
        <v>54.705452000000001</v>
      </c>
      <c r="G106" s="88">
        <v>1176.75</v>
      </c>
      <c r="H106" s="87">
        <v>232.97998000000001</v>
      </c>
      <c r="I106" s="87">
        <v>1021.409973</v>
      </c>
      <c r="J106" s="88">
        <v>166.39515700000001</v>
      </c>
      <c r="K106" s="89">
        <v>80.274360999999999</v>
      </c>
      <c r="L106" s="90">
        <v>249.28360000000001</v>
      </c>
      <c r="M106" s="39"/>
      <c r="N106" s="40">
        <f t="shared" si="50"/>
        <v>1.6623246361435307E-2</v>
      </c>
      <c r="O106" s="40">
        <f t="shared" si="50"/>
        <v>6.0414056580807562E-2</v>
      </c>
      <c r="P106" s="40">
        <f t="shared" si="50"/>
        <v>7.1669472927480049E-2</v>
      </c>
      <c r="Q106" s="40">
        <f t="shared" si="49"/>
        <v>0.11361818663230983</v>
      </c>
      <c r="R106" s="40">
        <f t="shared" si="49"/>
        <v>6.484443161135256E-2</v>
      </c>
      <c r="S106" s="40">
        <f t="shared" si="49"/>
        <v>6.4662320068030521E-2</v>
      </c>
      <c r="T106" s="40">
        <f t="shared" si="49"/>
        <v>2.1280192496911043E-2</v>
      </c>
      <c r="U106" s="40">
        <f t="shared" si="49"/>
        <v>4.6918849638237781E-3</v>
      </c>
      <c r="V106" s="40">
        <f t="shared" si="49"/>
        <v>8.4690602817138361E-2</v>
      </c>
      <c r="W106" s="40">
        <f t="shared" si="46"/>
        <v>1.1901952519278947E-2</v>
      </c>
      <c r="X106" s="40">
        <f t="shared" si="46"/>
        <v>3.0565963994237055E-2</v>
      </c>
      <c r="Z106" s="93">
        <f t="shared" si="48"/>
        <v>-7.3457508551964916E-3</v>
      </c>
      <c r="AA106" s="93">
        <f t="shared" ref="AA106:AA144" si="51">O106-O$18</f>
        <v>5.4294271013161123E-2</v>
      </c>
      <c r="AB106" s="93">
        <f t="shared" ref="AB106:AB144" si="52">P106-P$18</f>
        <v>5.6791196539185219E-2</v>
      </c>
      <c r="AC106" s="93">
        <f t="shared" ref="AC106:AC144" si="53">Q106-Q$18</f>
        <v>0.10168938466529061</v>
      </c>
      <c r="AD106" s="93">
        <f t="shared" ref="AD106:AD144" si="54">R106-R$18</f>
        <v>4.5209342310954817E-2</v>
      </c>
      <c r="AE106" s="93">
        <f t="shared" ref="AE106:AE144" si="55">S106-S$18</f>
        <v>3.6963116738443123E-2</v>
      </c>
      <c r="AF106" s="93">
        <f t="shared" ref="AF106:AF144" si="56">T106-T$18</f>
        <v>1.1370694053887003E-2</v>
      </c>
      <c r="AG106" s="93">
        <f t="shared" ref="AG106:AG144" si="57">U106-U$18</f>
        <v>-1.2060035709956795E-2</v>
      </c>
      <c r="AH106" s="93">
        <f t="shared" ref="AH106:AH144" si="58">V106-V$18</f>
        <v>6.4392523206816044E-2</v>
      </c>
      <c r="AI106" s="93">
        <f t="shared" ref="AI106:AI144" si="59">W106-W$18</f>
        <v>-9.3225444100333253E-3</v>
      </c>
    </row>
    <row r="107" spans="1:35" x14ac:dyDescent="0.2">
      <c r="A107" s="86">
        <v>43070</v>
      </c>
      <c r="B107" s="87">
        <v>40.713127</v>
      </c>
      <c r="C107" s="87">
        <v>46.083210000000001</v>
      </c>
      <c r="D107" s="87">
        <v>103.719643</v>
      </c>
      <c r="E107" s="87">
        <v>92.023567</v>
      </c>
      <c r="F107" s="87">
        <v>62.836491000000002</v>
      </c>
      <c r="G107" s="88">
        <v>1169.469971</v>
      </c>
      <c r="H107" s="87">
        <v>240.43167099999999</v>
      </c>
      <c r="I107" s="87">
        <v>1046.400024</v>
      </c>
      <c r="J107" s="88">
        <v>176.26870700000001</v>
      </c>
      <c r="K107" s="89">
        <v>81.990668999999997</v>
      </c>
      <c r="L107" s="90">
        <v>251.02380400000001</v>
      </c>
      <c r="M107" s="39"/>
      <c r="N107" s="40">
        <f t="shared" si="50"/>
        <v>-1.1705786898138171E-2</v>
      </c>
      <c r="O107" s="40">
        <f t="shared" si="50"/>
        <v>1.3545951429897674E-2</v>
      </c>
      <c r="P107" s="40">
        <f t="shared" si="50"/>
        <v>2.5663114944854959E-2</v>
      </c>
      <c r="Q107" s="40">
        <f t="shared" si="49"/>
        <v>1.5633225419036334E-2</v>
      </c>
      <c r="R107" s="40">
        <f t="shared" si="49"/>
        <v>0.14863306494570239</v>
      </c>
      <c r="S107" s="40">
        <f t="shared" si="49"/>
        <v>-6.1865553431059706E-3</v>
      </c>
      <c r="T107" s="40">
        <f t="shared" si="49"/>
        <v>3.1984254612778207E-2</v>
      </c>
      <c r="U107" s="40">
        <f t="shared" si="49"/>
        <v>2.4466229683073548E-2</v>
      </c>
      <c r="V107" s="40">
        <f t="shared" si="49"/>
        <v>5.9337964986565073E-2</v>
      </c>
      <c r="W107" s="40">
        <f t="shared" si="46"/>
        <v>2.1380525221496249E-2</v>
      </c>
      <c r="X107" s="40">
        <f t="shared" si="46"/>
        <v>6.9808202384753493E-3</v>
      </c>
      <c r="Z107" s="93">
        <f t="shared" si="48"/>
        <v>-3.5674784114769972E-2</v>
      </c>
      <c r="AA107" s="93">
        <f t="shared" si="51"/>
        <v>7.4261658622512324E-3</v>
      </c>
      <c r="AB107" s="93">
        <f t="shared" si="52"/>
        <v>1.0784838556560129E-2</v>
      </c>
      <c r="AC107" s="93">
        <f t="shared" si="53"/>
        <v>3.7044234520171165E-3</v>
      </c>
      <c r="AD107" s="93">
        <f t="shared" si="54"/>
        <v>0.12899797564530463</v>
      </c>
      <c r="AE107" s="93">
        <f t="shared" si="55"/>
        <v>-3.3885758672693368E-2</v>
      </c>
      <c r="AF107" s="93">
        <f t="shared" si="56"/>
        <v>2.2074756169754167E-2</v>
      </c>
      <c r="AG107" s="93">
        <f t="shared" si="57"/>
        <v>7.7143090092929752E-3</v>
      </c>
      <c r="AH107" s="93">
        <f t="shared" si="58"/>
        <v>3.9039885376242756E-2</v>
      </c>
      <c r="AI107" s="93">
        <f t="shared" si="59"/>
        <v>1.5602829218397743E-4</v>
      </c>
    </row>
    <row r="108" spans="1:35" x14ac:dyDescent="0.2">
      <c r="A108" s="86">
        <v>43101</v>
      </c>
      <c r="B108" s="87">
        <v>40.280087000000002</v>
      </c>
      <c r="C108" s="87">
        <v>44.207684</v>
      </c>
      <c r="D108" s="87">
        <v>105.682114</v>
      </c>
      <c r="E108" s="87">
        <v>100.385704</v>
      </c>
      <c r="F108" s="87">
        <v>67.418671000000003</v>
      </c>
      <c r="G108" s="88">
        <v>1450.8900149999999</v>
      </c>
      <c r="H108" s="87">
        <v>252.823196</v>
      </c>
      <c r="I108" s="87">
        <v>1169.9399410000001</v>
      </c>
      <c r="J108" s="88">
        <v>186.843155</v>
      </c>
      <c r="K108" s="89">
        <v>91.067711000000003</v>
      </c>
      <c r="L108" s="90">
        <v>266.526703</v>
      </c>
      <c r="M108" s="39"/>
      <c r="N108" s="40">
        <f t="shared" si="50"/>
        <v>-1.0636372882878775E-2</v>
      </c>
      <c r="O108" s="40">
        <f t="shared" si="50"/>
        <v>-4.0698683967544835E-2</v>
      </c>
      <c r="P108" s="40">
        <f t="shared" si="50"/>
        <v>1.8920919347938714E-2</v>
      </c>
      <c r="Q108" s="40">
        <f t="shared" si="49"/>
        <v>9.0869516066465872E-2</v>
      </c>
      <c r="R108" s="40">
        <f t="shared" si="49"/>
        <v>7.2922276961646437E-2</v>
      </c>
      <c r="S108" s="40">
        <f t="shared" si="49"/>
        <v>0.240638965495934</v>
      </c>
      <c r="T108" s="40">
        <f t="shared" si="49"/>
        <v>5.1538655238144493E-2</v>
      </c>
      <c r="U108" s="40">
        <f t="shared" si="49"/>
        <v>0.11806184457809232</v>
      </c>
      <c r="V108" s="40">
        <f t="shared" si="49"/>
        <v>5.9990500752921339E-2</v>
      </c>
      <c r="W108" s="40">
        <f t="shared" si="46"/>
        <v>0.11070823193307522</v>
      </c>
      <c r="X108" s="40">
        <f t="shared" si="46"/>
        <v>6.1758680861994986E-2</v>
      </c>
      <c r="Z108" s="93">
        <f t="shared" si="48"/>
        <v>-3.4605370099510577E-2</v>
      </c>
      <c r="AA108" s="93">
        <f t="shared" si="51"/>
        <v>-4.6818469535191275E-2</v>
      </c>
      <c r="AB108" s="93">
        <f t="shared" si="52"/>
        <v>4.0426429596438843E-3</v>
      </c>
      <c r="AC108" s="93">
        <f t="shared" si="53"/>
        <v>7.8940714099446654E-2</v>
      </c>
      <c r="AD108" s="93">
        <f t="shared" si="54"/>
        <v>5.3287187661248694E-2</v>
      </c>
      <c r="AE108" s="93">
        <f t="shared" si="55"/>
        <v>0.21293976216634661</v>
      </c>
      <c r="AF108" s="93">
        <f t="shared" si="56"/>
        <v>4.1629156795120456E-2</v>
      </c>
      <c r="AG108" s="93">
        <f t="shared" si="57"/>
        <v>0.10130992390431175</v>
      </c>
      <c r="AH108" s="93">
        <f t="shared" si="58"/>
        <v>3.9692421142599021E-2</v>
      </c>
      <c r="AI108" s="93">
        <f t="shared" si="59"/>
        <v>8.9483735003762943E-2</v>
      </c>
    </row>
    <row r="109" spans="1:35" x14ac:dyDescent="0.2">
      <c r="A109" s="86">
        <v>43132</v>
      </c>
      <c r="B109" s="87">
        <v>42.851875</v>
      </c>
      <c r="C109" s="87">
        <v>41.397948999999997</v>
      </c>
      <c r="D109" s="87">
        <v>100.323616</v>
      </c>
      <c r="E109" s="87">
        <v>84.762833000000001</v>
      </c>
      <c r="F109" s="87">
        <v>66.846541999999999</v>
      </c>
      <c r="G109" s="88">
        <v>1512.4499510000001</v>
      </c>
      <c r="H109" s="87">
        <v>248.14219700000001</v>
      </c>
      <c r="I109" s="87">
        <v>1104.7299800000001</v>
      </c>
      <c r="J109" s="88">
        <v>169.51670799999999</v>
      </c>
      <c r="K109" s="89">
        <v>89.879158000000004</v>
      </c>
      <c r="L109" s="90">
        <v>256.83566300000001</v>
      </c>
      <c r="M109" s="39"/>
      <c r="N109" s="40">
        <f t="shared" si="50"/>
        <v>6.3847627737248835E-2</v>
      </c>
      <c r="O109" s="40">
        <f t="shared" si="50"/>
        <v>-6.3557615911297272E-2</v>
      </c>
      <c r="P109" s="40">
        <f t="shared" si="50"/>
        <v>-5.0703925169399922E-2</v>
      </c>
      <c r="Q109" s="40">
        <f t="shared" si="49"/>
        <v>-0.15562844486302552</v>
      </c>
      <c r="R109" s="40">
        <f t="shared" si="49"/>
        <v>-8.4862099996009244E-3</v>
      </c>
      <c r="S109" s="40">
        <f t="shared" si="49"/>
        <v>4.2429085157085433E-2</v>
      </c>
      <c r="T109" s="40">
        <f t="shared" si="49"/>
        <v>-1.8514911108077237E-2</v>
      </c>
      <c r="U109" s="40">
        <f t="shared" si="49"/>
        <v>-5.5737870564759207E-2</v>
      </c>
      <c r="V109" s="40">
        <f t="shared" si="49"/>
        <v>-9.2732575619374424E-2</v>
      </c>
      <c r="W109" s="40">
        <f t="shared" si="46"/>
        <v>-1.3051310798840698E-2</v>
      </c>
      <c r="X109" s="40">
        <f t="shared" si="46"/>
        <v>-3.6360484300141493E-2</v>
      </c>
      <c r="Z109" s="93">
        <f t="shared" si="48"/>
        <v>3.9878630520617034E-2</v>
      </c>
      <c r="AA109" s="93">
        <f t="shared" si="51"/>
        <v>-6.9677401478943718E-2</v>
      </c>
      <c r="AB109" s="93">
        <f t="shared" si="52"/>
        <v>-6.5582201557694758E-2</v>
      </c>
      <c r="AC109" s="93">
        <f t="shared" si="53"/>
        <v>-0.16755724683004475</v>
      </c>
      <c r="AD109" s="93">
        <f t="shared" si="54"/>
        <v>-2.8121299299998667E-2</v>
      </c>
      <c r="AE109" s="93">
        <f t="shared" si="55"/>
        <v>1.4729881827498036E-2</v>
      </c>
      <c r="AF109" s="93">
        <f t="shared" si="56"/>
        <v>-2.8424409551101277E-2</v>
      </c>
      <c r="AG109" s="93">
        <f t="shared" si="57"/>
        <v>-7.2489791238539783E-2</v>
      </c>
      <c r="AH109" s="93">
        <f t="shared" si="58"/>
        <v>-0.11303065522969674</v>
      </c>
      <c r="AI109" s="93">
        <f t="shared" si="59"/>
        <v>-3.4275807728152974E-2</v>
      </c>
    </row>
    <row r="110" spans="1:35" x14ac:dyDescent="0.2">
      <c r="A110" s="86">
        <v>43160</v>
      </c>
      <c r="B110" s="87">
        <v>40.528866000000001</v>
      </c>
      <c r="C110" s="87">
        <v>39.418982999999997</v>
      </c>
      <c r="D110" s="87">
        <v>97.678398000000001</v>
      </c>
      <c r="E110" s="87">
        <v>83.783455000000004</v>
      </c>
      <c r="F110" s="87">
        <v>64.585708999999994</v>
      </c>
      <c r="G110" s="88">
        <v>1447.339966</v>
      </c>
      <c r="H110" s="87">
        <v>238.36198400000001</v>
      </c>
      <c r="I110" s="87">
        <v>1031.790039</v>
      </c>
      <c r="J110" s="88">
        <v>165.76866100000001</v>
      </c>
      <c r="K110" s="89">
        <v>87.893844999999999</v>
      </c>
      <c r="L110" s="90">
        <v>248.79922500000001</v>
      </c>
      <c r="M110" s="39"/>
      <c r="N110" s="40">
        <f t="shared" si="50"/>
        <v>-5.421020667123666E-2</v>
      </c>
      <c r="O110" s="40">
        <f t="shared" si="50"/>
        <v>-4.7803479346283595E-2</v>
      </c>
      <c r="P110" s="40">
        <f t="shared" si="50"/>
        <v>-2.6366852646140693E-2</v>
      </c>
      <c r="Q110" s="40">
        <f t="shared" si="49"/>
        <v>-1.1554333017632867E-2</v>
      </c>
      <c r="R110" s="40">
        <f t="shared" si="49"/>
        <v>-3.3821240895303251E-2</v>
      </c>
      <c r="S110" s="40">
        <f t="shared" si="49"/>
        <v>-4.3049348480556748E-2</v>
      </c>
      <c r="T110" s="40">
        <f t="shared" si="49"/>
        <v>-3.9413743886534514E-2</v>
      </c>
      <c r="U110" s="40">
        <f t="shared" si="49"/>
        <v>-6.6025130412410871E-2</v>
      </c>
      <c r="V110" s="40">
        <f t="shared" si="49"/>
        <v>-2.2110192229547021E-2</v>
      </c>
      <c r="W110" s="40">
        <f t="shared" si="46"/>
        <v>-2.2088691574079999E-2</v>
      </c>
      <c r="X110" s="40">
        <f t="shared" si="46"/>
        <v>-3.1290195084784589E-2</v>
      </c>
      <c r="Z110" s="93">
        <f t="shared" si="48"/>
        <v>-7.8179203887868462E-2</v>
      </c>
      <c r="AA110" s="93">
        <f t="shared" si="51"/>
        <v>-5.3923264913930034E-2</v>
      </c>
      <c r="AB110" s="93">
        <f t="shared" si="52"/>
        <v>-4.1245129034435522E-2</v>
      </c>
      <c r="AC110" s="93">
        <f t="shared" si="53"/>
        <v>-2.3483134984652085E-2</v>
      </c>
      <c r="AD110" s="93">
        <f t="shared" si="54"/>
        <v>-5.3456330195700993E-2</v>
      </c>
      <c r="AE110" s="93">
        <f t="shared" si="55"/>
        <v>-7.0748551810144139E-2</v>
      </c>
      <c r="AF110" s="93">
        <f t="shared" si="56"/>
        <v>-4.932324232955855E-2</v>
      </c>
      <c r="AG110" s="93">
        <f t="shared" si="57"/>
        <v>-8.2777051086191447E-2</v>
      </c>
      <c r="AH110" s="93">
        <f t="shared" si="58"/>
        <v>-4.2408271839869338E-2</v>
      </c>
      <c r="AI110" s="93">
        <f t="shared" si="59"/>
        <v>-4.3313188503392275E-2</v>
      </c>
    </row>
    <row r="111" spans="1:35" x14ac:dyDescent="0.2">
      <c r="A111" s="86">
        <v>43191</v>
      </c>
      <c r="B111" s="87">
        <v>39.920119999999997</v>
      </c>
      <c r="C111" s="87">
        <v>37.810223000000001</v>
      </c>
      <c r="D111" s="87">
        <v>97.571426000000002</v>
      </c>
      <c r="E111" s="87">
        <v>83.799828000000005</v>
      </c>
      <c r="F111" s="87">
        <v>71.077399999999997</v>
      </c>
      <c r="G111" s="88">
        <v>1566.130005</v>
      </c>
      <c r="H111" s="87">
        <v>225.55711400000001</v>
      </c>
      <c r="I111" s="87">
        <v>1017.330017</v>
      </c>
      <c r="J111" s="88">
        <v>172.84983800000001</v>
      </c>
      <c r="K111" s="89">
        <v>90.060592999999997</v>
      </c>
      <c r="L111" s="90">
        <v>251.08667</v>
      </c>
      <c r="M111" s="39"/>
      <c r="N111" s="40">
        <f t="shared" si="50"/>
        <v>-1.5020060023391846E-2</v>
      </c>
      <c r="O111" s="40">
        <f t="shared" si="50"/>
        <v>-4.0811808868838617E-2</v>
      </c>
      <c r="P111" s="40">
        <f t="shared" si="50"/>
        <v>-1.0951449060415674E-3</v>
      </c>
      <c r="Q111" s="40">
        <f t="shared" si="49"/>
        <v>1.9542044428710881E-4</v>
      </c>
      <c r="R111" s="40">
        <f t="shared" si="49"/>
        <v>0.10051280849142663</v>
      </c>
      <c r="S111" s="40">
        <f t="shared" si="49"/>
        <v>8.2074731431827308E-2</v>
      </c>
      <c r="T111" s="40">
        <f t="shared" si="49"/>
        <v>-5.372026942014374E-2</v>
      </c>
      <c r="U111" s="40">
        <f t="shared" si="49"/>
        <v>-1.4014500483077397E-2</v>
      </c>
      <c r="V111" s="40">
        <f t="shared" si="49"/>
        <v>4.2717223854513708E-2</v>
      </c>
      <c r="W111" s="40">
        <f t="shared" si="46"/>
        <v>2.465187408742886E-2</v>
      </c>
      <c r="X111" s="40">
        <f t="shared" si="46"/>
        <v>9.193939410381935E-3</v>
      </c>
      <c r="Z111" s="93">
        <f t="shared" si="48"/>
        <v>-3.8989057240023647E-2</v>
      </c>
      <c r="AA111" s="93">
        <f t="shared" si="51"/>
        <v>-4.6931594436485057E-2</v>
      </c>
      <c r="AB111" s="93">
        <f t="shared" si="52"/>
        <v>-1.5973421294336397E-2</v>
      </c>
      <c r="AC111" s="93">
        <f t="shared" si="53"/>
        <v>-1.1733381522732109E-2</v>
      </c>
      <c r="AD111" s="93">
        <f t="shared" si="54"/>
        <v>8.0877719191028888E-2</v>
      </c>
      <c r="AE111" s="93">
        <f t="shared" si="55"/>
        <v>5.437552810223991E-2</v>
      </c>
      <c r="AF111" s="93">
        <f t="shared" si="56"/>
        <v>-6.3629767863167777E-2</v>
      </c>
      <c r="AG111" s="93">
        <f t="shared" si="57"/>
        <v>-3.076642115685797E-2</v>
      </c>
      <c r="AH111" s="93">
        <f t="shared" si="58"/>
        <v>2.2419144244191388E-2</v>
      </c>
      <c r="AI111" s="93">
        <f t="shared" si="59"/>
        <v>3.4273771581165881E-3</v>
      </c>
    </row>
    <row r="112" spans="1:35" x14ac:dyDescent="0.2">
      <c r="A112" s="86">
        <v>43221</v>
      </c>
      <c r="B112" s="87">
        <v>45.140228</v>
      </c>
      <c r="C112" s="87">
        <v>37.764263</v>
      </c>
      <c r="D112" s="87">
        <v>96.735068999999996</v>
      </c>
      <c r="E112" s="87">
        <v>78.191704000000001</v>
      </c>
      <c r="F112" s="87">
        <v>63.387332999999998</v>
      </c>
      <c r="G112" s="88">
        <v>1629.619995</v>
      </c>
      <c r="H112" s="87">
        <v>213.77435299999999</v>
      </c>
      <c r="I112" s="87">
        <v>1084.98999</v>
      </c>
      <c r="J112" s="88">
        <v>174.486694</v>
      </c>
      <c r="K112" s="89">
        <v>95.183823000000004</v>
      </c>
      <c r="L112" s="90">
        <v>257.190338</v>
      </c>
      <c r="M112" s="39"/>
      <c r="N112" s="40">
        <f t="shared" si="50"/>
        <v>0.1307638353792524</v>
      </c>
      <c r="O112" s="40">
        <f t="shared" si="50"/>
        <v>-1.2155442722462384E-3</v>
      </c>
      <c r="P112" s="40">
        <f t="shared" si="50"/>
        <v>-8.5717410750971723E-3</v>
      </c>
      <c r="Q112" s="40">
        <f t="shared" si="49"/>
        <v>-6.6922858123288798E-2</v>
      </c>
      <c r="R112" s="40">
        <f t="shared" si="49"/>
        <v>-0.10819285736394413</v>
      </c>
      <c r="S112" s="40">
        <f t="shared" si="49"/>
        <v>4.0539412307600831E-2</v>
      </c>
      <c r="T112" s="40">
        <f t="shared" si="49"/>
        <v>-5.2238480937471188E-2</v>
      </c>
      <c r="U112" s="40">
        <f t="shared" si="49"/>
        <v>6.6507398650756722E-2</v>
      </c>
      <c r="V112" s="40">
        <f t="shared" si="49"/>
        <v>9.469815065721976E-3</v>
      </c>
      <c r="W112" s="40">
        <f t="shared" si="46"/>
        <v>5.6886478639997407E-2</v>
      </c>
      <c r="X112" s="40">
        <f t="shared" si="46"/>
        <v>2.4309008518851316E-2</v>
      </c>
      <c r="Z112" s="93">
        <f t="shared" si="48"/>
        <v>0.1067948381626206</v>
      </c>
      <c r="AA112" s="93">
        <f t="shared" si="51"/>
        <v>-7.3353298398926795E-3</v>
      </c>
      <c r="AB112" s="93">
        <f t="shared" si="52"/>
        <v>-2.3450017463392002E-2</v>
      </c>
      <c r="AC112" s="93">
        <f t="shared" si="53"/>
        <v>-7.8851660090308015E-2</v>
      </c>
      <c r="AD112" s="93">
        <f t="shared" si="54"/>
        <v>-0.12782794666434188</v>
      </c>
      <c r="AE112" s="93">
        <f t="shared" si="55"/>
        <v>1.2840208978013433E-2</v>
      </c>
      <c r="AF112" s="93">
        <f t="shared" si="56"/>
        <v>-6.2147979380495225E-2</v>
      </c>
      <c r="AG112" s="93">
        <f t="shared" si="57"/>
        <v>4.9755477976976145E-2</v>
      </c>
      <c r="AH112" s="93">
        <f t="shared" si="58"/>
        <v>-1.0828264544600345E-2</v>
      </c>
      <c r="AI112" s="93">
        <f t="shared" si="59"/>
        <v>3.5661981710685131E-2</v>
      </c>
    </row>
    <row r="113" spans="1:35" x14ac:dyDescent="0.2">
      <c r="A113" s="86">
        <v>43252</v>
      </c>
      <c r="B113" s="87">
        <v>44.887512000000001</v>
      </c>
      <c r="C113" s="87">
        <v>39.024410000000003</v>
      </c>
      <c r="D113" s="87">
        <v>101.928246</v>
      </c>
      <c r="E113" s="87">
        <v>81.649039999999999</v>
      </c>
      <c r="F113" s="87">
        <v>69.266327000000004</v>
      </c>
      <c r="G113" s="88">
        <v>1699.8000489999999</v>
      </c>
      <c r="H113" s="87">
        <v>209.48713699999999</v>
      </c>
      <c r="I113" s="87">
        <v>1115.650024</v>
      </c>
      <c r="J113" s="88">
        <v>183.505493</v>
      </c>
      <c r="K113" s="89">
        <v>95.373940000000005</v>
      </c>
      <c r="L113" s="90">
        <v>257.51312300000001</v>
      </c>
      <c r="M113" s="39"/>
      <c r="N113" s="40">
        <f t="shared" si="50"/>
        <v>-5.5984652979599314E-3</v>
      </c>
      <c r="O113" s="40">
        <f t="shared" si="50"/>
        <v>3.3368769834062562E-2</v>
      </c>
      <c r="P113" s="40">
        <f t="shared" si="50"/>
        <v>5.3684532958776288E-2</v>
      </c>
      <c r="Q113" s="40">
        <f t="shared" si="49"/>
        <v>4.4216148557141066E-2</v>
      </c>
      <c r="R113" s="40">
        <f t="shared" si="49"/>
        <v>9.2747142398308613E-2</v>
      </c>
      <c r="S113" s="40">
        <f t="shared" si="49"/>
        <v>4.3065287745196024E-2</v>
      </c>
      <c r="T113" s="40">
        <f t="shared" si="49"/>
        <v>-2.0054865982917947E-2</v>
      </c>
      <c r="U113" s="40">
        <f t="shared" si="49"/>
        <v>2.8258356558662712E-2</v>
      </c>
      <c r="V113" s="40">
        <f t="shared" si="49"/>
        <v>5.1687603181936659E-2</v>
      </c>
      <c r="W113" s="40">
        <f t="shared" si="46"/>
        <v>1.99736671640105E-3</v>
      </c>
      <c r="X113" s="40">
        <f t="shared" si="46"/>
        <v>1.2550432590512361E-3</v>
      </c>
      <c r="Z113" s="93">
        <f t="shared" si="48"/>
        <v>-2.956746251459173E-2</v>
      </c>
      <c r="AA113" s="93">
        <f t="shared" si="51"/>
        <v>2.7248984266416122E-2</v>
      </c>
      <c r="AB113" s="93">
        <f t="shared" si="52"/>
        <v>3.8806256570481458E-2</v>
      </c>
      <c r="AC113" s="93">
        <f t="shared" si="53"/>
        <v>3.2287346590121849E-2</v>
      </c>
      <c r="AD113" s="93">
        <f t="shared" si="54"/>
        <v>7.311205309791087E-2</v>
      </c>
      <c r="AE113" s="93">
        <f t="shared" si="55"/>
        <v>1.5366084415608626E-2</v>
      </c>
      <c r="AF113" s="93">
        <f t="shared" si="56"/>
        <v>-2.9964364425941987E-2</v>
      </c>
      <c r="AG113" s="93">
        <f t="shared" si="57"/>
        <v>1.1506435884882139E-2</v>
      </c>
      <c r="AH113" s="93">
        <f t="shared" si="58"/>
        <v>3.1389523571614342E-2</v>
      </c>
      <c r="AI113" s="93">
        <f t="shared" si="59"/>
        <v>-1.9227130212911222E-2</v>
      </c>
    </row>
    <row r="114" spans="1:35" x14ac:dyDescent="0.2">
      <c r="A114" s="86">
        <v>43282</v>
      </c>
      <c r="B114" s="87">
        <v>46.143611999999997</v>
      </c>
      <c r="C114" s="87">
        <v>39.775593000000001</v>
      </c>
      <c r="D114" s="87">
        <v>110.43765999999999</v>
      </c>
      <c r="E114" s="87">
        <v>85.061806000000004</v>
      </c>
      <c r="F114" s="87">
        <v>70.110320999999999</v>
      </c>
      <c r="G114" s="88">
        <v>1777.4399410000001</v>
      </c>
      <c r="H114" s="87">
        <v>225.49993900000001</v>
      </c>
      <c r="I114" s="87">
        <v>1217.26001</v>
      </c>
      <c r="J114" s="88">
        <v>185.781677</v>
      </c>
      <c r="K114" s="89">
        <v>102.59878500000001</v>
      </c>
      <c r="L114" s="90">
        <v>268.25219700000002</v>
      </c>
      <c r="M114" s="39"/>
      <c r="N114" s="40">
        <f t="shared" si="50"/>
        <v>2.7983284081327442E-2</v>
      </c>
      <c r="O114" s="40">
        <f t="shared" si="50"/>
        <v>1.9249054630166018E-2</v>
      </c>
      <c r="P114" s="40">
        <f t="shared" si="50"/>
        <v>8.348435624017303E-2</v>
      </c>
      <c r="Q114" s="40">
        <f t="shared" si="49"/>
        <v>4.1797992970891151E-2</v>
      </c>
      <c r="R114" s="40">
        <f t="shared" si="49"/>
        <v>1.2184766199599295E-2</v>
      </c>
      <c r="S114" s="40">
        <f t="shared" si="49"/>
        <v>4.5675897024285872E-2</v>
      </c>
      <c r="T114" s="40">
        <f t="shared" si="49"/>
        <v>7.6438115625209191E-2</v>
      </c>
      <c r="U114" s="40">
        <f t="shared" si="49"/>
        <v>9.1076936148571264E-2</v>
      </c>
      <c r="V114" s="40">
        <f t="shared" si="49"/>
        <v>1.2403901173683174E-2</v>
      </c>
      <c r="W114" s="40">
        <f t="shared" si="46"/>
        <v>7.5752820948783217E-2</v>
      </c>
      <c r="X114" s="40">
        <f t="shared" si="46"/>
        <v>4.1703016432292683E-2</v>
      </c>
      <c r="Z114" s="93">
        <f t="shared" si="48"/>
        <v>4.0142868646956438E-3</v>
      </c>
      <c r="AA114" s="93">
        <f t="shared" si="51"/>
        <v>1.3129269062519577E-2</v>
      </c>
      <c r="AB114" s="93">
        <f t="shared" si="52"/>
        <v>6.8606079851878193E-2</v>
      </c>
      <c r="AC114" s="93">
        <f t="shared" si="53"/>
        <v>2.9869191003871934E-2</v>
      </c>
      <c r="AD114" s="93">
        <f t="shared" si="54"/>
        <v>-7.4503231007984477E-3</v>
      </c>
      <c r="AE114" s="93">
        <f t="shared" si="55"/>
        <v>1.7976693694698474E-2</v>
      </c>
      <c r="AF114" s="93">
        <f t="shared" si="56"/>
        <v>6.6528617182185154E-2</v>
      </c>
      <c r="AG114" s="93">
        <f t="shared" si="57"/>
        <v>7.4325015474790687E-2</v>
      </c>
      <c r="AH114" s="93">
        <f t="shared" si="58"/>
        <v>-7.8941784366391467E-3</v>
      </c>
      <c r="AI114" s="93">
        <f t="shared" si="59"/>
        <v>5.4528324019470942E-2</v>
      </c>
    </row>
    <row r="115" spans="1:35" x14ac:dyDescent="0.2">
      <c r="A115" s="86">
        <v>43313</v>
      </c>
      <c r="B115" s="87">
        <v>55.198231</v>
      </c>
      <c r="C115" s="87">
        <v>39.525199999999998</v>
      </c>
      <c r="D115" s="87">
        <v>109.81568900000001</v>
      </c>
      <c r="E115" s="87">
        <v>91.382087999999996</v>
      </c>
      <c r="F115" s="87">
        <v>74.343284999999995</v>
      </c>
      <c r="G115" s="88">
        <v>2012.709961</v>
      </c>
      <c r="H115" s="87">
        <v>225.86087000000001</v>
      </c>
      <c r="I115" s="87">
        <v>1218.1899410000001</v>
      </c>
      <c r="J115" s="88">
        <v>188.83845500000001</v>
      </c>
      <c r="K115" s="89">
        <v>108.64368399999999</v>
      </c>
      <c r="L115" s="90">
        <v>276.814819</v>
      </c>
      <c r="M115" s="39"/>
      <c r="N115" s="40">
        <f t="shared" si="50"/>
        <v>0.19622692302457811</v>
      </c>
      <c r="O115" s="40">
        <f t="shared" si="50"/>
        <v>-6.2951418474138654E-3</v>
      </c>
      <c r="P115" s="40">
        <f t="shared" si="50"/>
        <v>-5.6318741269960615E-3</v>
      </c>
      <c r="Q115" s="40">
        <f t="shared" si="49"/>
        <v>7.4302231485656289E-2</v>
      </c>
      <c r="R115" s="40">
        <f t="shared" si="49"/>
        <v>6.0375761223515179E-2</v>
      </c>
      <c r="S115" s="40">
        <f t="shared" si="49"/>
        <v>0.13236453990543007</v>
      </c>
      <c r="T115" s="40">
        <f t="shared" si="49"/>
        <v>1.6005813642370192E-3</v>
      </c>
      <c r="U115" s="40">
        <f t="shared" si="49"/>
        <v>7.6395428450837244E-4</v>
      </c>
      <c r="V115" s="40">
        <f t="shared" si="49"/>
        <v>1.6453603225898394E-2</v>
      </c>
      <c r="W115" s="40">
        <f t="shared" si="46"/>
        <v>5.8917841960798967E-2</v>
      </c>
      <c r="X115" s="40">
        <f t="shared" si="46"/>
        <v>3.1920044255965507E-2</v>
      </c>
      <c r="Z115" s="93">
        <f t="shared" si="48"/>
        <v>0.17225792580794633</v>
      </c>
      <c r="AA115" s="93">
        <f t="shared" si="51"/>
        <v>-1.2414927415060307E-2</v>
      </c>
      <c r="AB115" s="93">
        <f t="shared" si="52"/>
        <v>-2.0510150515290891E-2</v>
      </c>
      <c r="AC115" s="93">
        <f t="shared" si="53"/>
        <v>6.2373429518637072E-2</v>
      </c>
      <c r="AD115" s="93">
        <f t="shared" si="54"/>
        <v>4.0740671923117436E-2</v>
      </c>
      <c r="AE115" s="93">
        <f t="shared" si="55"/>
        <v>0.10466533657584268</v>
      </c>
      <c r="AF115" s="93">
        <f t="shared" si="56"/>
        <v>-8.308917078787021E-3</v>
      </c>
      <c r="AG115" s="93">
        <f t="shared" si="57"/>
        <v>-1.5987966389272201E-2</v>
      </c>
      <c r="AH115" s="93">
        <f t="shared" si="58"/>
        <v>-3.8444763844239262E-3</v>
      </c>
      <c r="AI115" s="93">
        <f t="shared" si="59"/>
        <v>3.7693345031486691E-2</v>
      </c>
    </row>
    <row r="116" spans="1:35" x14ac:dyDescent="0.2">
      <c r="A116" s="86">
        <v>43344</v>
      </c>
      <c r="B116" s="87">
        <v>54.931904000000003</v>
      </c>
      <c r="C116" s="87">
        <v>42.010593</v>
      </c>
      <c r="D116" s="87">
        <v>114.638885</v>
      </c>
      <c r="E116" s="87">
        <v>90.043152000000006</v>
      </c>
      <c r="F116" s="87">
        <v>74.156409999999994</v>
      </c>
      <c r="G116" s="88">
        <v>2003</v>
      </c>
      <c r="H116" s="87">
        <v>213.67802399999999</v>
      </c>
      <c r="I116" s="87">
        <v>1193.469971</v>
      </c>
      <c r="J116" s="88">
        <v>195.83805799999999</v>
      </c>
      <c r="K116" s="89">
        <v>111.042427</v>
      </c>
      <c r="L116" s="90">
        <v>277.20575000000002</v>
      </c>
      <c r="M116" s="39"/>
      <c r="N116" s="40">
        <f t="shared" si="50"/>
        <v>-4.8249191174259964E-3</v>
      </c>
      <c r="O116" s="40">
        <f t="shared" si="50"/>
        <v>6.2881225142440877E-2</v>
      </c>
      <c r="P116" s="40">
        <f t="shared" si="50"/>
        <v>4.3920828106810861E-2</v>
      </c>
      <c r="Q116" s="40">
        <f t="shared" si="49"/>
        <v>-1.4652061791365356E-2</v>
      </c>
      <c r="R116" s="40">
        <f t="shared" si="49"/>
        <v>-2.5136769245533985E-3</v>
      </c>
      <c r="S116" s="40">
        <f t="shared" si="49"/>
        <v>-4.8243220275889787E-3</v>
      </c>
      <c r="T116" s="40">
        <f t="shared" si="49"/>
        <v>-5.3939604500770844E-2</v>
      </c>
      <c r="U116" s="40">
        <f t="shared" si="49"/>
        <v>-2.0292377377297721E-2</v>
      </c>
      <c r="V116" s="40">
        <f t="shared" si="49"/>
        <v>3.7066618660907658E-2</v>
      </c>
      <c r="W116" s="40">
        <f t="shared" si="46"/>
        <v>2.2078991724912456E-2</v>
      </c>
      <c r="X116" s="40">
        <f t="shared" si="46"/>
        <v>1.4122473696034366E-3</v>
      </c>
      <c r="Z116" s="93">
        <f t="shared" si="48"/>
        <v>-2.8793916334057795E-2</v>
      </c>
      <c r="AA116" s="93">
        <f t="shared" si="51"/>
        <v>5.6761439574794438E-2</v>
      </c>
      <c r="AB116" s="93">
        <f t="shared" si="52"/>
        <v>2.9042551718516031E-2</v>
      </c>
      <c r="AC116" s="93">
        <f t="shared" si="53"/>
        <v>-2.6580863758384574E-2</v>
      </c>
      <c r="AD116" s="93">
        <f t="shared" si="54"/>
        <v>-2.2148766224951141E-2</v>
      </c>
      <c r="AE116" s="93">
        <f t="shared" si="55"/>
        <v>-3.2523525357176376E-2</v>
      </c>
      <c r="AF116" s="93">
        <f t="shared" si="56"/>
        <v>-6.384910294379488E-2</v>
      </c>
      <c r="AG116" s="93">
        <f t="shared" si="57"/>
        <v>-3.7044298051078298E-2</v>
      </c>
      <c r="AH116" s="93">
        <f t="shared" si="58"/>
        <v>1.6768539050585337E-2</v>
      </c>
      <c r="AI116" s="93">
        <f t="shared" si="59"/>
        <v>8.5449479560018374E-4</v>
      </c>
    </row>
    <row r="117" spans="1:35" x14ac:dyDescent="0.2">
      <c r="A117" s="86">
        <v>43374</v>
      </c>
      <c r="B117" s="87">
        <v>53.257713000000003</v>
      </c>
      <c r="C117" s="87">
        <v>35.743439000000002</v>
      </c>
      <c r="D117" s="87">
        <v>112.570404</v>
      </c>
      <c r="E117" s="87">
        <v>96.150841</v>
      </c>
      <c r="F117" s="87">
        <v>65.938170999999997</v>
      </c>
      <c r="G117" s="88">
        <v>1598.01001</v>
      </c>
      <c r="H117" s="87">
        <v>214.75477599999999</v>
      </c>
      <c r="I117" s="87">
        <v>1076.7700199999999</v>
      </c>
      <c r="J117" s="88">
        <v>166.275665</v>
      </c>
      <c r="K117" s="89">
        <v>103.702377</v>
      </c>
      <c r="L117" s="90">
        <v>259.217804</v>
      </c>
      <c r="M117" s="39"/>
      <c r="N117" s="40">
        <f t="shared" si="50"/>
        <v>-3.0477570921262798E-2</v>
      </c>
      <c r="O117" s="40">
        <f t="shared" si="50"/>
        <v>-0.14918032697134265</v>
      </c>
      <c r="P117" s="40">
        <f t="shared" si="50"/>
        <v>-1.8043450091127511E-2</v>
      </c>
      <c r="Q117" s="40">
        <f t="shared" si="49"/>
        <v>6.7830688556970831E-2</v>
      </c>
      <c r="R117" s="40">
        <f t="shared" si="49"/>
        <v>-0.11082304280911115</v>
      </c>
      <c r="S117" s="40">
        <f t="shared" si="49"/>
        <v>-0.20219170743884174</v>
      </c>
      <c r="T117" s="40">
        <f t="shared" si="49"/>
        <v>5.0391330837091797E-3</v>
      </c>
      <c r="U117" s="40">
        <f t="shared" si="49"/>
        <v>-9.7782058900248603E-2</v>
      </c>
      <c r="V117" s="40">
        <f t="shared" si="49"/>
        <v>-0.15095325853364006</v>
      </c>
      <c r="W117" s="40">
        <f t="shared" si="46"/>
        <v>-6.6101310988096462E-2</v>
      </c>
      <c r="X117" s="40">
        <f t="shared" si="46"/>
        <v>-6.4890234058997742E-2</v>
      </c>
      <c r="Z117" s="93">
        <f t="shared" si="48"/>
        <v>-5.4446568137894599E-2</v>
      </c>
      <c r="AA117" s="93">
        <f t="shared" si="51"/>
        <v>-0.15530011253898909</v>
      </c>
      <c r="AB117" s="93">
        <f t="shared" si="52"/>
        <v>-3.292172647942234E-2</v>
      </c>
      <c r="AC117" s="93">
        <f t="shared" si="53"/>
        <v>5.5901886589951613E-2</v>
      </c>
      <c r="AD117" s="93">
        <f t="shared" si="54"/>
        <v>-0.13045813210950891</v>
      </c>
      <c r="AE117" s="93">
        <f t="shared" si="55"/>
        <v>-0.22989091076842913</v>
      </c>
      <c r="AF117" s="93">
        <f t="shared" si="56"/>
        <v>-4.8703653593148606E-3</v>
      </c>
      <c r="AG117" s="93">
        <f t="shared" si="57"/>
        <v>-0.11453397957402918</v>
      </c>
      <c r="AH117" s="93">
        <f t="shared" si="58"/>
        <v>-0.17125133814396237</v>
      </c>
      <c r="AI117" s="93">
        <f t="shared" si="59"/>
        <v>-8.7325807917408738E-2</v>
      </c>
    </row>
    <row r="118" spans="1:35" x14ac:dyDescent="0.2">
      <c r="A118" s="86">
        <v>43405</v>
      </c>
      <c r="B118" s="87">
        <v>43.455925000000001</v>
      </c>
      <c r="C118" s="87">
        <v>39.549712999999997</v>
      </c>
      <c r="D118" s="87">
        <v>113.217415</v>
      </c>
      <c r="E118" s="87">
        <v>93.629149999999996</v>
      </c>
      <c r="F118" s="87">
        <v>60.703339</v>
      </c>
      <c r="G118" s="88">
        <v>1690.170044</v>
      </c>
      <c r="H118" s="87">
        <v>181.70825199999999</v>
      </c>
      <c r="I118" s="87">
        <v>1094.4300539999999</v>
      </c>
      <c r="J118" s="88">
        <v>170.47318999999999</v>
      </c>
      <c r="K118" s="89">
        <v>107.663681</v>
      </c>
      <c r="L118" s="90">
        <v>264.026093</v>
      </c>
      <c r="M118" s="39"/>
      <c r="N118" s="40">
        <f t="shared" si="50"/>
        <v>-0.18404447821482683</v>
      </c>
      <c r="O118" s="40">
        <f t="shared" si="50"/>
        <v>0.1064887460884778</v>
      </c>
      <c r="P118" s="40">
        <f t="shared" si="50"/>
        <v>5.7476119566917117E-3</v>
      </c>
      <c r="Q118" s="40">
        <f t="shared" si="49"/>
        <v>-2.6226406069604802E-2</v>
      </c>
      <c r="R118" s="40">
        <f t="shared" si="49"/>
        <v>-7.9390009164797659E-2</v>
      </c>
      <c r="S118" s="40">
        <f t="shared" si="49"/>
        <v>5.7671750128774235E-2</v>
      </c>
      <c r="T118" s="40">
        <f t="shared" si="49"/>
        <v>-0.15388027505381308</v>
      </c>
      <c r="U118" s="40">
        <f t="shared" si="49"/>
        <v>1.64009339710256E-2</v>
      </c>
      <c r="V118" s="40">
        <f t="shared" si="49"/>
        <v>2.5244373552798516E-2</v>
      </c>
      <c r="W118" s="40">
        <f t="shared" si="46"/>
        <v>3.8198777256571503E-2</v>
      </c>
      <c r="X118" s="40">
        <f t="shared" si="46"/>
        <v>1.8549223571078466E-2</v>
      </c>
      <c r="Z118" s="93">
        <f t="shared" si="48"/>
        <v>-0.20801347543145862</v>
      </c>
      <c r="AA118" s="93">
        <f t="shared" si="51"/>
        <v>0.10036896052083136</v>
      </c>
      <c r="AB118" s="93">
        <f t="shared" si="52"/>
        <v>-9.130664431603118E-3</v>
      </c>
      <c r="AC118" s="93">
        <f t="shared" si="53"/>
        <v>-3.8155208036624019E-2</v>
      </c>
      <c r="AD118" s="93">
        <f t="shared" si="54"/>
        <v>-9.9025098465195402E-2</v>
      </c>
      <c r="AE118" s="93">
        <f t="shared" si="55"/>
        <v>2.9972546799186837E-2</v>
      </c>
      <c r="AF118" s="93">
        <f t="shared" si="56"/>
        <v>-0.16378977349683713</v>
      </c>
      <c r="AG118" s="93">
        <f t="shared" si="57"/>
        <v>-3.5098670275497332E-4</v>
      </c>
      <c r="AH118" s="93">
        <f t="shared" si="58"/>
        <v>4.9462939424761952E-3</v>
      </c>
      <c r="AI118" s="93">
        <f t="shared" si="59"/>
        <v>1.6974280327259231E-2</v>
      </c>
    </row>
    <row r="119" spans="1:35" x14ac:dyDescent="0.2">
      <c r="A119" s="86">
        <v>43435</v>
      </c>
      <c r="B119" s="87">
        <v>38.518611999999997</v>
      </c>
      <c r="C119" s="87">
        <v>31.909105</v>
      </c>
      <c r="D119" s="87">
        <v>107.49234</v>
      </c>
      <c r="E119" s="87">
        <v>89.314430000000002</v>
      </c>
      <c r="F119" s="87">
        <v>49.77317</v>
      </c>
      <c r="G119" s="88">
        <v>1501.969971</v>
      </c>
      <c r="H119" s="87">
        <v>159.82637</v>
      </c>
      <c r="I119" s="87">
        <v>1035.6099850000001</v>
      </c>
      <c r="J119" s="88">
        <v>163.40902700000001</v>
      </c>
      <c r="K119" s="89">
        <v>99.040863000000002</v>
      </c>
      <c r="L119" s="90">
        <v>239.38108800000001</v>
      </c>
      <c r="M119" s="39"/>
      <c r="N119" s="40">
        <f t="shared" si="50"/>
        <v>-0.11361656667071296</v>
      </c>
      <c r="O119" s="40">
        <f t="shared" si="50"/>
        <v>-0.19318997333811239</v>
      </c>
      <c r="P119" s="40">
        <f t="shared" si="50"/>
        <v>-5.0567088110958891E-2</v>
      </c>
      <c r="Q119" s="40">
        <f t="shared" si="49"/>
        <v>-4.6083084167697685E-2</v>
      </c>
      <c r="R119" s="40">
        <f t="shared" si="49"/>
        <v>-0.18005877732689468</v>
      </c>
      <c r="S119" s="40">
        <f t="shared" si="49"/>
        <v>-0.11134978617571567</v>
      </c>
      <c r="T119" s="40">
        <f t="shared" si="49"/>
        <v>-0.12042316052877988</v>
      </c>
      <c r="U119" s="40">
        <f t="shared" si="49"/>
        <v>-5.3744932154430658E-2</v>
      </c>
      <c r="V119" s="40">
        <f t="shared" si="49"/>
        <v>-4.1438556995384346E-2</v>
      </c>
      <c r="W119" s="40">
        <f t="shared" si="46"/>
        <v>-8.0090313835730731E-2</v>
      </c>
      <c r="X119" s="40">
        <f t="shared" si="46"/>
        <v>-9.3343065906747347E-2</v>
      </c>
      <c r="Z119" s="93">
        <f t="shared" si="48"/>
        <v>-0.13758556388734475</v>
      </c>
      <c r="AA119" s="93">
        <f t="shared" si="51"/>
        <v>-0.19930975890575883</v>
      </c>
      <c r="AB119" s="93">
        <f t="shared" si="52"/>
        <v>-6.5445364499253728E-2</v>
      </c>
      <c r="AC119" s="93">
        <f t="shared" si="53"/>
        <v>-5.8011886134716903E-2</v>
      </c>
      <c r="AD119" s="93">
        <f t="shared" si="54"/>
        <v>-0.19969386662729244</v>
      </c>
      <c r="AE119" s="93">
        <f t="shared" si="55"/>
        <v>-0.13904898950530306</v>
      </c>
      <c r="AF119" s="93">
        <f t="shared" si="56"/>
        <v>-0.13033265897180393</v>
      </c>
      <c r="AG119" s="93">
        <f t="shared" si="57"/>
        <v>-7.0496852828211234E-2</v>
      </c>
      <c r="AH119" s="93">
        <f t="shared" si="58"/>
        <v>-6.1736636605706663E-2</v>
      </c>
      <c r="AI119" s="93">
        <f t="shared" si="59"/>
        <v>-0.10131481076504301</v>
      </c>
    </row>
    <row r="120" spans="1:35" x14ac:dyDescent="0.2">
      <c r="A120" s="86">
        <v>43466</v>
      </c>
      <c r="B120" s="87">
        <v>40.643065999999997</v>
      </c>
      <c r="C120" s="87">
        <v>34.829329999999999</v>
      </c>
      <c r="D120" s="87">
        <v>110.173546</v>
      </c>
      <c r="E120" s="87">
        <v>92.385506000000007</v>
      </c>
      <c r="F120" s="87">
        <v>56.091929999999998</v>
      </c>
      <c r="G120" s="88">
        <v>1718.7299800000001</v>
      </c>
      <c r="H120" s="87">
        <v>189.44754</v>
      </c>
      <c r="I120" s="87">
        <v>1116.369995</v>
      </c>
      <c r="J120" s="88">
        <v>174.54577599999999</v>
      </c>
      <c r="K120" s="89">
        <v>101.829651</v>
      </c>
      <c r="L120" s="90">
        <v>260.05712899999997</v>
      </c>
      <c r="M120" s="39"/>
      <c r="N120" s="40">
        <f t="shared" si="50"/>
        <v>5.5153960376350009E-2</v>
      </c>
      <c r="O120" s="40">
        <f t="shared" si="50"/>
        <v>9.1516982378540446E-2</v>
      </c>
      <c r="P120" s="40">
        <f t="shared" si="50"/>
        <v>2.4943228512841031E-2</v>
      </c>
      <c r="Q120" s="40">
        <f t="shared" si="49"/>
        <v>3.4384992436272688E-2</v>
      </c>
      <c r="R120" s="40">
        <f t="shared" si="49"/>
        <v>0.12695112648039086</v>
      </c>
      <c r="S120" s="40">
        <f t="shared" si="49"/>
        <v>0.14431713894764675</v>
      </c>
      <c r="T120" s="40">
        <f t="shared" si="49"/>
        <v>0.18533343402593716</v>
      </c>
      <c r="U120" s="40">
        <f t="shared" si="49"/>
        <v>7.7983035283306856E-2</v>
      </c>
      <c r="V120" s="40">
        <f t="shared" si="49"/>
        <v>6.815259355286396E-2</v>
      </c>
      <c r="W120" s="40">
        <f t="shared" si="46"/>
        <v>2.8157953349013054E-2</v>
      </c>
      <c r="X120" s="40">
        <f t="shared" si="46"/>
        <v>8.6372909291814848E-2</v>
      </c>
      <c r="Z120" s="93">
        <f t="shared" si="48"/>
        <v>3.118496315971821E-2</v>
      </c>
      <c r="AA120" s="93">
        <f t="shared" si="51"/>
        <v>8.5397196810893999E-2</v>
      </c>
      <c r="AB120" s="93">
        <f t="shared" si="52"/>
        <v>1.0064952124546202E-2</v>
      </c>
      <c r="AC120" s="93">
        <f t="shared" si="53"/>
        <v>2.245619046925347E-2</v>
      </c>
      <c r="AD120" s="93">
        <f t="shared" si="54"/>
        <v>0.10731603717999312</v>
      </c>
      <c r="AE120" s="93">
        <f t="shared" si="55"/>
        <v>0.11661793561805936</v>
      </c>
      <c r="AF120" s="93">
        <f t="shared" si="56"/>
        <v>0.17542393558291311</v>
      </c>
      <c r="AG120" s="93">
        <f t="shared" si="57"/>
        <v>6.123111460952628E-2</v>
      </c>
      <c r="AH120" s="93">
        <f t="shared" si="58"/>
        <v>4.7854513942541643E-2</v>
      </c>
      <c r="AI120" s="93">
        <f t="shared" si="59"/>
        <v>6.9334564197007821E-3</v>
      </c>
    </row>
    <row r="121" spans="1:35" x14ac:dyDescent="0.2">
      <c r="A121" s="86">
        <v>43497</v>
      </c>
      <c r="B121" s="87">
        <v>42.281590000000001</v>
      </c>
      <c r="C121" s="87">
        <v>35.075004999999997</v>
      </c>
      <c r="D121" s="87">
        <v>111.477608</v>
      </c>
      <c r="E121" s="87">
        <v>95.431915000000004</v>
      </c>
      <c r="F121" s="87">
        <v>65.181786000000002</v>
      </c>
      <c r="G121" s="88">
        <v>1639.829956</v>
      </c>
      <c r="H121" s="87">
        <v>188.194199</v>
      </c>
      <c r="I121" s="87">
        <v>1119.920044</v>
      </c>
      <c r="J121" s="88">
        <v>176.07698099999999</v>
      </c>
      <c r="K121" s="89">
        <v>109.240402</v>
      </c>
      <c r="L121" s="90">
        <v>268.48703</v>
      </c>
      <c r="M121" s="39"/>
      <c r="N121" s="40">
        <f t="shared" si="50"/>
        <v>4.0314970332208766E-2</v>
      </c>
      <c r="O121" s="40">
        <f t="shared" si="50"/>
        <v>7.0536814805222114E-3</v>
      </c>
      <c r="P121" s="40">
        <f t="shared" si="50"/>
        <v>1.1836434855241995E-2</v>
      </c>
      <c r="Q121" s="40">
        <f t="shared" si="49"/>
        <v>3.2974966874132816E-2</v>
      </c>
      <c r="R121" s="40">
        <f t="shared" si="49"/>
        <v>0.16205283005951143</v>
      </c>
      <c r="S121" s="40">
        <f t="shared" si="49"/>
        <v>-4.5906003222216496E-2</v>
      </c>
      <c r="T121" s="40">
        <f t="shared" si="49"/>
        <v>-6.6157681435188298E-3</v>
      </c>
      <c r="U121" s="40">
        <f t="shared" si="49"/>
        <v>3.1799932064637826E-3</v>
      </c>
      <c r="V121" s="40">
        <f t="shared" si="49"/>
        <v>8.7725124897894968E-3</v>
      </c>
      <c r="W121" s="40">
        <f t="shared" si="46"/>
        <v>7.2775963849665004E-2</v>
      </c>
      <c r="X121" s="40">
        <f t="shared" si="46"/>
        <v>3.2415573579603896E-2</v>
      </c>
      <c r="Z121" s="93">
        <f t="shared" si="48"/>
        <v>1.6345973115576968E-2</v>
      </c>
      <c r="AA121" s="93">
        <f t="shared" si="51"/>
        <v>9.3389591287577033E-4</v>
      </c>
      <c r="AB121" s="93">
        <f t="shared" si="52"/>
        <v>-3.0418415330528345E-3</v>
      </c>
      <c r="AC121" s="93">
        <f t="shared" si="53"/>
        <v>2.1046164907113599E-2</v>
      </c>
      <c r="AD121" s="93">
        <f t="shared" si="54"/>
        <v>0.14241774075911368</v>
      </c>
      <c r="AE121" s="93">
        <f t="shared" si="55"/>
        <v>-7.3605206551803887E-2</v>
      </c>
      <c r="AF121" s="93">
        <f t="shared" si="56"/>
        <v>-1.652526658654287E-2</v>
      </c>
      <c r="AG121" s="93">
        <f t="shared" si="57"/>
        <v>-1.357192746731679E-2</v>
      </c>
      <c r="AH121" s="93">
        <f t="shared" si="58"/>
        <v>-1.1525567120532824E-2</v>
      </c>
      <c r="AI121" s="93">
        <f t="shared" si="59"/>
        <v>5.1551466920352729E-2</v>
      </c>
    </row>
    <row r="122" spans="1:35" x14ac:dyDescent="0.2">
      <c r="A122" s="86">
        <v>43525</v>
      </c>
      <c r="B122" s="87">
        <v>46.582915999999997</v>
      </c>
      <c r="C122" s="87">
        <v>33.695442</v>
      </c>
      <c r="D122" s="87">
        <v>109.68946099999999</v>
      </c>
      <c r="E122" s="87">
        <v>94.024399000000003</v>
      </c>
      <c r="F122" s="87">
        <v>67.283805999999998</v>
      </c>
      <c r="G122" s="88">
        <v>1780.75</v>
      </c>
      <c r="H122" s="87">
        <v>184.42970299999999</v>
      </c>
      <c r="I122" s="87">
        <v>1173.3100589999999</v>
      </c>
      <c r="J122" s="88">
        <v>182.49655200000001</v>
      </c>
      <c r="K122" s="89">
        <v>115.494392</v>
      </c>
      <c r="L122" s="90">
        <v>272.14810199999999</v>
      </c>
      <c r="M122" s="39"/>
      <c r="N122" s="40">
        <f t="shared" si="50"/>
        <v>0.10173046945490927</v>
      </c>
      <c r="O122" s="40">
        <f t="shared" si="50"/>
        <v>-3.933179767187478E-2</v>
      </c>
      <c r="P122" s="40">
        <f t="shared" si="50"/>
        <v>-1.6040414143080772E-2</v>
      </c>
      <c r="Q122" s="40">
        <f t="shared" si="49"/>
        <v>-1.4748902398112884E-2</v>
      </c>
      <c r="R122" s="40">
        <f t="shared" si="49"/>
        <v>3.2248579380748987E-2</v>
      </c>
      <c r="S122" s="40">
        <f t="shared" si="49"/>
        <v>8.5935766378937961E-2</v>
      </c>
      <c r="T122" s="40">
        <f t="shared" si="49"/>
        <v>-2.000325206623399E-2</v>
      </c>
      <c r="U122" s="40">
        <f t="shared" si="49"/>
        <v>4.7673059595672251E-2</v>
      </c>
      <c r="V122" s="40">
        <f t="shared" si="49"/>
        <v>3.6458888399500733E-2</v>
      </c>
      <c r="W122" s="40">
        <f t="shared" si="46"/>
        <v>5.7249789322452393E-2</v>
      </c>
      <c r="X122" s="40">
        <f t="shared" si="46"/>
        <v>1.3635936156767059E-2</v>
      </c>
      <c r="Z122" s="93">
        <f t="shared" si="48"/>
        <v>7.7761472238277465E-2</v>
      </c>
      <c r="AA122" s="93">
        <f t="shared" si="51"/>
        <v>-4.5451583239521219E-2</v>
      </c>
      <c r="AB122" s="93">
        <f t="shared" si="52"/>
        <v>-3.0918690531375602E-2</v>
      </c>
      <c r="AC122" s="93">
        <f t="shared" si="53"/>
        <v>-2.6677704365132102E-2</v>
      </c>
      <c r="AD122" s="93">
        <f t="shared" si="54"/>
        <v>1.2613490080351245E-2</v>
      </c>
      <c r="AE122" s="93">
        <f t="shared" si="55"/>
        <v>5.8236563049350563E-2</v>
      </c>
      <c r="AF122" s="93">
        <f t="shared" si="56"/>
        <v>-2.991275050925803E-2</v>
      </c>
      <c r="AG122" s="93">
        <f t="shared" si="57"/>
        <v>3.0921138921891678E-2</v>
      </c>
      <c r="AH122" s="93">
        <f t="shared" si="58"/>
        <v>1.6160808789178412E-2</v>
      </c>
      <c r="AI122" s="93">
        <f t="shared" si="59"/>
        <v>3.6025292393140118E-2</v>
      </c>
    </row>
    <row r="123" spans="1:35" x14ac:dyDescent="0.2">
      <c r="A123" s="86">
        <v>43556</v>
      </c>
      <c r="B123" s="87">
        <v>49.211863999999998</v>
      </c>
      <c r="C123" s="87">
        <v>35.541023000000003</v>
      </c>
      <c r="D123" s="87">
        <v>135.31626900000001</v>
      </c>
      <c r="E123" s="87">
        <v>99.676993999999993</v>
      </c>
      <c r="F123" s="87">
        <v>70.960915</v>
      </c>
      <c r="G123" s="88">
        <v>1926.5200199999999</v>
      </c>
      <c r="H123" s="87">
        <v>197.81114199999999</v>
      </c>
      <c r="I123" s="87">
        <v>1188.4799800000001</v>
      </c>
      <c r="J123" s="88">
        <v>195.17100500000001</v>
      </c>
      <c r="K123" s="89">
        <v>127.891884</v>
      </c>
      <c r="L123" s="90">
        <v>284.513733</v>
      </c>
      <c r="M123" s="39"/>
      <c r="N123" s="40">
        <f t="shared" si="50"/>
        <v>5.6435883060648173E-2</v>
      </c>
      <c r="O123" s="40">
        <f t="shared" si="50"/>
        <v>5.4772422928893505E-2</v>
      </c>
      <c r="P123" s="40">
        <f t="shared" si="50"/>
        <v>0.23363053994768013</v>
      </c>
      <c r="Q123" s="40">
        <f t="shared" si="49"/>
        <v>6.0118384803501845E-2</v>
      </c>
      <c r="R123" s="40">
        <f t="shared" si="49"/>
        <v>5.4650728289657113E-2</v>
      </c>
      <c r="S123" s="40">
        <f t="shared" si="49"/>
        <v>8.1858778604520621E-2</v>
      </c>
      <c r="T123" s="40">
        <f t="shared" si="49"/>
        <v>7.2555769392525615E-2</v>
      </c>
      <c r="U123" s="40">
        <f t="shared" si="49"/>
        <v>1.2929166407155357E-2</v>
      </c>
      <c r="V123" s="40">
        <f t="shared" si="49"/>
        <v>6.9450369670545964E-2</v>
      </c>
      <c r="W123" s="40">
        <f t="shared" si="46"/>
        <v>0.10734280500822924</v>
      </c>
      <c r="X123" s="40">
        <f t="shared" si="46"/>
        <v>4.5437138488660045E-2</v>
      </c>
      <c r="Z123" s="93">
        <f t="shared" si="48"/>
        <v>3.2466885844016372E-2</v>
      </c>
      <c r="AA123" s="93">
        <f t="shared" si="51"/>
        <v>4.8652637361247066E-2</v>
      </c>
      <c r="AB123" s="93">
        <f t="shared" si="52"/>
        <v>0.21875226355938529</v>
      </c>
      <c r="AC123" s="93">
        <f t="shared" si="53"/>
        <v>4.8189582836482628E-2</v>
      </c>
      <c r="AD123" s="93">
        <f t="shared" si="54"/>
        <v>3.5015638989259371E-2</v>
      </c>
      <c r="AE123" s="93">
        <f t="shared" si="55"/>
        <v>5.4159575274933223E-2</v>
      </c>
      <c r="AF123" s="93">
        <f t="shared" si="56"/>
        <v>6.2646270949501578E-2</v>
      </c>
      <c r="AG123" s="93">
        <f t="shared" si="57"/>
        <v>-3.8227542666252161E-3</v>
      </c>
      <c r="AH123" s="93">
        <f t="shared" si="58"/>
        <v>4.9152290060223647E-2</v>
      </c>
      <c r="AI123" s="93">
        <f t="shared" si="59"/>
        <v>8.6118308078916961E-2</v>
      </c>
    </row>
    <row r="124" spans="1:35" x14ac:dyDescent="0.2">
      <c r="A124" s="86">
        <v>43586</v>
      </c>
      <c r="B124" s="87">
        <v>42.933776999999999</v>
      </c>
      <c r="C124" s="87">
        <v>31.235624000000001</v>
      </c>
      <c r="D124" s="87">
        <v>130.445786</v>
      </c>
      <c r="E124" s="87">
        <v>98.320053000000001</v>
      </c>
      <c r="F124" s="87">
        <v>59.765095000000002</v>
      </c>
      <c r="G124" s="88">
        <v>1775.0699460000001</v>
      </c>
      <c r="H124" s="87">
        <v>175.30381800000001</v>
      </c>
      <c r="I124" s="87">
        <v>1103.630005</v>
      </c>
      <c r="J124" s="88">
        <v>181.90089399999999</v>
      </c>
      <c r="K124" s="89">
        <v>121.11535600000001</v>
      </c>
      <c r="L124" s="90">
        <v>266.36996499999998</v>
      </c>
      <c r="M124" s="39"/>
      <c r="N124" s="40">
        <f t="shared" si="50"/>
        <v>-0.12757263167272026</v>
      </c>
      <c r="O124" s="40">
        <f t="shared" si="50"/>
        <v>-0.12113885973400373</v>
      </c>
      <c r="P124" s="40">
        <f t="shared" si="50"/>
        <v>-3.5993329080038494E-2</v>
      </c>
      <c r="Q124" s="40">
        <f t="shared" si="49"/>
        <v>-1.3613382040794653E-2</v>
      </c>
      <c r="R124" s="40">
        <f t="shared" si="49"/>
        <v>-0.15777445936259415</v>
      </c>
      <c r="S124" s="40">
        <f t="shared" si="49"/>
        <v>-7.8613288430815165E-2</v>
      </c>
      <c r="T124" s="40">
        <f t="shared" si="49"/>
        <v>-0.11378188191239491</v>
      </c>
      <c r="U124" s="40">
        <f t="shared" si="49"/>
        <v>-7.1393693144078063E-2</v>
      </c>
      <c r="V124" s="40">
        <f t="shared" si="49"/>
        <v>-6.7992225586992361E-2</v>
      </c>
      <c r="W124" s="40">
        <f t="shared" si="46"/>
        <v>-5.2986380277266099E-2</v>
      </c>
      <c r="X124" s="40">
        <f t="shared" si="46"/>
        <v>-6.3771150196113791E-2</v>
      </c>
      <c r="Z124" s="93">
        <f t="shared" si="48"/>
        <v>-0.15154162888935205</v>
      </c>
      <c r="AA124" s="93">
        <f t="shared" si="51"/>
        <v>-0.12725864530165018</v>
      </c>
      <c r="AB124" s="93">
        <f t="shared" si="52"/>
        <v>-5.0871605468333324E-2</v>
      </c>
      <c r="AC124" s="93">
        <f t="shared" si="53"/>
        <v>-2.554218400781387E-2</v>
      </c>
      <c r="AD124" s="93">
        <f t="shared" si="54"/>
        <v>-0.17740954866299191</v>
      </c>
      <c r="AE124" s="93">
        <f t="shared" si="55"/>
        <v>-0.10631249176040256</v>
      </c>
      <c r="AF124" s="93">
        <f t="shared" si="56"/>
        <v>-0.12369138035541895</v>
      </c>
      <c r="AG124" s="93">
        <f t="shared" si="57"/>
        <v>-8.814561381785864E-2</v>
      </c>
      <c r="AH124" s="93">
        <f t="shared" si="58"/>
        <v>-8.8290305197314678E-2</v>
      </c>
      <c r="AI124" s="93">
        <f t="shared" si="59"/>
        <v>-7.4210877206578374E-2</v>
      </c>
    </row>
    <row r="125" spans="1:35" x14ac:dyDescent="0.2">
      <c r="A125" s="86">
        <v>43617</v>
      </c>
      <c r="B125" s="87">
        <v>48.724384000000001</v>
      </c>
      <c r="C125" s="87">
        <v>34.587021</v>
      </c>
      <c r="D125" s="87">
        <v>137.954025</v>
      </c>
      <c r="E125" s="87">
        <v>107.660606</v>
      </c>
      <c r="F125" s="87">
        <v>66.497849000000002</v>
      </c>
      <c r="G125" s="88">
        <v>1893.630005</v>
      </c>
      <c r="H125" s="87">
        <v>190.104996</v>
      </c>
      <c r="I125" s="87">
        <v>1080.910034</v>
      </c>
      <c r="J125" s="88">
        <v>199.26220699999999</v>
      </c>
      <c r="K125" s="89">
        <v>131.667801</v>
      </c>
      <c r="L125" s="90">
        <v>283.526703</v>
      </c>
      <c r="M125" s="39"/>
      <c r="N125" s="40">
        <f t="shared" si="50"/>
        <v>0.13487299288855947</v>
      </c>
      <c r="O125" s="40">
        <f t="shared" si="50"/>
        <v>0.10729406270225295</v>
      </c>
      <c r="P125" s="40">
        <f t="shared" si="50"/>
        <v>5.7558310085999986E-2</v>
      </c>
      <c r="Q125" s="40">
        <f t="shared" si="49"/>
        <v>9.5001504932060943E-2</v>
      </c>
      <c r="R125" s="40">
        <f t="shared" si="49"/>
        <v>0.11265361495702475</v>
      </c>
      <c r="S125" s="40">
        <f t="shared" si="49"/>
        <v>6.6791767427062165E-2</v>
      </c>
      <c r="T125" s="40">
        <f t="shared" si="49"/>
        <v>8.4431578096034299E-2</v>
      </c>
      <c r="U125" s="40">
        <f t="shared" si="49"/>
        <v>-2.0586583272534376E-2</v>
      </c>
      <c r="V125" s="40">
        <f t="shared" si="49"/>
        <v>9.5443802491701923E-2</v>
      </c>
      <c r="W125" s="40">
        <f t="shared" si="46"/>
        <v>8.7127226047207351E-2</v>
      </c>
      <c r="X125" s="40">
        <f t="shared" si="46"/>
        <v>6.4409431446221799E-2</v>
      </c>
      <c r="Z125" s="93">
        <f t="shared" si="48"/>
        <v>0.11090399567192767</v>
      </c>
      <c r="AA125" s="93">
        <f t="shared" si="51"/>
        <v>0.1011742771346065</v>
      </c>
      <c r="AB125" s="93">
        <f t="shared" si="52"/>
        <v>4.2680033697705157E-2</v>
      </c>
      <c r="AC125" s="93">
        <f t="shared" si="53"/>
        <v>8.3072702965041725E-2</v>
      </c>
      <c r="AD125" s="93">
        <f t="shared" si="54"/>
        <v>9.3018525656627007E-2</v>
      </c>
      <c r="AE125" s="93">
        <f t="shared" si="55"/>
        <v>3.9092564097474768E-2</v>
      </c>
      <c r="AF125" s="93">
        <f t="shared" si="56"/>
        <v>7.4522079653010262E-2</v>
      </c>
      <c r="AG125" s="93">
        <f t="shared" si="57"/>
        <v>-3.7338503946314952E-2</v>
      </c>
      <c r="AH125" s="93">
        <f t="shared" si="58"/>
        <v>7.5145722881379606E-2</v>
      </c>
      <c r="AI125" s="93">
        <f t="shared" si="59"/>
        <v>6.5902729117895076E-2</v>
      </c>
    </row>
    <row r="126" spans="1:35" x14ac:dyDescent="0.2">
      <c r="A126" s="86">
        <v>43647</v>
      </c>
      <c r="B126" s="87">
        <v>52.446658999999997</v>
      </c>
      <c r="C126" s="87">
        <v>34.53875</v>
      </c>
      <c r="D126" s="87">
        <v>141.28334000000001</v>
      </c>
      <c r="E126" s="87">
        <v>107.55341300000001</v>
      </c>
      <c r="F126" s="87">
        <v>73.543876999999995</v>
      </c>
      <c r="G126" s="88">
        <v>1866.780029</v>
      </c>
      <c r="H126" s="87">
        <v>212.414658</v>
      </c>
      <c r="I126" s="87">
        <v>1216.6800539999999</v>
      </c>
      <c r="J126" s="88">
        <v>206.17884799999999</v>
      </c>
      <c r="K126" s="89">
        <v>133.93826300000001</v>
      </c>
      <c r="L126" s="90">
        <v>289.21328699999998</v>
      </c>
      <c r="M126" s="39"/>
      <c r="N126" s="40">
        <f t="shared" si="50"/>
        <v>7.639450095459388E-2</v>
      </c>
      <c r="O126" s="40">
        <f t="shared" si="50"/>
        <v>-1.3956391329568163E-3</v>
      </c>
      <c r="P126" s="40">
        <f t="shared" si="50"/>
        <v>2.413351114619533E-2</v>
      </c>
      <c r="Q126" s="40">
        <f t="shared" si="49"/>
        <v>-9.9565666572598577E-4</v>
      </c>
      <c r="R126" s="40">
        <f t="shared" si="49"/>
        <v>0.10595873559759794</v>
      </c>
      <c r="S126" s="40">
        <f t="shared" si="49"/>
        <v>-1.4179103588929487E-2</v>
      </c>
      <c r="T126" s="40">
        <f t="shared" si="49"/>
        <v>0.11735442239508531</v>
      </c>
      <c r="U126" s="40">
        <f t="shared" si="49"/>
        <v>0.12560714187985789</v>
      </c>
      <c r="V126" s="40">
        <f t="shared" si="49"/>
        <v>3.4711253599635228E-2</v>
      </c>
      <c r="W126" s="40">
        <f t="shared" si="46"/>
        <v>1.724386663068822E-2</v>
      </c>
      <c r="X126" s="40">
        <f t="shared" si="46"/>
        <v>2.0056608213018912E-2</v>
      </c>
      <c r="Z126" s="93">
        <f t="shared" si="48"/>
        <v>5.2425503737962079E-2</v>
      </c>
      <c r="AA126" s="93">
        <f t="shared" si="51"/>
        <v>-7.5154247006032574E-3</v>
      </c>
      <c r="AB126" s="93">
        <f t="shared" si="52"/>
        <v>9.2552347579005004E-3</v>
      </c>
      <c r="AC126" s="93">
        <f t="shared" si="53"/>
        <v>-1.2924458632745203E-2</v>
      </c>
      <c r="AD126" s="93">
        <f t="shared" si="54"/>
        <v>8.6323646297200199E-2</v>
      </c>
      <c r="AE126" s="93">
        <f t="shared" si="55"/>
        <v>-4.1878306918516885E-2</v>
      </c>
      <c r="AF126" s="93">
        <f t="shared" si="56"/>
        <v>0.10744492395206127</v>
      </c>
      <c r="AG126" s="93">
        <f t="shared" si="57"/>
        <v>0.10885522120607731</v>
      </c>
      <c r="AH126" s="93">
        <f t="shared" si="58"/>
        <v>1.4413173989312907E-2</v>
      </c>
      <c r="AI126" s="93">
        <f t="shared" si="59"/>
        <v>-3.9806302986240515E-3</v>
      </c>
    </row>
    <row r="127" spans="1:35" x14ac:dyDescent="0.2">
      <c r="A127" s="86">
        <v>43678</v>
      </c>
      <c r="B127" s="87">
        <v>51.388077000000003</v>
      </c>
      <c r="C127" s="87">
        <v>30.793354000000001</v>
      </c>
      <c r="D127" s="87">
        <v>136.44253499999999</v>
      </c>
      <c r="E127" s="87">
        <v>111.33406100000001</v>
      </c>
      <c r="F127" s="87">
        <v>61.166446999999998</v>
      </c>
      <c r="G127" s="88">
        <v>1776.290039</v>
      </c>
      <c r="H127" s="87">
        <v>196.76315299999999</v>
      </c>
      <c r="I127" s="87">
        <v>1188.099976</v>
      </c>
      <c r="J127" s="88">
        <v>219.89898700000001</v>
      </c>
      <c r="K127" s="89">
        <v>135.50105300000001</v>
      </c>
      <c r="L127" s="90">
        <v>284.37088</v>
      </c>
      <c r="M127" s="39"/>
      <c r="N127" s="40">
        <f t="shared" si="50"/>
        <v>-2.0183973968675328E-2</v>
      </c>
      <c r="O127" s="40">
        <f t="shared" si="50"/>
        <v>-0.10844040389417686</v>
      </c>
      <c r="P127" s="40">
        <f t="shared" si="50"/>
        <v>-3.4263098536600367E-2</v>
      </c>
      <c r="Q127" s="40">
        <f t="shared" si="49"/>
        <v>3.5151353123494156E-2</v>
      </c>
      <c r="R127" s="40">
        <f t="shared" si="49"/>
        <v>-0.16829993882427485</v>
      </c>
      <c r="S127" s="40">
        <f t="shared" si="49"/>
        <v>-4.8473836549705274E-2</v>
      </c>
      <c r="T127" s="40">
        <f t="shared" si="49"/>
        <v>-7.3683733257240758E-2</v>
      </c>
      <c r="U127" s="40">
        <f t="shared" si="49"/>
        <v>-2.3490216598882396E-2</v>
      </c>
      <c r="V127" s="40">
        <f t="shared" si="49"/>
        <v>6.6544842660096748E-2</v>
      </c>
      <c r="W127" s="40">
        <f t="shared" si="49"/>
        <v>1.166798766085253E-2</v>
      </c>
      <c r="X127" s="40">
        <f t="shared" si="49"/>
        <v>-1.6743376662359144E-2</v>
      </c>
      <c r="Z127" s="93">
        <f t="shared" si="48"/>
        <v>-4.415297118530713E-2</v>
      </c>
      <c r="AA127" s="93">
        <f t="shared" si="51"/>
        <v>-0.11456018946182331</v>
      </c>
      <c r="AB127" s="93">
        <f t="shared" si="52"/>
        <v>-4.9141374924895197E-2</v>
      </c>
      <c r="AC127" s="93">
        <f t="shared" si="53"/>
        <v>2.3222551156474938E-2</v>
      </c>
      <c r="AD127" s="93">
        <f t="shared" si="54"/>
        <v>-0.18793502812467261</v>
      </c>
      <c r="AE127" s="93">
        <f t="shared" si="55"/>
        <v>-7.6173039879292664E-2</v>
      </c>
      <c r="AF127" s="93">
        <f t="shared" si="56"/>
        <v>-8.3593231700264795E-2</v>
      </c>
      <c r="AG127" s="93">
        <f t="shared" si="57"/>
        <v>-4.0242137272662973E-2</v>
      </c>
      <c r="AH127" s="93">
        <f t="shared" si="58"/>
        <v>4.6246763049774431E-2</v>
      </c>
      <c r="AI127" s="93">
        <f t="shared" si="59"/>
        <v>-9.5565092684597418E-3</v>
      </c>
    </row>
    <row r="128" spans="1:35" x14ac:dyDescent="0.2">
      <c r="A128" s="86">
        <v>43709</v>
      </c>
      <c r="B128" s="87">
        <v>55.346919999999997</v>
      </c>
      <c r="C128" s="87">
        <v>34.722163999999999</v>
      </c>
      <c r="D128" s="87">
        <v>129.543869</v>
      </c>
      <c r="E128" s="87">
        <v>116.210098</v>
      </c>
      <c r="F128" s="87">
        <v>66.298079999999999</v>
      </c>
      <c r="G128" s="88">
        <v>1735.910034</v>
      </c>
      <c r="H128" s="87">
        <v>201.22178600000001</v>
      </c>
      <c r="I128" s="87">
        <v>1219</v>
      </c>
      <c r="J128" s="88">
        <v>223.86454800000001</v>
      </c>
      <c r="K128" s="89">
        <v>137.10607899999999</v>
      </c>
      <c r="L128" s="90">
        <v>288.57153299999999</v>
      </c>
      <c r="M128" s="39"/>
      <c r="N128" s="40">
        <f t="shared" si="50"/>
        <v>7.7038161984539721E-2</v>
      </c>
      <c r="O128" s="40">
        <f t="shared" si="50"/>
        <v>0.1275862967054513</v>
      </c>
      <c r="P128" s="40">
        <f t="shared" si="50"/>
        <v>-5.0560963265597447E-2</v>
      </c>
      <c r="Q128" s="40">
        <f t="shared" si="49"/>
        <v>4.3796453270486424E-2</v>
      </c>
      <c r="R128" s="40">
        <f t="shared" si="49"/>
        <v>8.389620865177938E-2</v>
      </c>
      <c r="S128" s="40">
        <f t="shared" si="49"/>
        <v>-2.2732776806389521E-2</v>
      </c>
      <c r="T128" s="40">
        <f t="shared" si="49"/>
        <v>2.2659898116188515E-2</v>
      </c>
      <c r="U128" s="40">
        <f t="shared" si="49"/>
        <v>2.6007932517625232E-2</v>
      </c>
      <c r="V128" s="40">
        <f t="shared" si="49"/>
        <v>1.8033557380598531E-2</v>
      </c>
      <c r="W128" s="40">
        <f t="shared" si="49"/>
        <v>1.1845118281110123E-2</v>
      </c>
      <c r="X128" s="40">
        <f t="shared" si="49"/>
        <v>1.477174104465262E-2</v>
      </c>
      <c r="Z128" s="93">
        <f t="shared" si="48"/>
        <v>5.306916476790792E-2</v>
      </c>
      <c r="AA128" s="93">
        <f t="shared" si="51"/>
        <v>0.12146651113780485</v>
      </c>
      <c r="AB128" s="93">
        <f t="shared" si="52"/>
        <v>-6.5439239653892284E-2</v>
      </c>
      <c r="AC128" s="93">
        <f t="shared" si="53"/>
        <v>3.1867651303467207E-2</v>
      </c>
      <c r="AD128" s="93">
        <f t="shared" si="54"/>
        <v>6.4261119351381638E-2</v>
      </c>
      <c r="AE128" s="93">
        <f t="shared" si="55"/>
        <v>-5.0431980135976918E-2</v>
      </c>
      <c r="AF128" s="93">
        <f t="shared" si="56"/>
        <v>1.2750399673164475E-2</v>
      </c>
      <c r="AG128" s="93">
        <f t="shared" si="57"/>
        <v>9.2560118438446588E-3</v>
      </c>
      <c r="AH128" s="93">
        <f t="shared" si="58"/>
        <v>-2.2645222297237901E-3</v>
      </c>
      <c r="AI128" s="93">
        <f t="shared" si="59"/>
        <v>-9.3793786482021489E-3</v>
      </c>
    </row>
    <row r="129" spans="1:35" x14ac:dyDescent="0.2">
      <c r="A129" s="86">
        <v>43739</v>
      </c>
      <c r="B129" s="87">
        <v>61.472960999999998</v>
      </c>
      <c r="C129" s="87">
        <v>37.948349</v>
      </c>
      <c r="D129" s="87">
        <v>129.146255</v>
      </c>
      <c r="E129" s="87">
        <v>116.621368</v>
      </c>
      <c r="F129" s="87">
        <v>69.535422999999994</v>
      </c>
      <c r="G129" s="88">
        <v>1776.660034</v>
      </c>
      <c r="H129" s="87">
        <v>207.19348099999999</v>
      </c>
      <c r="I129" s="87">
        <v>1260.1099850000001</v>
      </c>
      <c r="J129" s="88">
        <v>227.046875</v>
      </c>
      <c r="K129" s="89">
        <v>141.385986</v>
      </c>
      <c r="L129" s="90">
        <v>296.31237800000002</v>
      </c>
      <c r="M129" s="39"/>
      <c r="N129" s="40">
        <f t="shared" si="50"/>
        <v>0.11068440664810253</v>
      </c>
      <c r="O129" s="40">
        <f t="shared" si="50"/>
        <v>9.2914283798671171E-2</v>
      </c>
      <c r="P129" s="40">
        <f t="shared" si="50"/>
        <v>-3.0693386191823491E-3</v>
      </c>
      <c r="Q129" s="40">
        <f t="shared" si="49"/>
        <v>3.5390211959032136E-3</v>
      </c>
      <c r="R129" s="40">
        <f t="shared" si="49"/>
        <v>4.8830116950596469E-2</v>
      </c>
      <c r="S129" s="40">
        <f t="shared" si="49"/>
        <v>2.3474718851702825E-2</v>
      </c>
      <c r="T129" s="40">
        <f t="shared" si="49"/>
        <v>2.9677179189732339E-2</v>
      </c>
      <c r="U129" s="40">
        <f t="shared" si="49"/>
        <v>3.3724351927809648E-2</v>
      </c>
      <c r="V129" s="40">
        <f t="shared" si="49"/>
        <v>1.4215412973741515E-2</v>
      </c>
      <c r="W129" s="40">
        <f t="shared" si="49"/>
        <v>3.1216026533732455E-2</v>
      </c>
      <c r="X129" s="40">
        <f t="shared" si="49"/>
        <v>2.6824700688685255E-2</v>
      </c>
      <c r="Z129" s="93">
        <f t="shared" si="48"/>
        <v>8.6715409431470727E-2</v>
      </c>
      <c r="AA129" s="93">
        <f t="shared" si="51"/>
        <v>8.6794498231024725E-2</v>
      </c>
      <c r="AB129" s="93">
        <f t="shared" si="52"/>
        <v>-1.7947615007477179E-2</v>
      </c>
      <c r="AC129" s="93">
        <f t="shared" si="53"/>
        <v>-8.3897807711160038E-3</v>
      </c>
      <c r="AD129" s="93">
        <f t="shared" si="54"/>
        <v>2.9195027650198727E-2</v>
      </c>
      <c r="AE129" s="93">
        <f t="shared" si="55"/>
        <v>-4.2244844778845728E-3</v>
      </c>
      <c r="AF129" s="93">
        <f t="shared" si="56"/>
        <v>1.9767680746708299E-2</v>
      </c>
      <c r="AG129" s="93">
        <f t="shared" si="57"/>
        <v>1.6972431254029075E-2</v>
      </c>
      <c r="AH129" s="93">
        <f t="shared" si="58"/>
        <v>-6.0826666365808059E-3</v>
      </c>
      <c r="AI129" s="93">
        <f t="shared" si="59"/>
        <v>9.991529604420183E-3</v>
      </c>
    </row>
    <row r="130" spans="1:35" x14ac:dyDescent="0.2">
      <c r="A130" s="86">
        <v>43770</v>
      </c>
      <c r="B130" s="87">
        <v>66.042168000000004</v>
      </c>
      <c r="C130" s="87">
        <v>35.480877</v>
      </c>
      <c r="D130" s="87">
        <v>150.67726099999999</v>
      </c>
      <c r="E130" s="87">
        <v>116.611572</v>
      </c>
      <c r="F130" s="87">
        <v>78.063995000000006</v>
      </c>
      <c r="G130" s="88">
        <v>1800.8000489999999</v>
      </c>
      <c r="H130" s="87">
        <v>214.93241900000001</v>
      </c>
      <c r="I130" s="87">
        <v>1304.959961</v>
      </c>
      <c r="J130" s="88">
        <v>214.058334</v>
      </c>
      <c r="K130" s="89">
        <v>149.28517199999999</v>
      </c>
      <c r="L130" s="90">
        <v>307.03836100000001</v>
      </c>
      <c r="M130" s="39"/>
      <c r="N130" s="40">
        <f t="shared" si="50"/>
        <v>7.4328728040284453E-2</v>
      </c>
      <c r="O130" s="40">
        <f t="shared" si="50"/>
        <v>-6.5021853783414962E-2</v>
      </c>
      <c r="P130" s="40">
        <f t="shared" si="50"/>
        <v>0.16671800510204493</v>
      </c>
      <c r="Q130" s="40">
        <f t="shared" si="49"/>
        <v>-8.3998328676893053E-5</v>
      </c>
      <c r="R130" s="40">
        <f t="shared" si="49"/>
        <v>0.12265075312765417</v>
      </c>
      <c r="S130" s="40">
        <f t="shared" si="49"/>
        <v>1.358730119326812E-2</v>
      </c>
      <c r="T130" s="40">
        <f t="shared" si="49"/>
        <v>3.7351262031260601E-2</v>
      </c>
      <c r="U130" s="40">
        <f t="shared" si="49"/>
        <v>3.5592112223442163E-2</v>
      </c>
      <c r="V130" s="40">
        <f t="shared" si="49"/>
        <v>-5.720642928910602E-2</v>
      </c>
      <c r="W130" s="40">
        <f t="shared" si="49"/>
        <v>5.5869653163503674E-2</v>
      </c>
      <c r="X130" s="40">
        <f t="shared" si="49"/>
        <v>3.6198227939029826E-2</v>
      </c>
      <c r="Z130" s="93">
        <f t="shared" si="48"/>
        <v>5.0359730823652651E-2</v>
      </c>
      <c r="AA130" s="93">
        <f t="shared" si="51"/>
        <v>-7.1141639351061409E-2</v>
      </c>
      <c r="AB130" s="93">
        <f t="shared" si="52"/>
        <v>0.15183972871375009</v>
      </c>
      <c r="AC130" s="93">
        <f t="shared" si="53"/>
        <v>-1.2012800295696111E-2</v>
      </c>
      <c r="AD130" s="93">
        <f t="shared" si="54"/>
        <v>0.10301566382725642</v>
      </c>
      <c r="AE130" s="93">
        <f t="shared" si="55"/>
        <v>-1.4111902136319278E-2</v>
      </c>
      <c r="AF130" s="93">
        <f t="shared" si="56"/>
        <v>2.7441763588236561E-2</v>
      </c>
      <c r="AG130" s="93">
        <f t="shared" si="57"/>
        <v>1.884019154966159E-2</v>
      </c>
      <c r="AH130" s="93">
        <f t="shared" si="58"/>
        <v>-7.7504508899428337E-2</v>
      </c>
      <c r="AI130" s="93">
        <f t="shared" si="59"/>
        <v>3.4645156234191399E-2</v>
      </c>
    </row>
    <row r="131" spans="1:35" x14ac:dyDescent="0.2">
      <c r="A131" s="86">
        <v>43800</v>
      </c>
      <c r="B131" s="87">
        <v>72.783935999999997</v>
      </c>
      <c r="C131" s="87">
        <v>36.270851</v>
      </c>
      <c r="D131" s="87">
        <v>143.76864599999999</v>
      </c>
      <c r="E131" s="87">
        <v>116.36676799999999</v>
      </c>
      <c r="F131" s="87">
        <v>84.995261999999997</v>
      </c>
      <c r="G131" s="88">
        <v>1847.839966</v>
      </c>
      <c r="H131" s="87">
        <v>224.522446</v>
      </c>
      <c r="I131" s="87">
        <v>1337.0200199999999</v>
      </c>
      <c r="J131" s="88">
        <v>211.99066199999999</v>
      </c>
      <c r="K131" s="89">
        <v>156.04688999999999</v>
      </c>
      <c r="L131" s="90">
        <v>314.41369600000002</v>
      </c>
      <c r="M131" s="39"/>
      <c r="N131" s="40">
        <f t="shared" si="50"/>
        <v>0.10208277838486457</v>
      </c>
      <c r="O131" s="40">
        <f t="shared" si="50"/>
        <v>2.2264782237485292E-2</v>
      </c>
      <c r="P131" s="40">
        <f t="shared" si="50"/>
        <v>-4.5850415345683793E-2</v>
      </c>
      <c r="Q131" s="40">
        <f t="shared" si="49"/>
        <v>-2.0993113788055906E-3</v>
      </c>
      <c r="R131" s="40">
        <f t="shared" si="49"/>
        <v>8.8789550163298703E-2</v>
      </c>
      <c r="S131" s="40">
        <f t="shared" si="49"/>
        <v>2.6121676876964539E-2</v>
      </c>
      <c r="T131" s="40">
        <f t="shared" si="49"/>
        <v>4.4618801782526862E-2</v>
      </c>
      <c r="U131" s="40">
        <f t="shared" si="49"/>
        <v>2.4567848790879365E-2</v>
      </c>
      <c r="V131" s="40">
        <f t="shared" si="49"/>
        <v>-9.6593856513897958E-3</v>
      </c>
      <c r="W131" s="40">
        <f t="shared" si="49"/>
        <v>4.5293969316657856E-2</v>
      </c>
      <c r="X131" s="40">
        <f t="shared" si="49"/>
        <v>2.4020890992184629E-2</v>
      </c>
      <c r="Z131" s="93">
        <f t="shared" si="48"/>
        <v>7.8113781168232768E-2</v>
      </c>
      <c r="AA131" s="93">
        <f t="shared" si="51"/>
        <v>1.6144996669838853E-2</v>
      </c>
      <c r="AB131" s="93">
        <f t="shared" si="52"/>
        <v>-6.0728691733978622E-2</v>
      </c>
      <c r="AC131" s="93">
        <f t="shared" si="53"/>
        <v>-1.4028113345824808E-2</v>
      </c>
      <c r="AD131" s="93">
        <f t="shared" si="54"/>
        <v>6.915446086290096E-2</v>
      </c>
      <c r="AE131" s="93">
        <f t="shared" si="55"/>
        <v>-1.5775264526228586E-3</v>
      </c>
      <c r="AF131" s="93">
        <f t="shared" si="56"/>
        <v>3.4709303339502826E-2</v>
      </c>
      <c r="AG131" s="93">
        <f t="shared" si="57"/>
        <v>7.8159281170987922E-3</v>
      </c>
      <c r="AH131" s="93">
        <f t="shared" si="58"/>
        <v>-2.9957465261712116E-2</v>
      </c>
      <c r="AI131" s="93">
        <f t="shared" si="59"/>
        <v>2.4069472387345584E-2</v>
      </c>
    </row>
    <row r="132" spans="1:35" x14ac:dyDescent="0.2">
      <c r="A132" s="86">
        <v>43831</v>
      </c>
      <c r="B132" s="87">
        <v>76.714989000000003</v>
      </c>
      <c r="C132" s="87">
        <v>32.897049000000003</v>
      </c>
      <c r="D132" s="87">
        <v>138.30999800000001</v>
      </c>
      <c r="E132" s="87">
        <v>112.61016100000001</v>
      </c>
      <c r="F132" s="87">
        <v>82.470946999999995</v>
      </c>
      <c r="G132" s="88">
        <v>2008.719971</v>
      </c>
      <c r="H132" s="87">
        <v>232.158569</v>
      </c>
      <c r="I132" s="87">
        <v>1434.2299800000001</v>
      </c>
      <c r="J132" s="88">
        <v>222.84248400000001</v>
      </c>
      <c r="K132" s="89">
        <v>168.44555700000001</v>
      </c>
      <c r="L132" s="90">
        <v>315.831909</v>
      </c>
      <c r="M132" s="39"/>
      <c r="N132" s="40">
        <f t="shared" si="50"/>
        <v>5.4009898557835667E-2</v>
      </c>
      <c r="O132" s="40">
        <f t="shared" si="50"/>
        <v>-9.3016896681028971E-2</v>
      </c>
      <c r="P132" s="40">
        <f t="shared" si="50"/>
        <v>-3.7968278563324409E-2</v>
      </c>
      <c r="Q132" s="40">
        <f t="shared" si="49"/>
        <v>-3.2282472604205914E-2</v>
      </c>
      <c r="R132" s="40">
        <f t="shared" si="49"/>
        <v>-2.9699479013312602E-2</v>
      </c>
      <c r="S132" s="40">
        <f t="shared" si="49"/>
        <v>8.7063819356746119E-2</v>
      </c>
      <c r="T132" s="40">
        <f t="shared" si="49"/>
        <v>3.4010510468071464E-2</v>
      </c>
      <c r="U132" s="40">
        <f t="shared" si="49"/>
        <v>7.2706435614928289E-2</v>
      </c>
      <c r="V132" s="40">
        <f t="shared" ref="V132:X144" si="60">(J132/J131)-1</f>
        <v>5.1190094401422304E-2</v>
      </c>
      <c r="W132" s="40">
        <f t="shared" si="60"/>
        <v>7.9454752350399449E-2</v>
      </c>
      <c r="X132" s="40">
        <f t="shared" si="60"/>
        <v>4.5106591030945609E-3</v>
      </c>
      <c r="Z132" s="93">
        <f t="shared" si="48"/>
        <v>3.0040901341203869E-2</v>
      </c>
      <c r="AA132" s="93">
        <f t="shared" si="51"/>
        <v>-9.9136682248675417E-2</v>
      </c>
      <c r="AB132" s="93">
        <f t="shared" si="52"/>
        <v>-5.2846554951619239E-2</v>
      </c>
      <c r="AC132" s="93">
        <f t="shared" si="53"/>
        <v>-4.4211274571225131E-2</v>
      </c>
      <c r="AD132" s="93">
        <f t="shared" si="54"/>
        <v>-4.9334568313710345E-2</v>
      </c>
      <c r="AE132" s="93">
        <f t="shared" si="55"/>
        <v>5.9364616027158722E-2</v>
      </c>
      <c r="AF132" s="93">
        <f t="shared" si="56"/>
        <v>2.4101012025047424E-2</v>
      </c>
      <c r="AG132" s="93">
        <f t="shared" si="57"/>
        <v>5.5954514941147712E-2</v>
      </c>
      <c r="AH132" s="93">
        <f t="shared" si="58"/>
        <v>3.0892014791099983E-2</v>
      </c>
      <c r="AI132" s="93">
        <f t="shared" si="59"/>
        <v>5.8230255421087174E-2</v>
      </c>
    </row>
    <row r="133" spans="1:35" x14ac:dyDescent="0.2">
      <c r="A133" s="86">
        <v>43862</v>
      </c>
      <c r="B133" s="87">
        <v>67.754868000000002</v>
      </c>
      <c r="C133" s="87">
        <v>30.011168999999999</v>
      </c>
      <c r="D133" s="87">
        <v>117.650002</v>
      </c>
      <c r="E133" s="87">
        <v>105.91197200000001</v>
      </c>
      <c r="F133" s="87">
        <v>73.667816000000002</v>
      </c>
      <c r="G133" s="88">
        <v>1883.75</v>
      </c>
      <c r="H133" s="87">
        <v>196.04826399999999</v>
      </c>
      <c r="I133" s="87">
        <v>1339.329956</v>
      </c>
      <c r="J133" s="88">
        <v>212.81895399999999</v>
      </c>
      <c r="K133" s="89">
        <v>160.311722</v>
      </c>
      <c r="L133" s="90">
        <v>290.82882699999999</v>
      </c>
      <c r="M133" s="39"/>
      <c r="N133" s="40">
        <f t="shared" si="50"/>
        <v>-0.11679752701261548</v>
      </c>
      <c r="O133" s="40">
        <f t="shared" si="50"/>
        <v>-8.7724585873948824E-2</v>
      </c>
      <c r="P133" s="40">
        <f t="shared" si="50"/>
        <v>-0.14937456654435066</v>
      </c>
      <c r="Q133" s="40">
        <f t="shared" si="50"/>
        <v>-5.9481213245046294E-2</v>
      </c>
      <c r="R133" s="40">
        <f t="shared" si="50"/>
        <v>-0.10674220825910963</v>
      </c>
      <c r="S133" s="40">
        <f t="shared" si="50"/>
        <v>-6.2213734519593666E-2</v>
      </c>
      <c r="T133" s="40">
        <f t="shared" si="50"/>
        <v>-0.15554155573727724</v>
      </c>
      <c r="U133" s="40">
        <f t="shared" si="50"/>
        <v>-6.6167926569210334E-2</v>
      </c>
      <c r="V133" s="40">
        <f t="shared" si="60"/>
        <v>-4.4980336873286841E-2</v>
      </c>
      <c r="W133" s="40">
        <f t="shared" si="60"/>
        <v>-4.8287619720358665E-2</v>
      </c>
      <c r="X133" s="40">
        <f t="shared" si="60"/>
        <v>-7.9165788153469974E-2</v>
      </c>
      <c r="Z133" s="93">
        <f t="shared" si="48"/>
        <v>-0.14076652422924726</v>
      </c>
      <c r="AA133" s="93">
        <f t="shared" si="51"/>
        <v>-9.384437144159527E-2</v>
      </c>
      <c r="AB133" s="93">
        <f t="shared" si="52"/>
        <v>-0.1642528429326455</v>
      </c>
      <c r="AC133" s="93">
        <f t="shared" si="53"/>
        <v>-7.1410015212065511E-2</v>
      </c>
      <c r="AD133" s="93">
        <f t="shared" si="54"/>
        <v>-0.12637729755950738</v>
      </c>
      <c r="AE133" s="93">
        <f t="shared" si="55"/>
        <v>-8.9912937849181057E-2</v>
      </c>
      <c r="AF133" s="93">
        <f t="shared" si="56"/>
        <v>-0.16545105418030129</v>
      </c>
      <c r="AG133" s="93">
        <f t="shared" si="57"/>
        <v>-8.291984724299091E-2</v>
      </c>
      <c r="AH133" s="93">
        <f t="shared" si="58"/>
        <v>-6.5278416483609158E-2</v>
      </c>
      <c r="AI133" s="93">
        <f t="shared" si="59"/>
        <v>-6.9512116649670941E-2</v>
      </c>
    </row>
    <row r="134" spans="1:35" x14ac:dyDescent="0.2">
      <c r="A134" s="86">
        <v>43891</v>
      </c>
      <c r="B134" s="87">
        <v>63.177768999999998</v>
      </c>
      <c r="C134" s="87">
        <v>18.644943000000001</v>
      </c>
      <c r="D134" s="87">
        <v>96.599997999999999</v>
      </c>
      <c r="E134" s="87">
        <v>111.754448</v>
      </c>
      <c r="F134" s="87">
        <v>55.506481000000001</v>
      </c>
      <c r="G134" s="88">
        <v>1949.719971</v>
      </c>
      <c r="H134" s="87">
        <v>151.87730400000001</v>
      </c>
      <c r="I134" s="87">
        <v>1162.8100589999999</v>
      </c>
      <c r="J134" s="88">
        <v>182.40649400000001</v>
      </c>
      <c r="K134" s="89">
        <v>156.483047</v>
      </c>
      <c r="L134" s="90">
        <v>253.02482599999999</v>
      </c>
      <c r="M134" s="39"/>
      <c r="N134" s="40">
        <f t="shared" si="50"/>
        <v>-6.7553802923798867E-2</v>
      </c>
      <c r="O134" s="40">
        <f t="shared" si="50"/>
        <v>-0.37873319763052204</v>
      </c>
      <c r="P134" s="40">
        <f t="shared" si="50"/>
        <v>-0.17892055794440187</v>
      </c>
      <c r="Q134" s="40">
        <f t="shared" si="50"/>
        <v>5.5163508805217809E-2</v>
      </c>
      <c r="R134" s="40">
        <f t="shared" si="50"/>
        <v>-0.24653011296004756</v>
      </c>
      <c r="S134" s="40">
        <f t="shared" si="50"/>
        <v>3.5020555275381504E-2</v>
      </c>
      <c r="T134" s="40">
        <f t="shared" si="50"/>
        <v>-0.22530656022539419</v>
      </c>
      <c r="U134" s="40">
        <f t="shared" si="50"/>
        <v>-0.13179716933024388</v>
      </c>
      <c r="V134" s="40">
        <f t="shared" si="60"/>
        <v>-0.14290296718590201</v>
      </c>
      <c r="W134" s="40">
        <f t="shared" si="60"/>
        <v>-2.388268900261703E-2</v>
      </c>
      <c r="X134" s="40">
        <f t="shared" si="60"/>
        <v>-0.12998711781758832</v>
      </c>
      <c r="Z134" s="93">
        <f t="shared" si="48"/>
        <v>-9.1522800140430668E-2</v>
      </c>
      <c r="AA134" s="93">
        <f t="shared" si="51"/>
        <v>-0.38485298319816846</v>
      </c>
      <c r="AB134" s="93">
        <f t="shared" si="52"/>
        <v>-0.19379883433269671</v>
      </c>
      <c r="AC134" s="93">
        <f t="shared" si="53"/>
        <v>4.3234706838198592E-2</v>
      </c>
      <c r="AD134" s="93">
        <f t="shared" si="54"/>
        <v>-0.26616520226044532</v>
      </c>
      <c r="AE134" s="93">
        <f t="shared" si="55"/>
        <v>7.3213519457941065E-3</v>
      </c>
      <c r="AF134" s="93">
        <f t="shared" si="56"/>
        <v>-0.23521605866841824</v>
      </c>
      <c r="AG134" s="93">
        <f t="shared" si="57"/>
        <v>-0.14854909000402444</v>
      </c>
      <c r="AH134" s="93">
        <f t="shared" si="58"/>
        <v>-0.16320104679622432</v>
      </c>
      <c r="AI134" s="93">
        <f t="shared" si="59"/>
        <v>-4.5107185931929306E-2</v>
      </c>
    </row>
    <row r="135" spans="1:35" x14ac:dyDescent="0.2">
      <c r="A135" s="86">
        <v>43922</v>
      </c>
      <c r="B135" s="87">
        <v>72.993934999999993</v>
      </c>
      <c r="C135" s="87">
        <v>21.784282999999999</v>
      </c>
      <c r="D135" s="87">
        <v>108.150002</v>
      </c>
      <c r="E135" s="87">
        <v>120.083237</v>
      </c>
      <c r="F135" s="87">
        <v>75.407082000000003</v>
      </c>
      <c r="G135" s="88">
        <v>2474</v>
      </c>
      <c r="H135" s="87">
        <v>180.20138499999999</v>
      </c>
      <c r="I135" s="87">
        <v>1348.660034</v>
      </c>
      <c r="J135" s="88">
        <v>216.19996599999999</v>
      </c>
      <c r="K135" s="89">
        <v>177.81578099999999</v>
      </c>
      <c r="L135" s="90">
        <v>286.83160400000003</v>
      </c>
      <c r="M135" s="39"/>
      <c r="N135" s="40">
        <f t="shared" si="50"/>
        <v>0.15537373597348769</v>
      </c>
      <c r="O135" s="40">
        <f t="shared" si="50"/>
        <v>0.16837487784221161</v>
      </c>
      <c r="P135" s="40">
        <f t="shared" si="50"/>
        <v>0.11956526127464318</v>
      </c>
      <c r="Q135" s="40">
        <f t="shared" si="50"/>
        <v>7.4527583904311356E-2</v>
      </c>
      <c r="R135" s="40">
        <f t="shared" si="50"/>
        <v>0.35852752041694025</v>
      </c>
      <c r="S135" s="40">
        <f t="shared" si="50"/>
        <v>0.26890016863862765</v>
      </c>
      <c r="T135" s="40">
        <f t="shared" si="50"/>
        <v>0.18649317741378901</v>
      </c>
      <c r="U135" s="40">
        <f t="shared" si="50"/>
        <v>0.15982831724024504</v>
      </c>
      <c r="V135" s="40">
        <f t="shared" si="60"/>
        <v>0.18526463208047828</v>
      </c>
      <c r="W135" s="40">
        <f t="shared" si="60"/>
        <v>0.13632616701283928</v>
      </c>
      <c r="X135" s="40">
        <f t="shared" si="60"/>
        <v>0.13361051772840682</v>
      </c>
      <c r="Z135" s="93">
        <f t="shared" si="48"/>
        <v>0.1314047387568559</v>
      </c>
      <c r="AA135" s="93">
        <f t="shared" si="51"/>
        <v>0.16225509227456517</v>
      </c>
      <c r="AB135" s="93">
        <f t="shared" si="52"/>
        <v>0.10468698488634834</v>
      </c>
      <c r="AC135" s="93">
        <f t="shared" si="53"/>
        <v>6.2598781937292139E-2</v>
      </c>
      <c r="AD135" s="93">
        <f t="shared" si="54"/>
        <v>0.33889243111654249</v>
      </c>
      <c r="AE135" s="93">
        <f t="shared" si="55"/>
        <v>0.24120096530904026</v>
      </c>
      <c r="AF135" s="93">
        <f t="shared" si="56"/>
        <v>0.17658367897076496</v>
      </c>
      <c r="AG135" s="93">
        <f t="shared" si="57"/>
        <v>0.14307639656646448</v>
      </c>
      <c r="AH135" s="93">
        <f t="shared" si="58"/>
        <v>0.16496655247015596</v>
      </c>
      <c r="AI135" s="93">
        <f t="shared" si="59"/>
        <v>0.11510167008352701</v>
      </c>
    </row>
    <row r="136" spans="1:35" x14ac:dyDescent="0.2">
      <c r="A136" s="86">
        <v>43952</v>
      </c>
      <c r="B136" s="87">
        <v>78.991470000000007</v>
      </c>
      <c r="C136" s="87">
        <v>21.295311000000002</v>
      </c>
      <c r="D136" s="87">
        <v>117.300003</v>
      </c>
      <c r="E136" s="87">
        <v>122.562943</v>
      </c>
      <c r="F136" s="87">
        <v>76.743628999999999</v>
      </c>
      <c r="G136" s="88">
        <v>2442.3701169999999</v>
      </c>
      <c r="H136" s="87">
        <v>193.04205300000001</v>
      </c>
      <c r="I136" s="87">
        <v>1428.920044</v>
      </c>
      <c r="J136" s="88">
        <v>244.376846</v>
      </c>
      <c r="K136" s="89">
        <v>181.82435599999999</v>
      </c>
      <c r="L136" s="90">
        <v>300.497772</v>
      </c>
      <c r="M136" s="39"/>
      <c r="N136" s="40">
        <f t="shared" si="50"/>
        <v>8.2164840133635897E-2</v>
      </c>
      <c r="O136" s="40">
        <f t="shared" si="50"/>
        <v>-2.2446091064828533E-2</v>
      </c>
      <c r="P136" s="40">
        <f t="shared" si="50"/>
        <v>8.4604723354512856E-2</v>
      </c>
      <c r="Q136" s="40">
        <f t="shared" si="50"/>
        <v>2.0649893040441736E-2</v>
      </c>
      <c r="R136" s="40">
        <f t="shared" si="50"/>
        <v>1.7724422753820246E-2</v>
      </c>
      <c r="S136" s="40">
        <f t="shared" si="50"/>
        <v>-1.2784916329830254E-2</v>
      </c>
      <c r="T136" s="40">
        <f t="shared" si="50"/>
        <v>7.1257321357435899E-2</v>
      </c>
      <c r="U136" s="40">
        <f t="shared" si="50"/>
        <v>5.9510927866644137E-2</v>
      </c>
      <c r="V136" s="40">
        <f t="shared" si="60"/>
        <v>0.13032786508393812</v>
      </c>
      <c r="W136" s="40">
        <f t="shared" si="60"/>
        <v>2.2543415311377935E-2</v>
      </c>
      <c r="X136" s="40">
        <f t="shared" si="60"/>
        <v>4.7645265756697919E-2</v>
      </c>
      <c r="Z136" s="93">
        <f t="shared" si="48"/>
        <v>5.8195842917004095E-2</v>
      </c>
      <c r="AA136" s="93">
        <f t="shared" si="51"/>
        <v>-2.8565876632474972E-2</v>
      </c>
      <c r="AB136" s="93">
        <f t="shared" si="52"/>
        <v>6.972644696621802E-2</v>
      </c>
      <c r="AC136" s="93">
        <f t="shared" si="53"/>
        <v>8.7210910734225183E-3</v>
      </c>
      <c r="AD136" s="93">
        <f t="shared" si="54"/>
        <v>-1.9106665465774969E-3</v>
      </c>
      <c r="AE136" s="93">
        <f t="shared" si="55"/>
        <v>-4.0484119659417651E-2</v>
      </c>
      <c r="AF136" s="93">
        <f t="shared" si="56"/>
        <v>6.1347822914411862E-2</v>
      </c>
      <c r="AG136" s="93">
        <f t="shared" si="57"/>
        <v>4.275900719286356E-2</v>
      </c>
      <c r="AH136" s="93">
        <f t="shared" si="58"/>
        <v>0.1100297854736158</v>
      </c>
      <c r="AI136" s="93">
        <f t="shared" si="59"/>
        <v>1.3189183820656626E-3</v>
      </c>
    </row>
    <row r="137" spans="1:35" x14ac:dyDescent="0.2">
      <c r="A137" s="86">
        <v>43983</v>
      </c>
      <c r="B137" s="87">
        <v>90.879065999999995</v>
      </c>
      <c r="C137" s="87">
        <v>23.741091000000001</v>
      </c>
      <c r="D137" s="87">
        <v>111.510002</v>
      </c>
      <c r="E137" s="87">
        <v>118.855125</v>
      </c>
      <c r="F137" s="87">
        <v>85.765349999999998</v>
      </c>
      <c r="G137" s="88">
        <v>2758.820068</v>
      </c>
      <c r="H137" s="87">
        <v>195.36584500000001</v>
      </c>
      <c r="I137" s="87">
        <v>1413.6099850000001</v>
      </c>
      <c r="J137" s="88">
        <v>246.37335200000001</v>
      </c>
      <c r="K137" s="89">
        <v>202.489105</v>
      </c>
      <c r="L137" s="90">
        <v>304.48700000000002</v>
      </c>
      <c r="M137" s="39"/>
      <c r="N137" s="40">
        <f t="shared" si="50"/>
        <v>0.15049214807624156</v>
      </c>
      <c r="O137" s="40">
        <f t="shared" si="50"/>
        <v>0.11485063542861607</v>
      </c>
      <c r="P137" s="40">
        <f t="shared" si="50"/>
        <v>-4.9360621073470945E-2</v>
      </c>
      <c r="Q137" s="40">
        <f t="shared" si="50"/>
        <v>-3.025235776200319E-2</v>
      </c>
      <c r="R137" s="40">
        <f t="shared" si="50"/>
        <v>0.1175566117677338</v>
      </c>
      <c r="S137" s="40">
        <f t="shared" si="50"/>
        <v>0.12956674698783988</v>
      </c>
      <c r="T137" s="40">
        <f t="shared" si="50"/>
        <v>1.203775013727193E-2</v>
      </c>
      <c r="U137" s="40">
        <f t="shared" si="50"/>
        <v>-1.0714426649892972E-2</v>
      </c>
      <c r="V137" s="40">
        <f t="shared" si="60"/>
        <v>8.169783810042297E-3</v>
      </c>
      <c r="W137" s="40">
        <f t="shared" si="60"/>
        <v>0.11365226009655172</v>
      </c>
      <c r="X137" s="40">
        <f t="shared" si="60"/>
        <v>1.3275399592646675E-2</v>
      </c>
      <c r="Z137" s="93">
        <f t="shared" si="48"/>
        <v>0.12652315085960977</v>
      </c>
      <c r="AA137" s="93">
        <f t="shared" si="51"/>
        <v>0.10873084986096962</v>
      </c>
      <c r="AB137" s="93">
        <f t="shared" si="52"/>
        <v>-6.4238897461765782E-2</v>
      </c>
      <c r="AC137" s="93">
        <f t="shared" si="53"/>
        <v>-4.2181159729022408E-2</v>
      </c>
      <c r="AD137" s="93">
        <f t="shared" si="54"/>
        <v>9.7921522467336056E-2</v>
      </c>
      <c r="AE137" s="93">
        <f t="shared" si="55"/>
        <v>0.10186754365825249</v>
      </c>
      <c r="AF137" s="93">
        <f t="shared" si="56"/>
        <v>2.1282516942478895E-3</v>
      </c>
      <c r="AG137" s="93">
        <f t="shared" si="57"/>
        <v>-2.7466347323673545E-2</v>
      </c>
      <c r="AH137" s="93">
        <f t="shared" si="58"/>
        <v>-1.2128295800280024E-2</v>
      </c>
      <c r="AI137" s="93">
        <f t="shared" si="59"/>
        <v>9.2427763167239441E-2</v>
      </c>
    </row>
    <row r="138" spans="1:35" x14ac:dyDescent="0.2">
      <c r="A138" s="86">
        <v>44013</v>
      </c>
      <c r="B138" s="87">
        <v>105.88608600000001</v>
      </c>
      <c r="C138" s="87">
        <v>25.998343999999999</v>
      </c>
      <c r="D138" s="87">
        <v>116.94000200000001</v>
      </c>
      <c r="E138" s="87">
        <v>128.400848</v>
      </c>
      <c r="F138" s="87">
        <v>98.536934000000002</v>
      </c>
      <c r="G138" s="88">
        <v>3164.679932</v>
      </c>
      <c r="H138" s="87">
        <v>195.70198099999999</v>
      </c>
      <c r="I138" s="87">
        <v>1482.959961</v>
      </c>
      <c r="J138" s="88">
        <v>262.66507000000001</v>
      </c>
      <c r="K138" s="89">
        <v>203.981583</v>
      </c>
      <c r="L138" s="90">
        <v>323.837738</v>
      </c>
      <c r="M138" s="39"/>
      <c r="N138" s="40">
        <f t="shared" si="50"/>
        <v>0.16513175872648178</v>
      </c>
      <c r="O138" s="40">
        <f t="shared" si="50"/>
        <v>9.5077896799266703E-2</v>
      </c>
      <c r="P138" s="40">
        <f t="shared" si="50"/>
        <v>4.8695183415026877E-2</v>
      </c>
      <c r="Q138" s="40">
        <f t="shared" si="50"/>
        <v>8.0313936820141318E-2</v>
      </c>
      <c r="R138" s="40">
        <f t="shared" si="50"/>
        <v>0.14891309835498845</v>
      </c>
      <c r="S138" s="40">
        <f t="shared" si="50"/>
        <v>0.14711356811835397</v>
      </c>
      <c r="T138" s="40">
        <f t="shared" si="50"/>
        <v>1.7205463933573917E-3</v>
      </c>
      <c r="U138" s="40">
        <f t="shared" si="50"/>
        <v>4.9058776279087946E-2</v>
      </c>
      <c r="V138" s="40">
        <f t="shared" si="60"/>
        <v>6.6126136888375875E-2</v>
      </c>
      <c r="W138" s="40">
        <f t="shared" si="60"/>
        <v>7.3706582880102012E-3</v>
      </c>
      <c r="X138" s="40">
        <f t="shared" si="60"/>
        <v>6.3551934893772088E-2</v>
      </c>
      <c r="Z138" s="93">
        <f t="shared" si="48"/>
        <v>0.14116276150984999</v>
      </c>
      <c r="AA138" s="93">
        <f t="shared" si="51"/>
        <v>8.8958111231620257E-2</v>
      </c>
      <c r="AB138" s="93">
        <f t="shared" si="52"/>
        <v>3.3816907026732047E-2</v>
      </c>
      <c r="AC138" s="93">
        <f t="shared" si="53"/>
        <v>6.8385134853122101E-2</v>
      </c>
      <c r="AD138" s="93">
        <f t="shared" si="54"/>
        <v>0.12927800905459069</v>
      </c>
      <c r="AE138" s="93">
        <f t="shared" si="55"/>
        <v>0.11941436478876657</v>
      </c>
      <c r="AF138" s="93">
        <f t="shared" si="56"/>
        <v>-8.1889520496666486E-3</v>
      </c>
      <c r="AG138" s="93">
        <f t="shared" si="57"/>
        <v>3.2306855605307369E-2</v>
      </c>
      <c r="AH138" s="93">
        <f t="shared" si="58"/>
        <v>4.5828057278053558E-2</v>
      </c>
      <c r="AI138" s="93">
        <f t="shared" si="59"/>
        <v>-1.3853838641302071E-2</v>
      </c>
    </row>
    <row r="139" spans="1:35" x14ac:dyDescent="0.2">
      <c r="A139" s="86">
        <v>44044</v>
      </c>
      <c r="B139" s="87">
        <v>128.58590699999999</v>
      </c>
      <c r="C139" s="87">
        <v>27.676297999999999</v>
      </c>
      <c r="D139" s="87">
        <v>131.86999499999999</v>
      </c>
      <c r="E139" s="87">
        <v>137.77787799999999</v>
      </c>
      <c r="F139" s="87">
        <v>109.737244</v>
      </c>
      <c r="G139" s="88">
        <v>3450.959961</v>
      </c>
      <c r="H139" s="87">
        <v>202.533142</v>
      </c>
      <c r="I139" s="87">
        <v>1634.1800539999999</v>
      </c>
      <c r="J139" s="88">
        <v>282.00707999999997</v>
      </c>
      <c r="K139" s="89">
        <v>224.398651</v>
      </c>
      <c r="L139" s="90">
        <v>346.44055200000003</v>
      </c>
      <c r="M139" s="39"/>
      <c r="N139" s="40">
        <f t="shared" si="50"/>
        <v>0.21437964002182475</v>
      </c>
      <c r="O139" s="40">
        <f t="shared" si="50"/>
        <v>6.454080306037957E-2</v>
      </c>
      <c r="P139" s="40">
        <f t="shared" si="50"/>
        <v>0.12767224854331705</v>
      </c>
      <c r="Q139" s="40">
        <f t="shared" si="50"/>
        <v>7.3029346348242097E-2</v>
      </c>
      <c r="R139" s="40">
        <f t="shared" si="50"/>
        <v>0.11366611021203488</v>
      </c>
      <c r="S139" s="40">
        <f t="shared" si="50"/>
        <v>9.0460973985156956E-2</v>
      </c>
      <c r="T139" s="40">
        <f t="shared" si="50"/>
        <v>3.4905936900045953E-2</v>
      </c>
      <c r="U139" s="40">
        <f t="shared" si="50"/>
        <v>0.10197179760539732</v>
      </c>
      <c r="V139" s="40">
        <f t="shared" si="60"/>
        <v>7.3637541527695083E-2</v>
      </c>
      <c r="W139" s="40">
        <f t="shared" si="60"/>
        <v>0.10009270297701334</v>
      </c>
      <c r="X139" s="40">
        <f t="shared" si="60"/>
        <v>6.9796726408705378E-2</v>
      </c>
      <c r="Z139" s="93">
        <f t="shared" si="48"/>
        <v>0.19041064280519296</v>
      </c>
      <c r="AA139" s="93">
        <f t="shared" si="51"/>
        <v>5.8421017492733131E-2</v>
      </c>
      <c r="AB139" s="93">
        <f t="shared" si="52"/>
        <v>0.11279397215502221</v>
      </c>
      <c r="AC139" s="93">
        <f t="shared" si="53"/>
        <v>6.1100544381222879E-2</v>
      </c>
      <c r="AD139" s="93">
        <f t="shared" si="54"/>
        <v>9.4031020911637134E-2</v>
      </c>
      <c r="AE139" s="93">
        <f t="shared" si="55"/>
        <v>6.2761770655569565E-2</v>
      </c>
      <c r="AF139" s="93">
        <f t="shared" si="56"/>
        <v>2.4996438457021913E-2</v>
      </c>
      <c r="AG139" s="93">
        <f t="shared" si="57"/>
        <v>8.5219876931616742E-2</v>
      </c>
      <c r="AH139" s="93">
        <f t="shared" si="58"/>
        <v>5.3339461917372766E-2</v>
      </c>
      <c r="AI139" s="93">
        <f t="shared" si="59"/>
        <v>7.8868206047701062E-2</v>
      </c>
    </row>
    <row r="140" spans="1:35" x14ac:dyDescent="0.2">
      <c r="A140" s="86">
        <v>44075</v>
      </c>
      <c r="B140" s="87">
        <v>115.610542</v>
      </c>
      <c r="C140" s="87">
        <v>24.510157</v>
      </c>
      <c r="D140" s="87">
        <v>124.08000199999999</v>
      </c>
      <c r="E140" s="87">
        <v>139.400452</v>
      </c>
      <c r="F140" s="87">
        <v>110.11322</v>
      </c>
      <c r="G140" s="88">
        <v>3148.7299800000001</v>
      </c>
      <c r="H140" s="87">
        <v>199.88052400000001</v>
      </c>
      <c r="I140" s="87">
        <v>1469.599976</v>
      </c>
      <c r="J140" s="88">
        <v>274.75503500000002</v>
      </c>
      <c r="K140" s="89">
        <v>209.780777</v>
      </c>
      <c r="L140" s="90">
        <v>332.13900799999999</v>
      </c>
      <c r="M140" s="39"/>
      <c r="N140" s="40">
        <f t="shared" si="50"/>
        <v>-0.10090814228965228</v>
      </c>
      <c r="O140" s="40">
        <f t="shared" si="50"/>
        <v>-0.11439900668796088</v>
      </c>
      <c r="P140" s="40">
        <f t="shared" si="50"/>
        <v>-5.9073278951743302E-2</v>
      </c>
      <c r="Q140" s="40">
        <f t="shared" si="50"/>
        <v>1.1776738207566417E-2</v>
      </c>
      <c r="R140" s="40">
        <f t="shared" si="50"/>
        <v>3.4261476440942129E-3</v>
      </c>
      <c r="S140" s="40">
        <f t="shared" si="50"/>
        <v>-8.757852435715352E-2</v>
      </c>
      <c r="T140" s="40">
        <f t="shared" si="50"/>
        <v>-1.3097204604666568E-2</v>
      </c>
      <c r="U140" s="40">
        <f t="shared" si="50"/>
        <v>-0.10071110438360542</v>
      </c>
      <c r="V140" s="40">
        <f t="shared" si="60"/>
        <v>-2.5715825999829356E-2</v>
      </c>
      <c r="W140" s="40">
        <f t="shared" si="60"/>
        <v>-6.514243260758279E-2</v>
      </c>
      <c r="X140" s="40">
        <f t="shared" si="60"/>
        <v>-4.1281379784893213E-2</v>
      </c>
      <c r="Z140" s="93">
        <f t="shared" si="48"/>
        <v>-0.12487713950628408</v>
      </c>
      <c r="AA140" s="93">
        <f t="shared" si="51"/>
        <v>-0.12051879225560733</v>
      </c>
      <c r="AB140" s="93">
        <f t="shared" si="52"/>
        <v>-7.3951555340038139E-2</v>
      </c>
      <c r="AC140" s="93">
        <f t="shared" si="53"/>
        <v>-1.5206375945280015E-4</v>
      </c>
      <c r="AD140" s="93">
        <f t="shared" si="54"/>
        <v>-1.620894165630353E-2</v>
      </c>
      <c r="AE140" s="93">
        <f t="shared" si="55"/>
        <v>-0.11527772768674091</v>
      </c>
      <c r="AF140" s="93">
        <f t="shared" si="56"/>
        <v>-2.3006703047690608E-2</v>
      </c>
      <c r="AG140" s="93">
        <f t="shared" si="57"/>
        <v>-0.117463025057386</v>
      </c>
      <c r="AH140" s="93">
        <f t="shared" si="58"/>
        <v>-4.6013905610151673E-2</v>
      </c>
      <c r="AI140" s="93">
        <f t="shared" si="59"/>
        <v>-8.6366929536895065E-2</v>
      </c>
    </row>
    <row r="141" spans="1:35" x14ac:dyDescent="0.2">
      <c r="A141" s="86">
        <v>44105</v>
      </c>
      <c r="B141" s="87">
        <v>108.672516</v>
      </c>
      <c r="C141" s="87">
        <v>32.863438000000002</v>
      </c>
      <c r="D141" s="87">
        <v>121.25</v>
      </c>
      <c r="E141" s="87">
        <v>138.244675</v>
      </c>
      <c r="F141" s="87">
        <v>110.94014</v>
      </c>
      <c r="G141" s="88">
        <v>3036.1499020000001</v>
      </c>
      <c r="H141" s="87">
        <v>188.01518200000001</v>
      </c>
      <c r="I141" s="87">
        <v>1621.01001</v>
      </c>
      <c r="J141" s="88">
        <v>265.26361100000003</v>
      </c>
      <c r="K141" s="89">
        <v>201.941315</v>
      </c>
      <c r="L141" s="90">
        <v>325.15399200000002</v>
      </c>
      <c r="M141" s="39"/>
      <c r="N141" s="40">
        <f t="shared" si="50"/>
        <v>-6.0012053226080275E-2</v>
      </c>
      <c r="O141" s="40">
        <f t="shared" si="50"/>
        <v>0.34080895524251442</v>
      </c>
      <c r="P141" s="40">
        <f t="shared" si="50"/>
        <v>-2.2807881643973515E-2</v>
      </c>
      <c r="Q141" s="40">
        <f t="shared" si="50"/>
        <v>-8.2910563302908136E-3</v>
      </c>
      <c r="R141" s="40">
        <f t="shared" si="50"/>
        <v>7.5097249903326446E-3</v>
      </c>
      <c r="S141" s="40">
        <f t="shared" si="50"/>
        <v>-3.5754122682822076E-2</v>
      </c>
      <c r="T141" s="40">
        <f t="shared" si="50"/>
        <v>-5.9362171774174466E-2</v>
      </c>
      <c r="U141" s="40">
        <f t="shared" si="50"/>
        <v>0.10302805965750772</v>
      </c>
      <c r="V141" s="40">
        <f t="shared" si="60"/>
        <v>-3.4545041185505498E-2</v>
      </c>
      <c r="W141" s="40">
        <f t="shared" si="60"/>
        <v>-3.7369782456282863E-2</v>
      </c>
      <c r="X141" s="40">
        <f t="shared" si="60"/>
        <v>-2.1030399416379186E-2</v>
      </c>
      <c r="Z141" s="93">
        <f t="shared" si="48"/>
        <v>-8.3981050442712077E-2</v>
      </c>
      <c r="AA141" s="93">
        <f t="shared" si="51"/>
        <v>0.334689169674868</v>
      </c>
      <c r="AB141" s="93">
        <f t="shared" si="52"/>
        <v>-3.7686158032268345E-2</v>
      </c>
      <c r="AC141" s="93">
        <f t="shared" si="53"/>
        <v>-2.0219858297310031E-2</v>
      </c>
      <c r="AD141" s="93">
        <f t="shared" si="54"/>
        <v>-1.2125364310065098E-2</v>
      </c>
      <c r="AE141" s="93">
        <f t="shared" si="55"/>
        <v>-6.3453326012409467E-2</v>
      </c>
      <c r="AF141" s="93">
        <f t="shared" si="56"/>
        <v>-6.9271670217198503E-2</v>
      </c>
      <c r="AG141" s="93">
        <f t="shared" si="57"/>
        <v>8.6276138983727144E-2</v>
      </c>
      <c r="AH141" s="93">
        <f t="shared" si="58"/>
        <v>-5.4843120795827816E-2</v>
      </c>
      <c r="AI141" s="93">
        <f t="shared" si="59"/>
        <v>-5.8594279385595138E-2</v>
      </c>
    </row>
    <row r="142" spans="1:35" x14ac:dyDescent="0.2">
      <c r="A142" s="86">
        <v>44136</v>
      </c>
      <c r="B142" s="87">
        <v>118.84496300000001</v>
      </c>
      <c r="C142" s="87">
        <v>40.269703</v>
      </c>
      <c r="D142" s="87">
        <v>148.009995</v>
      </c>
      <c r="E142" s="87">
        <v>152.23353599999999</v>
      </c>
      <c r="F142" s="87">
        <v>108.20517700000001</v>
      </c>
      <c r="G142" s="88">
        <v>3168.040039</v>
      </c>
      <c r="H142" s="87">
        <v>229.33000200000001</v>
      </c>
      <c r="I142" s="87">
        <v>1760.73999</v>
      </c>
      <c r="J142" s="88">
        <v>275.90560900000003</v>
      </c>
      <c r="K142" s="89">
        <v>213.51101700000001</v>
      </c>
      <c r="L142" s="90">
        <v>360.52322400000003</v>
      </c>
      <c r="M142" s="39"/>
      <c r="N142" s="40">
        <f t="shared" si="50"/>
        <v>9.3606436792169179E-2</v>
      </c>
      <c r="O142" s="40">
        <f t="shared" si="50"/>
        <v>0.22536488726468606</v>
      </c>
      <c r="P142" s="40">
        <f t="shared" si="50"/>
        <v>0.22070098969072172</v>
      </c>
      <c r="Q142" s="40">
        <f t="shared" si="50"/>
        <v>0.10118914887680108</v>
      </c>
      <c r="R142" s="40">
        <f t="shared" si="50"/>
        <v>-2.4652600943175229E-2</v>
      </c>
      <c r="S142" s="40">
        <f t="shared" si="50"/>
        <v>4.3439929271318345E-2</v>
      </c>
      <c r="T142" s="40">
        <f t="shared" si="50"/>
        <v>0.21974193552093046</v>
      </c>
      <c r="U142" s="40">
        <f t="shared" si="50"/>
        <v>8.619933198315044E-2</v>
      </c>
      <c r="V142" s="40">
        <f t="shared" si="60"/>
        <v>4.0118574726029754E-2</v>
      </c>
      <c r="W142" s="40">
        <f t="shared" si="60"/>
        <v>5.7292397051093902E-2</v>
      </c>
      <c r="X142" s="40">
        <f t="shared" si="60"/>
        <v>0.10877686533216546</v>
      </c>
      <c r="Z142" s="93">
        <f t="shared" si="48"/>
        <v>6.9637439575537377E-2</v>
      </c>
      <c r="AA142" s="93">
        <f t="shared" si="51"/>
        <v>0.21924510169703962</v>
      </c>
      <c r="AB142" s="93">
        <f t="shared" si="52"/>
        <v>0.20582271330242688</v>
      </c>
      <c r="AC142" s="93">
        <f t="shared" si="53"/>
        <v>8.9260346909781865E-2</v>
      </c>
      <c r="AD142" s="93">
        <f t="shared" si="54"/>
        <v>-4.4287690243572972E-2</v>
      </c>
      <c r="AE142" s="93">
        <f t="shared" si="55"/>
        <v>1.5740725941730947E-2</v>
      </c>
      <c r="AF142" s="93">
        <f t="shared" si="56"/>
        <v>0.20983243707790641</v>
      </c>
      <c r="AG142" s="93">
        <f t="shared" si="57"/>
        <v>6.9447411309369864E-2</v>
      </c>
      <c r="AH142" s="93">
        <f t="shared" si="58"/>
        <v>1.9820495115707434E-2</v>
      </c>
      <c r="AI142" s="93">
        <f t="shared" si="59"/>
        <v>3.6067900121781626E-2</v>
      </c>
    </row>
    <row r="143" spans="1:35" x14ac:dyDescent="0.2">
      <c r="A143" s="86">
        <v>44166</v>
      </c>
      <c r="B143" s="87">
        <v>132.69000199999999</v>
      </c>
      <c r="C143" s="87">
        <v>36.681511</v>
      </c>
      <c r="D143" s="87">
        <v>181.179993</v>
      </c>
      <c r="E143" s="87">
        <v>143.625</v>
      </c>
      <c r="F143" s="87">
        <v>99.244431000000006</v>
      </c>
      <c r="G143" s="88">
        <v>3256.929932</v>
      </c>
      <c r="H143" s="87">
        <v>262.280396</v>
      </c>
      <c r="I143" s="87">
        <v>1751.880005</v>
      </c>
      <c r="J143" s="88">
        <v>264.17953499999999</v>
      </c>
      <c r="K143" s="89">
        <v>222.41999799999999</v>
      </c>
      <c r="L143" s="90">
        <v>372.29306000000003</v>
      </c>
      <c r="M143" s="39"/>
      <c r="N143" s="40">
        <f t="shared" si="50"/>
        <v>0.11649664109029167</v>
      </c>
      <c r="O143" s="40">
        <f t="shared" si="50"/>
        <v>-8.9104009532923523E-2</v>
      </c>
      <c r="P143" s="40">
        <f t="shared" si="50"/>
        <v>0.22410647334999223</v>
      </c>
      <c r="Q143" s="40">
        <f t="shared" si="50"/>
        <v>-5.6548223382264395E-2</v>
      </c>
      <c r="R143" s="40">
        <f t="shared" si="50"/>
        <v>-8.2812544172447544E-2</v>
      </c>
      <c r="S143" s="40">
        <f t="shared" si="50"/>
        <v>2.8058323728780366E-2</v>
      </c>
      <c r="T143" s="40">
        <f t="shared" si="50"/>
        <v>0.14368113074014621</v>
      </c>
      <c r="U143" s="40">
        <f t="shared" si="50"/>
        <v>-5.0319667016820446E-3</v>
      </c>
      <c r="V143" s="40">
        <f t="shared" si="60"/>
        <v>-4.2500310314459888E-2</v>
      </c>
      <c r="W143" s="40">
        <f t="shared" si="60"/>
        <v>4.1726095098877147E-2</v>
      </c>
      <c r="X143" s="40">
        <f t="shared" si="60"/>
        <v>3.2646540407061275E-2</v>
      </c>
      <c r="Z143" s="93">
        <f t="shared" si="48"/>
        <v>9.2527643873659873E-2</v>
      </c>
      <c r="AA143" s="93">
        <f t="shared" si="51"/>
        <v>-9.5223795100569969E-2</v>
      </c>
      <c r="AB143" s="93">
        <f t="shared" si="52"/>
        <v>0.20922819696169739</v>
      </c>
      <c r="AC143" s="93">
        <f t="shared" si="53"/>
        <v>-6.8477025349283613E-2</v>
      </c>
      <c r="AD143" s="93">
        <f t="shared" si="54"/>
        <v>-0.10244763347284529</v>
      </c>
      <c r="AE143" s="93">
        <f t="shared" si="55"/>
        <v>3.5912039919296784E-4</v>
      </c>
      <c r="AF143" s="93">
        <f t="shared" si="56"/>
        <v>0.13377163229712216</v>
      </c>
      <c r="AG143" s="93">
        <f t="shared" si="57"/>
        <v>-2.1783887375462618E-2</v>
      </c>
      <c r="AH143" s="93">
        <f t="shared" si="58"/>
        <v>-6.2798389924782205E-2</v>
      </c>
      <c r="AI143" s="93">
        <f t="shared" si="59"/>
        <v>2.0501598169564875E-2</v>
      </c>
    </row>
    <row r="144" spans="1:35" x14ac:dyDescent="0.2">
      <c r="A144" s="86">
        <v>44197</v>
      </c>
      <c r="B144" s="87">
        <v>127.139999</v>
      </c>
      <c r="C144" s="87">
        <v>40.619999</v>
      </c>
      <c r="D144" s="87">
        <v>171.44000199999999</v>
      </c>
      <c r="E144" s="87">
        <v>144.63999899999999</v>
      </c>
      <c r="F144" s="87">
        <v>114</v>
      </c>
      <c r="G144" s="88">
        <v>3104.25</v>
      </c>
      <c r="H144" s="87">
        <v>301.01001000000002</v>
      </c>
      <c r="I144" s="87">
        <v>1736.1899410000001</v>
      </c>
      <c r="J144" s="88">
        <v>275.58999599999999</v>
      </c>
      <c r="K144" s="89">
        <v>212.64999399999999</v>
      </c>
      <c r="L144" s="90">
        <v>375.70001200000002</v>
      </c>
      <c r="M144" s="39"/>
      <c r="N144" s="40">
        <f t="shared" si="50"/>
        <v>-4.1826836358024866E-2</v>
      </c>
      <c r="O144" s="40">
        <f t="shared" si="50"/>
        <v>0.10736984089886592</v>
      </c>
      <c r="P144" s="40">
        <f t="shared" si="50"/>
        <v>-5.3758645415114881E-2</v>
      </c>
      <c r="Q144" s="40">
        <f t="shared" si="50"/>
        <v>7.0670078328980424E-3</v>
      </c>
      <c r="R144" s="40">
        <f t="shared" si="50"/>
        <v>0.14867906290882948</v>
      </c>
      <c r="S144" s="40">
        <f t="shared" si="50"/>
        <v>-4.687848224792579E-2</v>
      </c>
      <c r="T144" s="40">
        <f t="shared" si="50"/>
        <v>0.14766492117085273</v>
      </c>
      <c r="U144" s="40">
        <f t="shared" si="50"/>
        <v>-8.9561293896952554E-3</v>
      </c>
      <c r="V144" s="40">
        <f t="shared" si="60"/>
        <v>4.319207012004167E-2</v>
      </c>
      <c r="W144" s="40">
        <f t="shared" si="60"/>
        <v>-4.3925924322686161E-2</v>
      </c>
      <c r="X144" s="40">
        <f t="shared" si="60"/>
        <v>9.1512637920243556E-3</v>
      </c>
      <c r="Z144" s="93">
        <f t="shared" si="48"/>
        <v>-6.5795833574656667E-2</v>
      </c>
      <c r="AA144" s="93">
        <f t="shared" si="51"/>
        <v>0.10125005533121947</v>
      </c>
      <c r="AB144" s="93">
        <f t="shared" si="52"/>
        <v>-6.8636921803409717E-2</v>
      </c>
      <c r="AC144" s="93">
        <f t="shared" si="53"/>
        <v>-4.8617941341211751E-3</v>
      </c>
      <c r="AD144" s="93">
        <f t="shared" si="54"/>
        <v>0.12904397360843173</v>
      </c>
      <c r="AE144" s="93">
        <f t="shared" si="55"/>
        <v>-7.4577685577513181E-2</v>
      </c>
      <c r="AF144" s="93">
        <f t="shared" si="56"/>
        <v>0.13775542272782867</v>
      </c>
      <c r="AG144" s="93">
        <f t="shared" si="57"/>
        <v>-2.5708050063475828E-2</v>
      </c>
      <c r="AH144" s="93">
        <f t="shared" si="58"/>
        <v>2.289399050971935E-2</v>
      </c>
      <c r="AI144" s="93">
        <f t="shared" si="59"/>
        <v>-6.5150421251998436E-2</v>
      </c>
    </row>
    <row r="145" spans="1:24" x14ac:dyDescent="0.2">
      <c r="A145" s="41"/>
      <c r="B145" s="17"/>
      <c r="C145" s="17"/>
      <c r="D145" s="17"/>
      <c r="E145" s="17"/>
      <c r="F145" s="17"/>
      <c r="G145" s="17"/>
      <c r="I145" s="17"/>
      <c r="J145" s="17"/>
      <c r="K145" s="17"/>
      <c r="L145" s="17"/>
      <c r="M145" s="39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</row>
    <row r="146" spans="1:24" x14ac:dyDescent="0.2">
      <c r="A146" s="41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39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</row>
    <row r="147" spans="1:24" x14ac:dyDescent="0.2">
      <c r="A147" s="41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39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</row>
    <row r="148" spans="1:24" x14ac:dyDescent="0.2">
      <c r="A148" s="41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39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</row>
    <row r="149" spans="1:24" x14ac:dyDescent="0.2">
      <c r="A149" s="41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39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</row>
    <row r="150" spans="1:24" x14ac:dyDescent="0.2">
      <c r="A150" s="41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39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</row>
    <row r="151" spans="1:24" x14ac:dyDescent="0.2">
      <c r="A151" s="41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39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</row>
    <row r="152" spans="1:24" x14ac:dyDescent="0.2">
      <c r="A152" s="41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39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</row>
    <row r="153" spans="1:24" x14ac:dyDescent="0.2">
      <c r="A153" s="41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39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</row>
    <row r="154" spans="1:24" x14ac:dyDescent="0.2">
      <c r="A154" s="41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39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</row>
    <row r="155" spans="1:24" x14ac:dyDescent="0.2">
      <c r="A155" s="41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39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</row>
    <row r="156" spans="1:24" x14ac:dyDescent="0.2">
      <c r="A156" s="41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39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</row>
    <row r="157" spans="1:24" x14ac:dyDescent="0.2">
      <c r="A157" s="41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39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</row>
    <row r="158" spans="1:24" x14ac:dyDescent="0.2">
      <c r="A158" s="41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39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</row>
    <row r="159" spans="1:24" x14ac:dyDescent="0.2">
      <c r="A159" s="41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39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</row>
    <row r="160" spans="1:24" x14ac:dyDescent="0.2">
      <c r="A160" s="41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39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</row>
    <row r="161" spans="1:24" x14ac:dyDescent="0.2">
      <c r="A161" s="41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39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</row>
    <row r="162" spans="1:24" x14ac:dyDescent="0.2">
      <c r="A162" s="41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39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</row>
    <row r="163" spans="1:24" x14ac:dyDescent="0.2">
      <c r="A163" s="41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39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</row>
    <row r="164" spans="1:24" x14ac:dyDescent="0.2">
      <c r="A164" s="41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39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</row>
    <row r="165" spans="1:24" x14ac:dyDescent="0.2">
      <c r="A165" s="41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39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</row>
    <row r="166" spans="1:24" x14ac:dyDescent="0.2">
      <c r="A166" s="41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39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</row>
    <row r="167" spans="1:24" x14ac:dyDescent="0.2">
      <c r="A167" s="41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39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</row>
    <row r="168" spans="1:24" x14ac:dyDescent="0.2">
      <c r="A168" s="41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39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</row>
    <row r="169" spans="1:24" x14ac:dyDescent="0.2">
      <c r="A169" s="41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39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</row>
    <row r="170" spans="1:24" x14ac:dyDescent="0.2">
      <c r="A170" s="41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39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</row>
    <row r="171" spans="1:24" x14ac:dyDescent="0.2">
      <c r="A171" s="41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39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</row>
    <row r="172" spans="1:24" x14ac:dyDescent="0.2">
      <c r="A172" s="41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39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</row>
    <row r="173" spans="1:24" x14ac:dyDescent="0.2">
      <c r="A173" s="41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39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</row>
    <row r="174" spans="1:24" x14ac:dyDescent="0.2">
      <c r="A174" s="41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39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</row>
    <row r="175" spans="1:24" x14ac:dyDescent="0.2">
      <c r="A175" s="41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39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</row>
    <row r="176" spans="1:24" x14ac:dyDescent="0.2">
      <c r="A176" s="41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39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</row>
    <row r="177" spans="1:24" x14ac:dyDescent="0.2">
      <c r="A177" s="41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39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</row>
    <row r="178" spans="1:24" x14ac:dyDescent="0.2">
      <c r="A178" s="41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39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</row>
    <row r="179" spans="1:24" x14ac:dyDescent="0.2">
      <c r="A179" s="41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39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</row>
    <row r="180" spans="1:24" x14ac:dyDescent="0.2">
      <c r="A180" s="41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39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</row>
    <row r="181" spans="1:24" x14ac:dyDescent="0.2">
      <c r="A181" s="41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39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</row>
    <row r="182" spans="1:24" x14ac:dyDescent="0.2">
      <c r="A182" s="41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39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</row>
    <row r="183" spans="1:24" x14ac:dyDescent="0.2">
      <c r="A183" s="41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39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</row>
    <row r="184" spans="1:24" x14ac:dyDescent="0.2">
      <c r="A184" s="41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39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</row>
    <row r="185" spans="1:24" x14ac:dyDescent="0.2">
      <c r="A185" s="41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39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</row>
    <row r="186" spans="1:24" x14ac:dyDescent="0.2">
      <c r="A186" s="41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39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</row>
    <row r="187" spans="1:24" x14ac:dyDescent="0.2">
      <c r="A187" s="41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39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</row>
    <row r="188" spans="1:24" x14ac:dyDescent="0.2">
      <c r="A188" s="41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39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</row>
    <row r="189" spans="1:24" x14ac:dyDescent="0.2">
      <c r="A189" s="41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39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</row>
    <row r="190" spans="1:24" x14ac:dyDescent="0.2">
      <c r="A190" s="41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39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</row>
    <row r="191" spans="1:24" x14ac:dyDescent="0.2">
      <c r="A191" s="41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39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</row>
    <row r="192" spans="1:24" x14ac:dyDescent="0.2">
      <c r="A192" s="41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39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</row>
    <row r="193" spans="1:24" x14ac:dyDescent="0.2">
      <c r="A193" s="41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39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</row>
    <row r="194" spans="1:24" x14ac:dyDescent="0.2">
      <c r="A194" s="41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39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</row>
    <row r="195" spans="1:24" x14ac:dyDescent="0.2">
      <c r="A195" s="41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39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</row>
    <row r="196" spans="1:24" x14ac:dyDescent="0.2">
      <c r="A196" s="41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39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</row>
    <row r="197" spans="1:24" x14ac:dyDescent="0.2">
      <c r="A197" s="41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39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</row>
    <row r="198" spans="1:24" x14ac:dyDescent="0.2">
      <c r="A198" s="41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39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</row>
    <row r="199" spans="1:24" x14ac:dyDescent="0.2">
      <c r="A199" s="41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39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</row>
    <row r="200" spans="1:24" x14ac:dyDescent="0.2">
      <c r="A200" s="41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39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</row>
    <row r="201" spans="1:24" x14ac:dyDescent="0.2">
      <c r="A201" s="41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39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</row>
    <row r="202" spans="1:24" x14ac:dyDescent="0.2">
      <c r="A202" s="41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39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</row>
    <row r="203" spans="1:24" x14ac:dyDescent="0.2">
      <c r="A203" s="41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39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</row>
    <row r="204" spans="1:24" x14ac:dyDescent="0.2">
      <c r="A204" s="41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39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</row>
    <row r="205" spans="1:24" x14ac:dyDescent="0.2">
      <c r="A205" s="41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39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</row>
    <row r="206" spans="1:24" x14ac:dyDescent="0.2">
      <c r="A206" s="41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</row>
    <row r="207" spans="1:24" x14ac:dyDescent="0.2">
      <c r="A207" s="41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</row>
    <row r="208" spans="1:24" x14ac:dyDescent="0.2">
      <c r="A208" s="41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</row>
    <row r="209" spans="1:24" x14ac:dyDescent="0.2">
      <c r="A209" s="41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</row>
    <row r="210" spans="1:24" x14ac:dyDescent="0.2">
      <c r="A210" s="41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</row>
    <row r="211" spans="1:24" x14ac:dyDescent="0.2">
      <c r="A211" s="41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</row>
    <row r="212" spans="1:24" x14ac:dyDescent="0.2">
      <c r="A212" s="41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</row>
    <row r="213" spans="1:24" x14ac:dyDescent="0.2">
      <c r="A213" s="41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</row>
    <row r="214" spans="1:24" x14ac:dyDescent="0.2">
      <c r="A214" s="41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</row>
    <row r="215" spans="1:24" x14ac:dyDescent="0.2">
      <c r="A215" s="41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</row>
    <row r="216" spans="1:24" x14ac:dyDescent="0.2">
      <c r="A216" s="41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</row>
    <row r="217" spans="1:24" x14ac:dyDescent="0.2">
      <c r="A217" s="41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</row>
    <row r="218" spans="1:24" x14ac:dyDescent="0.2">
      <c r="A218" s="41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</row>
    <row r="219" spans="1:24" x14ac:dyDescent="0.2">
      <c r="A219" s="41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</row>
    <row r="220" spans="1:24" x14ac:dyDescent="0.2">
      <c r="A220" s="41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</row>
    <row r="221" spans="1:24" x14ac:dyDescent="0.2">
      <c r="A221" s="41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</row>
    <row r="222" spans="1:24" x14ac:dyDescent="0.2">
      <c r="A222" s="41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</row>
    <row r="223" spans="1:24" x14ac:dyDescent="0.2">
      <c r="A223" s="41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</row>
    <row r="224" spans="1:24" x14ac:dyDescent="0.2">
      <c r="A224" s="41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</row>
    <row r="225" spans="1:24" x14ac:dyDescent="0.2">
      <c r="A225" s="41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</row>
    <row r="226" spans="1:24" x14ac:dyDescent="0.2">
      <c r="A226" s="41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</row>
    <row r="227" spans="1:24" x14ac:dyDescent="0.2">
      <c r="A227" s="41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</row>
    <row r="228" spans="1:24" x14ac:dyDescent="0.2">
      <c r="A228" s="41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3B74-C32A-D144-B6CE-08EDD7A77D86}">
  <dimension ref="A1:T70"/>
  <sheetViews>
    <sheetView workbookViewId="0">
      <selection activeCell="S38" sqref="S38"/>
    </sheetView>
  </sheetViews>
  <sheetFormatPr baseColWidth="10" defaultColWidth="9.1640625" defaultRowHeight="13" x14ac:dyDescent="0.15"/>
  <cols>
    <col min="1" max="1" width="17.1640625" style="43" customWidth="1"/>
    <col min="2" max="2" width="9.83203125" style="43" customWidth="1"/>
    <col min="3" max="3" width="11.5" style="43" customWidth="1"/>
    <col min="4" max="4" width="10.5" style="43" customWidth="1"/>
    <col min="5" max="5" width="11" style="43" customWidth="1"/>
    <col min="6" max="6" width="11.33203125" style="43" customWidth="1"/>
    <col min="7" max="7" width="11.1640625" style="43" customWidth="1"/>
    <col min="8" max="8" width="11.6640625" style="43" customWidth="1"/>
    <col min="9" max="9" width="11.33203125" style="43" customWidth="1"/>
    <col min="10" max="10" width="11.5" style="43" customWidth="1"/>
    <col min="11" max="11" width="11.33203125" style="43" customWidth="1"/>
    <col min="12" max="12" width="10.1640625" style="43" customWidth="1"/>
    <col min="13" max="13" width="12.1640625" style="43" customWidth="1"/>
    <col min="14" max="18" width="10.33203125" style="43" customWidth="1"/>
    <col min="19" max="16384" width="9.1640625" style="43"/>
  </cols>
  <sheetData>
    <row r="1" spans="1:20" ht="16" x14ac:dyDescent="0.2">
      <c r="A1" s="42" t="s">
        <v>12</v>
      </c>
    </row>
    <row r="2" spans="1:20" s="46" customFormat="1" ht="17" x14ac:dyDescent="0.25">
      <c r="A2" s="44"/>
      <c r="B2" s="44" t="s">
        <v>32</v>
      </c>
      <c r="C2" s="44" t="s">
        <v>33</v>
      </c>
      <c r="D2" s="44" t="s">
        <v>34</v>
      </c>
      <c r="E2" s="44" t="s">
        <v>35</v>
      </c>
      <c r="F2" s="44" t="s">
        <v>36</v>
      </c>
      <c r="G2" s="44" t="s">
        <v>37</v>
      </c>
      <c r="H2" s="44" t="s">
        <v>38</v>
      </c>
      <c r="I2" s="44" t="s">
        <v>39</v>
      </c>
      <c r="J2" s="44" t="s">
        <v>40</v>
      </c>
      <c r="K2" s="44" t="s">
        <v>41</v>
      </c>
      <c r="L2" s="45" t="s">
        <v>29</v>
      </c>
      <c r="N2" s="46" t="s">
        <v>13</v>
      </c>
    </row>
    <row r="3" spans="1:20" x14ac:dyDescent="0.15">
      <c r="A3" s="47" t="s">
        <v>14</v>
      </c>
      <c r="B3" s="48">
        <v>0.28762796659958156</v>
      </c>
      <c r="C3" s="48">
        <v>7.34374268117573E-2</v>
      </c>
      <c r="D3" s="48">
        <v>0.17853931665953796</v>
      </c>
      <c r="E3" s="48">
        <v>0.14314562360423061</v>
      </c>
      <c r="F3" s="48">
        <v>0.23562107160477291</v>
      </c>
      <c r="G3" s="48">
        <v>0.3323904399550488</v>
      </c>
      <c r="H3" s="48">
        <v>0.11891398131628848</v>
      </c>
      <c r="I3" s="48">
        <v>0.20102304808536686</v>
      </c>
      <c r="J3" s="48">
        <v>0.24357695532386786</v>
      </c>
      <c r="K3" s="48">
        <v>0.25469396315174725</v>
      </c>
      <c r="L3" s="49">
        <f>SUMPRODUCT(Weights, Returns)</f>
        <v>0.32000029891550258</v>
      </c>
      <c r="N3" s="49">
        <v>0.2069</v>
      </c>
      <c r="O3" s="50" t="s">
        <v>15</v>
      </c>
    </row>
    <row r="4" spans="1:20" ht="14.25" customHeight="1" thickBot="1" x14ac:dyDescent="0.3">
      <c r="A4" s="47"/>
      <c r="B4" s="48"/>
      <c r="C4" s="48"/>
      <c r="D4" s="48"/>
      <c r="E4" s="48"/>
      <c r="F4" s="48"/>
      <c r="G4" s="48"/>
      <c r="H4" s="48"/>
      <c r="I4" s="48"/>
      <c r="J4" s="48"/>
      <c r="K4" s="48"/>
      <c r="L4" s="51" t="s">
        <v>30</v>
      </c>
      <c r="M4" s="46" t="s">
        <v>16</v>
      </c>
      <c r="N4" s="52"/>
      <c r="O4" s="50"/>
    </row>
    <row r="5" spans="1:20" ht="13.5" customHeight="1" thickBot="1" x14ac:dyDescent="0.2">
      <c r="A5" s="44" t="s">
        <v>17</v>
      </c>
      <c r="B5" s="53">
        <v>0.26074794310412497</v>
      </c>
      <c r="C5" s="53">
        <v>0</v>
      </c>
      <c r="D5" s="53">
        <v>0</v>
      </c>
      <c r="E5" s="53">
        <v>0</v>
      </c>
      <c r="F5" s="53">
        <v>0</v>
      </c>
      <c r="G5" s="53">
        <v>0.73116295414614019</v>
      </c>
      <c r="H5" s="53">
        <v>0</v>
      </c>
      <c r="I5" s="53">
        <v>0</v>
      </c>
      <c r="J5" s="53">
        <v>8.089115964813624E-3</v>
      </c>
      <c r="K5" s="53">
        <v>0</v>
      </c>
      <c r="L5" s="54">
        <f>SQRT(A23)*SQRT(12)</f>
        <v>0.24270022413824144</v>
      </c>
      <c r="M5" s="55">
        <f>SUM(B5:K5)</f>
        <v>1.0000000132150788</v>
      </c>
      <c r="N5" s="49">
        <v>0.1636</v>
      </c>
      <c r="O5" s="56" t="s">
        <v>31</v>
      </c>
    </row>
    <row r="6" spans="1:20" ht="13.5" customHeight="1" x14ac:dyDescent="0.15">
      <c r="A6" s="44"/>
      <c r="B6" s="57"/>
      <c r="C6" s="57"/>
      <c r="D6" s="57"/>
      <c r="E6" s="57"/>
      <c r="F6" s="57"/>
      <c r="G6" s="57"/>
      <c r="H6" s="57"/>
      <c r="I6" s="57"/>
      <c r="J6" s="57"/>
      <c r="K6" s="57"/>
      <c r="L6" s="58"/>
      <c r="M6" s="55"/>
      <c r="T6" s="56"/>
    </row>
    <row r="7" spans="1:20" ht="16" x14ac:dyDescent="0.2">
      <c r="A7" s="42" t="s">
        <v>18</v>
      </c>
      <c r="B7" s="59" t="s">
        <v>19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46"/>
    </row>
    <row r="8" spans="1:20" ht="14" thickBot="1" x14ac:dyDescent="0.2">
      <c r="B8" s="44" t="str">
        <f>B2</f>
        <v>AAPL</v>
      </c>
      <c r="C8" s="44" t="str">
        <f t="shared" ref="C8:K8" si="0">C2</f>
        <v>HOG</v>
      </c>
      <c r="D8" s="44" t="str">
        <f t="shared" si="0"/>
        <v>DIS</v>
      </c>
      <c r="E8" s="44" t="str">
        <f t="shared" si="0"/>
        <v>WMT</v>
      </c>
      <c r="F8" s="44" t="str">
        <f t="shared" si="0"/>
        <v>BBY</v>
      </c>
      <c r="G8" s="44" t="str">
        <f t="shared" si="0"/>
        <v>AMZN</v>
      </c>
      <c r="H8" s="44" t="str">
        <f t="shared" si="0"/>
        <v>GS</v>
      </c>
      <c r="I8" s="44" t="str">
        <f t="shared" si="0"/>
        <v>GOOG</v>
      </c>
      <c r="J8" s="44" t="str">
        <f t="shared" si="0"/>
        <v>HD</v>
      </c>
      <c r="K8" s="44" t="str">
        <f t="shared" si="0"/>
        <v>MSFT</v>
      </c>
      <c r="L8" s="44"/>
    </row>
    <row r="9" spans="1:20" ht="16" x14ac:dyDescent="0.2">
      <c r="A9" s="60" t="s">
        <v>32</v>
      </c>
      <c r="B9" s="94">
        <f>'Input Data'!O5</f>
        <v>6.2683290797696575E-3</v>
      </c>
      <c r="C9" s="95">
        <f>'Input Data'!P5</f>
        <v>2.1650927388637171E-3</v>
      </c>
      <c r="D9" s="95">
        <f>'Input Data'!Q5</f>
        <v>1.9005460802967986E-3</v>
      </c>
      <c r="E9" s="95">
        <f>'Input Data'!R5</f>
        <v>7.352241649115082E-4</v>
      </c>
      <c r="F9" s="95">
        <f>'Input Data'!S5</f>
        <v>2.4860193597258809E-3</v>
      </c>
      <c r="G9" s="95">
        <f>'Input Data'!T5</f>
        <v>2.5490705634767879E-3</v>
      </c>
      <c r="H9" s="95">
        <f>'Input Data'!U5</f>
        <v>2.4429230555979937E-3</v>
      </c>
      <c r="I9" s="95">
        <f>'Input Data'!V5</f>
        <v>1.9782211926449716E-3</v>
      </c>
      <c r="J9" s="95">
        <f>'Input Data'!W5</f>
        <v>1.3409444858748349E-3</v>
      </c>
      <c r="K9" s="96">
        <f>'Input Data'!X5</f>
        <v>2.1984750866270043E-3</v>
      </c>
      <c r="L9" s="61"/>
    </row>
    <row r="10" spans="1:20" ht="16" x14ac:dyDescent="0.2">
      <c r="A10" s="60" t="s">
        <v>33</v>
      </c>
      <c r="B10" s="97">
        <f>'Input Data'!O6</f>
        <v>2.1650927388637171E-3</v>
      </c>
      <c r="C10" s="29">
        <f>'Input Data'!P6</f>
        <v>8.2645701882605033E-3</v>
      </c>
      <c r="D10" s="29">
        <f>'Input Data'!Q6</f>
        <v>2.1395625579529762E-3</v>
      </c>
      <c r="E10" s="29">
        <f>'Input Data'!R6</f>
        <v>5.9013111714134082E-4</v>
      </c>
      <c r="F10" s="29">
        <f>'Input Data'!S6</f>
        <v>4.257128869033391E-3</v>
      </c>
      <c r="G10" s="29">
        <f>'Input Data'!T6</f>
        <v>1.3094800839135588E-3</v>
      </c>
      <c r="H10" s="29">
        <f>'Input Data'!U6</f>
        <v>3.4605155459660128E-3</v>
      </c>
      <c r="I10" s="29">
        <f>'Input Data'!V6</f>
        <v>1.8259397396344329E-3</v>
      </c>
      <c r="J10" s="29">
        <f>'Input Data'!W6</f>
        <v>2.1653216274736243E-3</v>
      </c>
      <c r="K10" s="98">
        <f>'Input Data'!X6</f>
        <v>1.2973233748085086E-3</v>
      </c>
      <c r="L10" s="61"/>
    </row>
    <row r="11" spans="1:20" ht="16" x14ac:dyDescent="0.2">
      <c r="A11" s="60" t="s">
        <v>34</v>
      </c>
      <c r="B11" s="97">
        <f>'Input Data'!O7</f>
        <v>1.9005460802967986E-3</v>
      </c>
      <c r="C11" s="29">
        <f>'Input Data'!P7</f>
        <v>2.1395625579529762E-3</v>
      </c>
      <c r="D11" s="29">
        <f>'Input Data'!Q7</f>
        <v>4.6250980753990926E-3</v>
      </c>
      <c r="E11" s="29">
        <f>'Input Data'!R7</f>
        <v>7.4802784839446098E-4</v>
      </c>
      <c r="F11" s="29">
        <f>'Input Data'!S7</f>
        <v>2.4355441713720741E-3</v>
      </c>
      <c r="G11" s="29">
        <f>'Input Data'!T7</f>
        <v>1.516323149896869E-3</v>
      </c>
      <c r="H11" s="29">
        <f>'Input Data'!U7</f>
        <v>3.2823530966486405E-3</v>
      </c>
      <c r="I11" s="29">
        <f>'Input Data'!V7</f>
        <v>1.8531030278038285E-3</v>
      </c>
      <c r="J11" s="29">
        <f>'Input Data'!W7</f>
        <v>1.7526183224188161E-3</v>
      </c>
      <c r="K11" s="98">
        <f>'Input Data'!X7</f>
        <v>1.6172431429895143E-3</v>
      </c>
      <c r="L11" s="61"/>
    </row>
    <row r="12" spans="1:20" ht="16" x14ac:dyDescent="0.2">
      <c r="A12" s="60" t="s">
        <v>35</v>
      </c>
      <c r="B12" s="97">
        <f>'Input Data'!O8</f>
        <v>7.352241649115082E-4</v>
      </c>
      <c r="C12" s="29">
        <f>'Input Data'!P8</f>
        <v>5.9013111714134082E-4</v>
      </c>
      <c r="D12" s="29">
        <f>'Input Data'!Q8</f>
        <v>7.4802784839446098E-4</v>
      </c>
      <c r="E12" s="29">
        <f>'Input Data'!R8</f>
        <v>2.4007774305636847E-3</v>
      </c>
      <c r="F12" s="29">
        <f>'Input Data'!S8</f>
        <v>1.2862228983740083E-3</v>
      </c>
      <c r="G12" s="29">
        <f>'Input Data'!T8</f>
        <v>5.23521298312805E-4</v>
      </c>
      <c r="H12" s="29">
        <f>'Input Data'!U8</f>
        <v>4.377883591299996E-4</v>
      </c>
      <c r="I12" s="29">
        <f>'Input Data'!V8</f>
        <v>2.7728847233448348E-4</v>
      </c>
      <c r="J12" s="29">
        <f>'Input Data'!W8</f>
        <v>5.9103622869282485E-4</v>
      </c>
      <c r="K12" s="98">
        <f>'Input Data'!X8</f>
        <v>3.2422959257236513E-4</v>
      </c>
      <c r="L12" s="61"/>
    </row>
    <row r="13" spans="1:20" ht="16" x14ac:dyDescent="0.2">
      <c r="A13" s="60" t="s">
        <v>36</v>
      </c>
      <c r="B13" s="97">
        <f>'Input Data'!O9</f>
        <v>2.4860193597258809E-3</v>
      </c>
      <c r="C13" s="29">
        <f>'Input Data'!P9</f>
        <v>4.257128869033391E-3</v>
      </c>
      <c r="D13" s="29">
        <f>'Input Data'!Q9</f>
        <v>2.4355441713720741E-3</v>
      </c>
      <c r="E13" s="29">
        <f>'Input Data'!R9</f>
        <v>1.2862228983740083E-3</v>
      </c>
      <c r="F13" s="29">
        <f>'Input Data'!S9</f>
        <v>1.2840680682707783E-2</v>
      </c>
      <c r="G13" s="29">
        <f>'Input Data'!T9</f>
        <v>2.3799851134190452E-3</v>
      </c>
      <c r="H13" s="29">
        <f>'Input Data'!U9</f>
        <v>3.8282456599321927E-3</v>
      </c>
      <c r="I13" s="29">
        <f>'Input Data'!V9</f>
        <v>1.621922063150072E-3</v>
      </c>
      <c r="J13" s="29">
        <f>'Input Data'!W9</f>
        <v>2.5563997286600815E-3</v>
      </c>
      <c r="K13" s="98">
        <f>'Input Data'!X9</f>
        <v>1.9526734298192675E-3</v>
      </c>
      <c r="L13" s="61"/>
    </row>
    <row r="14" spans="1:20" ht="16" x14ac:dyDescent="0.2">
      <c r="A14" s="60" t="s">
        <v>37</v>
      </c>
      <c r="B14" s="97">
        <f>'Input Data'!O10</f>
        <v>2.5490705634767879E-3</v>
      </c>
      <c r="C14" s="29">
        <f>'Input Data'!P10</f>
        <v>1.3094800839135588E-3</v>
      </c>
      <c r="D14" s="29">
        <f>'Input Data'!Q10</f>
        <v>1.516323149896869E-3</v>
      </c>
      <c r="E14" s="29">
        <f>'Input Data'!R10</f>
        <v>5.23521298312805E-4</v>
      </c>
      <c r="F14" s="29">
        <f>'Input Data'!S10</f>
        <v>2.3799851134190452E-3</v>
      </c>
      <c r="G14" s="29">
        <f>'Input Data'!T10</f>
        <v>6.5183542133270675E-3</v>
      </c>
      <c r="H14" s="29">
        <f>'Input Data'!U10</f>
        <v>1.8019645950742588E-3</v>
      </c>
      <c r="I14" s="29">
        <f>'Input Data'!V10</f>
        <v>2.4402518277329751E-3</v>
      </c>
      <c r="J14" s="29">
        <f>'Input Data'!W10</f>
        <v>1.6845748959359846E-3</v>
      </c>
      <c r="K14" s="98">
        <f>'Input Data'!X10</f>
        <v>2.1806290709190201E-3</v>
      </c>
      <c r="L14" s="61"/>
    </row>
    <row r="15" spans="1:20" ht="16" x14ac:dyDescent="0.2">
      <c r="A15" s="60" t="s">
        <v>38</v>
      </c>
      <c r="B15" s="97">
        <f>'Input Data'!O11</f>
        <v>2.4429230555979937E-3</v>
      </c>
      <c r="C15" s="29">
        <f>'Input Data'!P11</f>
        <v>3.4605155459660128E-3</v>
      </c>
      <c r="D15" s="29">
        <f>'Input Data'!Q11</f>
        <v>3.2823530966486405E-3</v>
      </c>
      <c r="E15" s="29">
        <f>'Input Data'!R11</f>
        <v>4.377883591299996E-4</v>
      </c>
      <c r="F15" s="29">
        <f>'Input Data'!S11</f>
        <v>3.8282456599321927E-3</v>
      </c>
      <c r="G15" s="29">
        <f>'Input Data'!T11</f>
        <v>1.8019645950742588E-3</v>
      </c>
      <c r="H15" s="29">
        <f>'Input Data'!U11</f>
        <v>7.0062225023223334E-3</v>
      </c>
      <c r="I15" s="29">
        <f>'Input Data'!V11</f>
        <v>1.9688325558045766E-3</v>
      </c>
      <c r="J15" s="29">
        <f>'Input Data'!W11</f>
        <v>2.0984723685752616E-3</v>
      </c>
      <c r="K15" s="98">
        <f>'Input Data'!X11</f>
        <v>1.9719049374985233E-3</v>
      </c>
      <c r="L15" s="61"/>
    </row>
    <row r="16" spans="1:20" ht="16" x14ac:dyDescent="0.2">
      <c r="A16" s="60" t="s">
        <v>39</v>
      </c>
      <c r="B16" s="97">
        <f>'Input Data'!O12</f>
        <v>1.9782211926449716E-3</v>
      </c>
      <c r="C16" s="29">
        <f>'Input Data'!P12</f>
        <v>1.8259397396344329E-3</v>
      </c>
      <c r="D16" s="29">
        <f>'Input Data'!Q12</f>
        <v>1.8531030278038285E-3</v>
      </c>
      <c r="E16" s="29">
        <f>'Input Data'!R12</f>
        <v>2.7728847233448348E-4</v>
      </c>
      <c r="F16" s="29">
        <f>'Input Data'!S12</f>
        <v>1.621922063150072E-3</v>
      </c>
      <c r="G16" s="29">
        <f>'Input Data'!T12</f>
        <v>2.4402518277329751E-3</v>
      </c>
      <c r="H16" s="29">
        <f>'Input Data'!U12</f>
        <v>1.9688325558045766E-3</v>
      </c>
      <c r="I16" s="29">
        <f>'Input Data'!V12</f>
        <v>4.2074694931787697E-3</v>
      </c>
      <c r="J16" s="29">
        <f>'Input Data'!W12</f>
        <v>1.6445330408414545E-3</v>
      </c>
      <c r="K16" s="98">
        <f>'Input Data'!X12</f>
        <v>1.6715541657578198E-3</v>
      </c>
      <c r="L16" s="61"/>
    </row>
    <row r="17" spans="1:13" ht="16" x14ac:dyDescent="0.2">
      <c r="A17" s="60" t="s">
        <v>40</v>
      </c>
      <c r="B17" s="97">
        <f>'Input Data'!O13</f>
        <v>1.3409444858748349E-3</v>
      </c>
      <c r="C17" s="29">
        <f>'Input Data'!P13</f>
        <v>2.1653216274736243E-3</v>
      </c>
      <c r="D17" s="29">
        <f>'Input Data'!Q13</f>
        <v>1.7526183224188161E-3</v>
      </c>
      <c r="E17" s="29">
        <f>'Input Data'!R13</f>
        <v>5.9103622869282485E-4</v>
      </c>
      <c r="F17" s="29">
        <f>'Input Data'!S13</f>
        <v>2.5563997286600815E-3</v>
      </c>
      <c r="G17" s="29">
        <f>'Input Data'!T13</f>
        <v>1.6845748959359846E-3</v>
      </c>
      <c r="H17" s="29">
        <f>'Input Data'!U13</f>
        <v>2.0984723685752616E-3</v>
      </c>
      <c r="I17" s="29">
        <f>'Input Data'!V13</f>
        <v>1.6445330408414545E-3</v>
      </c>
      <c r="J17" s="29">
        <f>'Input Data'!W13</f>
        <v>2.8819913152720888E-3</v>
      </c>
      <c r="K17" s="98">
        <f>'Input Data'!X13</f>
        <v>1.1164580462526329E-3</v>
      </c>
      <c r="L17" s="61"/>
    </row>
    <row r="18" spans="1:13" ht="17" thickBot="1" x14ac:dyDescent="0.25">
      <c r="A18" s="60" t="s">
        <v>41</v>
      </c>
      <c r="B18" s="99">
        <f>'Input Data'!O14</f>
        <v>2.1984750866270043E-3</v>
      </c>
      <c r="C18" s="100">
        <f>'Input Data'!P14</f>
        <v>1.2973233748085086E-3</v>
      </c>
      <c r="D18" s="100">
        <f>'Input Data'!Q14</f>
        <v>1.6172431429895143E-3</v>
      </c>
      <c r="E18" s="100">
        <f>'Input Data'!R14</f>
        <v>3.2422959257236513E-4</v>
      </c>
      <c r="F18" s="100">
        <f>'Input Data'!S14</f>
        <v>1.9526734298192675E-3</v>
      </c>
      <c r="G18" s="100">
        <f>'Input Data'!T14</f>
        <v>2.1806290709190201E-3</v>
      </c>
      <c r="H18" s="100">
        <f>'Input Data'!U14</f>
        <v>1.9719049374985233E-3</v>
      </c>
      <c r="I18" s="100">
        <f>'Input Data'!V14</f>
        <v>1.6715541657578198E-3</v>
      </c>
      <c r="J18" s="100">
        <f>'Input Data'!W14</f>
        <v>1.1164580462526329E-3</v>
      </c>
      <c r="K18" s="101">
        <f>'Input Data'!X14</f>
        <v>3.3509278306506768E-3</v>
      </c>
      <c r="L18" s="61"/>
    </row>
    <row r="19" spans="1:13" x14ac:dyDescent="0.15">
      <c r="A19" s="60"/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spans="1:13" ht="14" thickBot="1" x14ac:dyDescent="0.2">
      <c r="D20" s="62"/>
    </row>
    <row r="21" spans="1:13" ht="14" thickBot="1" x14ac:dyDescent="0.2">
      <c r="A21" s="63">
        <v>0.32</v>
      </c>
      <c r="B21" s="46" t="s">
        <v>20</v>
      </c>
      <c r="E21" s="44"/>
      <c r="F21" s="44"/>
    </row>
    <row r="22" spans="1:13" ht="14" thickBot="1" x14ac:dyDescent="0.2">
      <c r="E22" s="57"/>
      <c r="F22" s="57"/>
    </row>
    <row r="23" spans="1:13" ht="14" thickBot="1" x14ac:dyDescent="0.2">
      <c r="A23" s="64">
        <f t="array" ref="A23">MMULT(Weights,MMULT(Covar,TRANSPOSE(Weights)))</f>
        <v>4.9086165663960535E-3</v>
      </c>
      <c r="B23" s="46" t="s">
        <v>21</v>
      </c>
      <c r="E23" s="57"/>
      <c r="F23" s="57"/>
    </row>
    <row r="24" spans="1:13" ht="14" thickBot="1" x14ac:dyDescent="0.2">
      <c r="E24" s="57"/>
      <c r="F24" s="57"/>
    </row>
    <row r="25" spans="1:13" x14ac:dyDescent="0.15">
      <c r="A25" s="65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7"/>
    </row>
    <row r="26" spans="1:13" x14ac:dyDescent="0.15">
      <c r="A26" s="68"/>
      <c r="B26" s="69"/>
      <c r="C26" s="69"/>
      <c r="D26" s="69"/>
      <c r="E26" s="70"/>
      <c r="F26" s="69"/>
      <c r="G26" s="69"/>
      <c r="H26" s="69"/>
      <c r="I26" s="69"/>
      <c r="J26" s="69"/>
      <c r="K26" s="69"/>
      <c r="L26" s="69"/>
      <c r="M26" s="71"/>
    </row>
    <row r="27" spans="1:13" ht="14" thickBot="1" x14ac:dyDescent="0.2">
      <c r="A27" s="72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4"/>
    </row>
    <row r="28" spans="1:13" ht="14" thickBot="1" x14ac:dyDescent="0.2"/>
    <row r="29" spans="1:13" x14ac:dyDescent="0.15">
      <c r="A29" s="75" t="s">
        <v>22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7"/>
    </row>
    <row r="30" spans="1:13" ht="14" thickBot="1" x14ac:dyDescent="0.2">
      <c r="A30" s="76" t="s">
        <v>23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4"/>
    </row>
    <row r="31" spans="1:13" ht="14" thickBot="1" x14ac:dyDescent="0.2">
      <c r="B31" s="77" t="s">
        <v>17</v>
      </c>
      <c r="L31" s="84"/>
      <c r="M31" s="84"/>
    </row>
    <row r="32" spans="1:13" ht="14" thickBot="1" x14ac:dyDescent="0.2">
      <c r="A32" s="91" t="s">
        <v>24</v>
      </c>
      <c r="B32" s="78" t="s">
        <v>32</v>
      </c>
      <c r="C32" s="78" t="s">
        <v>33</v>
      </c>
      <c r="D32" s="78" t="s">
        <v>34</v>
      </c>
      <c r="E32" s="78" t="s">
        <v>35</v>
      </c>
      <c r="F32" s="78" t="s">
        <v>36</v>
      </c>
      <c r="G32" s="78" t="s">
        <v>37</v>
      </c>
      <c r="H32" s="78" t="s">
        <v>38</v>
      </c>
      <c r="I32" s="78" t="s">
        <v>39</v>
      </c>
      <c r="J32" s="78" t="s">
        <v>40</v>
      </c>
      <c r="K32" s="78" t="s">
        <v>41</v>
      </c>
      <c r="L32" s="79" t="s">
        <v>25</v>
      </c>
      <c r="M32" s="80" t="s">
        <v>24</v>
      </c>
    </row>
    <row r="33" spans="1:15" x14ac:dyDescent="0.15">
      <c r="A33" s="92">
        <v>0.12</v>
      </c>
      <c r="B33" s="85">
        <v>-9.9999999998130898E-8</v>
      </c>
      <c r="C33" s="85">
        <v>0.28672137775856077</v>
      </c>
      <c r="D33" s="85">
        <v>0</v>
      </c>
      <c r="E33" s="85">
        <v>0.58292093737514561</v>
      </c>
      <c r="F33" s="85">
        <v>0</v>
      </c>
      <c r="G33" s="85">
        <v>0</v>
      </c>
      <c r="H33" s="85">
        <v>0.13035778486629376</v>
      </c>
      <c r="I33" s="85">
        <v>0</v>
      </c>
      <c r="J33" s="85">
        <v>0</v>
      </c>
      <c r="K33" s="85">
        <v>0</v>
      </c>
      <c r="L33" s="82">
        <v>0.16012762683288576</v>
      </c>
      <c r="M33" s="83">
        <f t="shared" ref="M33:M62" si="1">A33</f>
        <v>0.12</v>
      </c>
      <c r="N33" s="84"/>
      <c r="O33" s="84"/>
    </row>
    <row r="34" spans="1:15" x14ac:dyDescent="0.15">
      <c r="A34" s="92">
        <v>0.14000000000000001</v>
      </c>
      <c r="B34" s="85">
        <v>0</v>
      </c>
      <c r="C34" s="85">
        <v>0.13410605997368921</v>
      </c>
      <c r="D34" s="85">
        <v>1.5164771634930746E-3</v>
      </c>
      <c r="E34" s="85">
        <v>0.60790560407030836</v>
      </c>
      <c r="F34" s="85">
        <v>0</v>
      </c>
      <c r="G34" s="85">
        <v>0</v>
      </c>
      <c r="H34" s="85">
        <v>0.11134342475465032</v>
      </c>
      <c r="I34" s="85">
        <v>0.13679310008733797</v>
      </c>
      <c r="J34" s="85">
        <v>0</v>
      </c>
      <c r="K34" s="85">
        <v>8.3353435371403221E-3</v>
      </c>
      <c r="L34" s="82">
        <v>0.14077262426233478</v>
      </c>
      <c r="M34" s="83">
        <f t="shared" si="1"/>
        <v>0.14000000000000001</v>
      </c>
      <c r="N34" s="84"/>
      <c r="O34" s="84"/>
    </row>
    <row r="35" spans="1:15" x14ac:dyDescent="0.15">
      <c r="A35" s="92">
        <v>0.16</v>
      </c>
      <c r="B35" s="85">
        <v>0</v>
      </c>
      <c r="C35" s="85">
        <v>8.7646538934227691E-2</v>
      </c>
      <c r="D35" s="85">
        <v>1.5179142719158274E-2</v>
      </c>
      <c r="E35" s="85">
        <v>0.55011530234043649</v>
      </c>
      <c r="F35" s="85">
        <v>0</v>
      </c>
      <c r="G35" s="85">
        <v>0</v>
      </c>
      <c r="H35" s="85">
        <v>6.2755054811714506E-2</v>
      </c>
      <c r="I35" s="85">
        <v>0.13738195868657174</v>
      </c>
      <c r="J35" s="85">
        <v>3.5328440616408455E-2</v>
      </c>
      <c r="K35" s="85">
        <v>0.11159355537577749</v>
      </c>
      <c r="L35" s="82">
        <v>0.13156727156789855</v>
      </c>
      <c r="M35" s="83">
        <f t="shared" si="1"/>
        <v>0.16</v>
      </c>
    </row>
    <row r="36" spans="1:15" x14ac:dyDescent="0.15">
      <c r="A36" s="92">
        <v>0.18</v>
      </c>
      <c r="B36" s="85">
        <v>0</v>
      </c>
      <c r="C36" s="85">
        <v>4.4733070799090634E-2</v>
      </c>
      <c r="D36" s="85">
        <v>1.3551237241636835E-2</v>
      </c>
      <c r="E36" s="85">
        <v>0.49027640291550528</v>
      </c>
      <c r="F36" s="85">
        <v>0</v>
      </c>
      <c r="G36" s="85">
        <v>0</v>
      </c>
      <c r="H36" s="85">
        <v>2.1768072966991351E-2</v>
      </c>
      <c r="I36" s="85">
        <v>0.11941336137110324</v>
      </c>
      <c r="J36" s="85">
        <v>0.13487789212900705</v>
      </c>
      <c r="K36" s="85">
        <v>0.17537995183377458</v>
      </c>
      <c r="L36" s="82">
        <v>0.12659929846378357</v>
      </c>
      <c r="M36" s="83">
        <f t="shared" si="1"/>
        <v>0.18</v>
      </c>
    </row>
    <row r="37" spans="1:15" x14ac:dyDescent="0.15">
      <c r="A37" s="92">
        <v>0.2</v>
      </c>
      <c r="B37" s="85">
        <v>6.347112952044532E-3</v>
      </c>
      <c r="C37" s="85">
        <v>0</v>
      </c>
      <c r="D37" s="85">
        <v>1.1214414217194144E-2</v>
      </c>
      <c r="E37" s="85">
        <v>0.42372580938800919</v>
      </c>
      <c r="F37" s="85">
        <v>0</v>
      </c>
      <c r="G37" s="85">
        <v>9.7158079211840977E-3</v>
      </c>
      <c r="H37" s="85">
        <v>0</v>
      </c>
      <c r="I37" s="85">
        <v>9.3885634769446433E-2</v>
      </c>
      <c r="J37" s="85">
        <v>0.22479201553613234</v>
      </c>
      <c r="K37" s="85">
        <v>0.23031920526333405</v>
      </c>
      <c r="L37" s="82">
        <v>0.12584672282440945</v>
      </c>
      <c r="M37" s="83">
        <f t="shared" si="1"/>
        <v>0.2</v>
      </c>
    </row>
    <row r="38" spans="1:15" x14ac:dyDescent="0.15">
      <c r="A38" s="92">
        <v>0.22</v>
      </c>
      <c r="B38" s="85">
        <v>4.20864489433437E-2</v>
      </c>
      <c r="C38" s="85">
        <v>0</v>
      </c>
      <c r="D38" s="85">
        <v>0</v>
      </c>
      <c r="E38" s="85">
        <v>0.33348536046287902</v>
      </c>
      <c r="F38" s="85">
        <v>0</v>
      </c>
      <c r="G38" s="85">
        <v>7.3293306884628498E-2</v>
      </c>
      <c r="H38" s="85">
        <v>0</v>
      </c>
      <c r="I38" s="85">
        <v>2.763845851351256E-2</v>
      </c>
      <c r="J38" s="85">
        <v>0.27807411501185941</v>
      </c>
      <c r="K38" s="85">
        <v>0.24542231585649124</v>
      </c>
      <c r="L38" s="82">
        <v>0.13005478808246732</v>
      </c>
      <c r="M38" s="83">
        <f t="shared" si="1"/>
        <v>0.22</v>
      </c>
    </row>
    <row r="39" spans="1:15" x14ac:dyDescent="0.15">
      <c r="A39" s="92">
        <v>0.24</v>
      </c>
      <c r="B39" s="85">
        <v>7.7014847588655233E-2</v>
      </c>
      <c r="C39" s="85">
        <v>0</v>
      </c>
      <c r="D39" s="85">
        <v>0</v>
      </c>
      <c r="E39" s="85">
        <v>0.22031388992361178</v>
      </c>
      <c r="F39" s="85">
        <v>0</v>
      </c>
      <c r="G39" s="85">
        <v>0.13941661455197915</v>
      </c>
      <c r="H39" s="85">
        <v>0</v>
      </c>
      <c r="I39" s="85">
        <v>0</v>
      </c>
      <c r="J39" s="85">
        <v>0.31365456905290218</v>
      </c>
      <c r="K39" s="85">
        <v>0.24960007750145813</v>
      </c>
      <c r="L39" s="82">
        <v>0.13964670961866857</v>
      </c>
      <c r="M39" s="83">
        <f t="shared" si="1"/>
        <v>0.24</v>
      </c>
    </row>
    <row r="40" spans="1:15" x14ac:dyDescent="0.15">
      <c r="A40" s="92">
        <v>0.26</v>
      </c>
      <c r="B40" s="85">
        <v>0.1120467902698513</v>
      </c>
      <c r="C40" s="85">
        <v>0</v>
      </c>
      <c r="D40" s="85">
        <v>0</v>
      </c>
      <c r="E40" s="85">
        <v>9.5299484236452056E-2</v>
      </c>
      <c r="F40" s="85">
        <v>0</v>
      </c>
      <c r="G40" s="85">
        <v>0.20628193788919827</v>
      </c>
      <c r="H40" s="85">
        <v>0</v>
      </c>
      <c r="I40" s="85">
        <v>0</v>
      </c>
      <c r="J40" s="85">
        <v>0.34010890765339624</v>
      </c>
      <c r="K40" s="85">
        <v>0.246262879666891</v>
      </c>
      <c r="L40" s="82">
        <v>0.15455417097486712</v>
      </c>
      <c r="M40" s="83">
        <f t="shared" si="1"/>
        <v>0.26</v>
      </c>
    </row>
    <row r="41" spans="1:15" x14ac:dyDescent="0.15">
      <c r="A41" s="92">
        <v>0.28000000000000003</v>
      </c>
      <c r="B41" s="85">
        <v>0.15260131875222624</v>
      </c>
      <c r="C41" s="85">
        <v>0</v>
      </c>
      <c r="D41" s="85">
        <v>0</v>
      </c>
      <c r="E41" s="85">
        <v>0</v>
      </c>
      <c r="F41" s="85">
        <v>0</v>
      </c>
      <c r="G41" s="85">
        <v>0.30754545779542619</v>
      </c>
      <c r="H41" s="85">
        <v>0</v>
      </c>
      <c r="I41" s="85">
        <v>0</v>
      </c>
      <c r="J41" s="85">
        <v>0.32517154794281489</v>
      </c>
      <c r="K41" s="85">
        <v>0.21468167891173848</v>
      </c>
      <c r="L41" s="82">
        <v>0.17385596018287403</v>
      </c>
      <c r="M41" s="83">
        <f t="shared" si="1"/>
        <v>0.28000000000000003</v>
      </c>
    </row>
    <row r="42" spans="1:15" x14ac:dyDescent="0.15">
      <c r="A42" s="92">
        <v>0.3</v>
      </c>
      <c r="B42" s="85">
        <v>0.21086885215032761</v>
      </c>
      <c r="C42" s="85">
        <v>0</v>
      </c>
      <c r="D42" s="85">
        <v>0</v>
      </c>
      <c r="E42" s="85">
        <v>0</v>
      </c>
      <c r="F42" s="85">
        <v>0</v>
      </c>
      <c r="G42" s="85">
        <v>0.51913099147554098</v>
      </c>
      <c r="H42" s="85">
        <v>0</v>
      </c>
      <c r="I42" s="85">
        <v>0</v>
      </c>
      <c r="J42" s="85">
        <v>0.1774840794988746</v>
      </c>
      <c r="K42" s="85">
        <v>9.2516093142527817E-2</v>
      </c>
      <c r="L42" s="82">
        <v>0.20363666059068183</v>
      </c>
      <c r="M42" s="83">
        <f t="shared" si="1"/>
        <v>0.3</v>
      </c>
    </row>
    <row r="43" spans="1:15" x14ac:dyDescent="0.15">
      <c r="A43" s="92">
        <v>0.32</v>
      </c>
      <c r="B43" s="85">
        <v>0.26074794310412497</v>
      </c>
      <c r="C43" s="85">
        <v>0</v>
      </c>
      <c r="D43" s="85">
        <v>0</v>
      </c>
      <c r="E43" s="85">
        <v>0</v>
      </c>
      <c r="F43" s="85">
        <v>0</v>
      </c>
      <c r="G43" s="85">
        <v>0.73116295414614019</v>
      </c>
      <c r="H43" s="85">
        <v>0</v>
      </c>
      <c r="I43" s="85">
        <v>0</v>
      </c>
      <c r="J43" s="85">
        <v>8.089115964813624E-3</v>
      </c>
      <c r="K43" s="85">
        <v>0</v>
      </c>
      <c r="L43" s="82">
        <v>0.24270022413824144</v>
      </c>
      <c r="M43" s="83">
        <f t="shared" si="1"/>
        <v>0.32</v>
      </c>
    </row>
    <row r="44" spans="1:15" x14ac:dyDescent="0.15">
      <c r="A44" s="92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2"/>
      <c r="M44" s="83">
        <f t="shared" si="1"/>
        <v>0</v>
      </c>
    </row>
    <row r="45" spans="1:15" x14ac:dyDescent="0.15">
      <c r="A45" s="82"/>
      <c r="B45" s="81"/>
      <c r="C45" s="85"/>
      <c r="D45" s="85"/>
      <c r="E45" s="85"/>
      <c r="F45" s="85"/>
      <c r="G45" s="85"/>
      <c r="H45" s="85"/>
      <c r="I45" s="85"/>
      <c r="J45" s="85"/>
      <c r="K45" s="85"/>
      <c r="L45" s="82"/>
      <c r="M45" s="83">
        <f t="shared" si="1"/>
        <v>0</v>
      </c>
    </row>
    <row r="46" spans="1:15" x14ac:dyDescent="0.15">
      <c r="A46" s="82"/>
      <c r="B46" s="81"/>
      <c r="C46" s="85"/>
      <c r="D46" s="85"/>
      <c r="E46" s="85"/>
      <c r="F46" s="85"/>
      <c r="G46" s="85"/>
      <c r="H46" s="85"/>
      <c r="I46" s="85"/>
      <c r="J46" s="85"/>
      <c r="K46" s="85"/>
      <c r="L46" s="82"/>
      <c r="M46" s="83">
        <f t="shared" si="1"/>
        <v>0</v>
      </c>
    </row>
    <row r="47" spans="1:15" x14ac:dyDescent="0.15">
      <c r="A47" s="82"/>
      <c r="B47" s="81"/>
      <c r="C47" s="85"/>
      <c r="D47" s="85"/>
      <c r="E47" s="85"/>
      <c r="F47" s="85"/>
      <c r="G47" s="85"/>
      <c r="H47" s="85"/>
      <c r="I47" s="85"/>
      <c r="J47" s="85"/>
      <c r="K47" s="85"/>
      <c r="L47" s="82"/>
      <c r="M47" s="83">
        <f t="shared" si="1"/>
        <v>0</v>
      </c>
    </row>
    <row r="48" spans="1:15" x14ac:dyDescent="0.15">
      <c r="A48" s="82"/>
      <c r="B48" s="81"/>
      <c r="C48" s="85"/>
      <c r="D48" s="85"/>
      <c r="E48" s="85"/>
      <c r="F48" s="85"/>
      <c r="G48" s="85"/>
      <c r="H48" s="85"/>
      <c r="I48" s="85"/>
      <c r="J48" s="85"/>
      <c r="K48" s="85"/>
      <c r="L48" s="82"/>
      <c r="M48" s="83">
        <f t="shared" si="1"/>
        <v>0</v>
      </c>
    </row>
    <row r="49" spans="1:13" x14ac:dyDescent="0.15">
      <c r="A49" s="82"/>
      <c r="B49" s="81"/>
      <c r="C49" s="85"/>
      <c r="D49" s="85"/>
      <c r="E49" s="85"/>
      <c r="F49" s="85"/>
      <c r="G49" s="85"/>
      <c r="H49" s="85"/>
      <c r="I49" s="85"/>
      <c r="J49" s="85"/>
      <c r="K49" s="85"/>
      <c r="L49" s="82"/>
      <c r="M49" s="83">
        <f t="shared" si="1"/>
        <v>0</v>
      </c>
    </row>
    <row r="50" spans="1:13" x14ac:dyDescent="0.15">
      <c r="A50" s="82"/>
      <c r="B50" s="81"/>
      <c r="C50" s="85"/>
      <c r="D50" s="85"/>
      <c r="E50" s="85"/>
      <c r="F50" s="85"/>
      <c r="G50" s="85"/>
      <c r="H50" s="85"/>
      <c r="I50" s="85"/>
      <c r="J50" s="85"/>
      <c r="K50" s="85"/>
      <c r="L50" s="82"/>
      <c r="M50" s="83">
        <f t="shared" si="1"/>
        <v>0</v>
      </c>
    </row>
    <row r="51" spans="1:13" x14ac:dyDescent="0.15">
      <c r="A51" s="82"/>
      <c r="B51" s="81"/>
      <c r="C51" s="85"/>
      <c r="D51" s="85"/>
      <c r="E51" s="85"/>
      <c r="F51" s="85"/>
      <c r="G51" s="85"/>
      <c r="H51" s="85"/>
      <c r="I51" s="85"/>
      <c r="J51" s="85"/>
      <c r="K51" s="85"/>
      <c r="L51" s="82"/>
      <c r="M51" s="83">
        <f t="shared" si="1"/>
        <v>0</v>
      </c>
    </row>
    <row r="52" spans="1:13" x14ac:dyDescent="0.15">
      <c r="A52" s="82"/>
      <c r="B52" s="81"/>
      <c r="C52" s="85"/>
      <c r="D52" s="85"/>
      <c r="E52" s="85"/>
      <c r="F52" s="85"/>
      <c r="G52" s="85"/>
      <c r="H52" s="85"/>
      <c r="I52" s="85"/>
      <c r="J52" s="85"/>
      <c r="K52" s="85"/>
      <c r="L52" s="82"/>
      <c r="M52" s="83">
        <f t="shared" si="1"/>
        <v>0</v>
      </c>
    </row>
    <row r="53" spans="1:13" x14ac:dyDescent="0.15">
      <c r="A53" s="82"/>
      <c r="B53" s="81"/>
      <c r="C53" s="85"/>
      <c r="D53" s="85"/>
      <c r="E53" s="85"/>
      <c r="F53" s="85"/>
      <c r="G53" s="85"/>
      <c r="H53" s="85"/>
      <c r="I53" s="85"/>
      <c r="J53" s="85"/>
      <c r="K53" s="85"/>
      <c r="L53" s="82"/>
      <c r="M53" s="83">
        <f t="shared" si="1"/>
        <v>0</v>
      </c>
    </row>
    <row r="54" spans="1:13" x14ac:dyDescent="0.15">
      <c r="A54" s="82"/>
      <c r="B54" s="81"/>
      <c r="C54" s="85"/>
      <c r="D54" s="85"/>
      <c r="E54" s="85"/>
      <c r="F54" s="85"/>
      <c r="G54" s="85"/>
      <c r="H54" s="85"/>
      <c r="I54" s="85"/>
      <c r="J54" s="85"/>
      <c r="K54" s="85"/>
      <c r="L54" s="82"/>
      <c r="M54" s="83">
        <f t="shared" si="1"/>
        <v>0</v>
      </c>
    </row>
    <row r="55" spans="1:13" x14ac:dyDescent="0.15">
      <c r="A55" s="82"/>
      <c r="B55" s="81"/>
      <c r="C55" s="85"/>
      <c r="D55" s="85"/>
      <c r="E55" s="85"/>
      <c r="F55" s="85"/>
      <c r="G55" s="85"/>
      <c r="H55" s="85"/>
      <c r="I55" s="85"/>
      <c r="J55" s="85"/>
      <c r="K55" s="85"/>
      <c r="L55" s="82"/>
      <c r="M55" s="83">
        <f t="shared" si="1"/>
        <v>0</v>
      </c>
    </row>
    <row r="56" spans="1:13" x14ac:dyDescent="0.15">
      <c r="A56" s="82"/>
      <c r="B56" s="81"/>
      <c r="C56" s="85"/>
      <c r="D56" s="85"/>
      <c r="E56" s="85"/>
      <c r="F56" s="85"/>
      <c r="G56" s="85"/>
      <c r="H56" s="85"/>
      <c r="I56" s="85"/>
      <c r="J56" s="85"/>
      <c r="K56" s="85"/>
      <c r="L56" s="82"/>
      <c r="M56" s="83">
        <f t="shared" si="1"/>
        <v>0</v>
      </c>
    </row>
    <row r="57" spans="1:13" x14ac:dyDescent="0.15">
      <c r="A57" s="82"/>
      <c r="B57" s="81"/>
      <c r="C57" s="85"/>
      <c r="D57" s="85"/>
      <c r="E57" s="85"/>
      <c r="F57" s="85"/>
      <c r="G57" s="85"/>
      <c r="H57" s="85"/>
      <c r="I57" s="85"/>
      <c r="J57" s="85"/>
      <c r="K57" s="85"/>
      <c r="L57" s="82"/>
      <c r="M57" s="83">
        <f t="shared" si="1"/>
        <v>0</v>
      </c>
    </row>
    <row r="58" spans="1:13" x14ac:dyDescent="0.15">
      <c r="A58" s="82"/>
      <c r="B58" s="81"/>
      <c r="C58" s="85"/>
      <c r="D58" s="85"/>
      <c r="E58" s="85"/>
      <c r="F58" s="85"/>
      <c r="G58" s="85"/>
      <c r="H58" s="85"/>
      <c r="I58" s="85"/>
      <c r="J58" s="85"/>
      <c r="K58" s="85"/>
      <c r="L58" s="82"/>
      <c r="M58" s="83">
        <f t="shared" si="1"/>
        <v>0</v>
      </c>
    </row>
    <row r="59" spans="1:13" x14ac:dyDescent="0.15">
      <c r="A59" s="82"/>
      <c r="B59" s="81"/>
      <c r="C59" s="85"/>
      <c r="D59" s="85"/>
      <c r="E59" s="85"/>
      <c r="F59" s="85"/>
      <c r="G59" s="85"/>
      <c r="H59" s="85"/>
      <c r="I59" s="85"/>
      <c r="J59" s="85"/>
      <c r="K59" s="85"/>
      <c r="L59" s="82"/>
      <c r="M59" s="83">
        <f t="shared" si="1"/>
        <v>0</v>
      </c>
    </row>
    <row r="60" spans="1:13" x14ac:dyDescent="0.15">
      <c r="A60" s="82"/>
      <c r="B60" s="81"/>
      <c r="C60" s="85"/>
      <c r="D60" s="85"/>
      <c r="E60" s="85"/>
      <c r="F60" s="85"/>
      <c r="G60" s="85"/>
      <c r="H60" s="85"/>
      <c r="I60" s="85"/>
      <c r="J60" s="85"/>
      <c r="K60" s="85"/>
      <c r="L60" s="82"/>
      <c r="M60" s="83">
        <f t="shared" si="1"/>
        <v>0</v>
      </c>
    </row>
    <row r="61" spans="1:13" x14ac:dyDescent="0.15">
      <c r="A61" s="82"/>
      <c r="B61" s="81"/>
      <c r="C61" s="85"/>
      <c r="D61" s="85"/>
      <c r="E61" s="85"/>
      <c r="F61" s="85"/>
      <c r="G61" s="85"/>
      <c r="H61" s="85"/>
      <c r="I61" s="85"/>
      <c r="J61" s="85"/>
      <c r="K61" s="85"/>
      <c r="L61" s="82"/>
      <c r="M61" s="83">
        <f t="shared" si="1"/>
        <v>0</v>
      </c>
    </row>
    <row r="62" spans="1:13" x14ac:dyDescent="0.15">
      <c r="A62" s="82"/>
      <c r="B62" s="81"/>
      <c r="C62" s="85"/>
      <c r="D62" s="85"/>
      <c r="E62" s="85"/>
      <c r="F62" s="85"/>
      <c r="G62" s="85"/>
      <c r="H62" s="85"/>
      <c r="I62" s="85"/>
      <c r="J62" s="85"/>
      <c r="K62" s="85"/>
      <c r="L62" s="82"/>
      <c r="M62" s="83">
        <f t="shared" si="1"/>
        <v>0</v>
      </c>
    </row>
    <row r="63" spans="1:13" x14ac:dyDescent="0.15">
      <c r="M63" s="46"/>
    </row>
    <row r="64" spans="1:13" x14ac:dyDescent="0.15">
      <c r="M64" s="46"/>
    </row>
    <row r="66" spans="12:13" x14ac:dyDescent="0.15">
      <c r="M66" s="46"/>
    </row>
    <row r="67" spans="12:13" x14ac:dyDescent="0.15">
      <c r="M67" s="46"/>
    </row>
    <row r="69" spans="12:13" x14ac:dyDescent="0.15">
      <c r="L69" s="43" t="s">
        <v>28</v>
      </c>
      <c r="M69" s="46" t="s">
        <v>26</v>
      </c>
    </row>
    <row r="70" spans="12:13" x14ac:dyDescent="0.15">
      <c r="M70" s="46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3E5A-CEF6-3E49-A362-E1AD007193FD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Input Data</vt:lpstr>
      <vt:lpstr>MVO - Efficient Frontier</vt:lpstr>
      <vt:lpstr>MVO Graph</vt:lpstr>
      <vt:lpstr>Covar</vt:lpstr>
      <vt:lpstr>Returns</vt:lpstr>
      <vt:lpstr>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Donaldson</dc:creator>
  <cp:lastModifiedBy>Jeffrey Donaldson</cp:lastModifiedBy>
  <dcterms:created xsi:type="dcterms:W3CDTF">2021-01-19T21:25:57Z</dcterms:created>
  <dcterms:modified xsi:type="dcterms:W3CDTF">2023-09-06T12:47:54Z</dcterms:modified>
</cp:coreProperties>
</file>