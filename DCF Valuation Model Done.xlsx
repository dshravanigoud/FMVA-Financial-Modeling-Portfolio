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shravanigouddindu/Downloads/"/>
    </mc:Choice>
  </mc:AlternateContent>
  <xr:revisionPtr revIDLastSave="0" documentId="13_ncr:1_{9E32EEF8-8A87-0E42-BAB9-2868381E7923}" xr6:coauthVersionLast="47" xr6:coauthVersionMax="47" xr10:uidLastSave="{00000000-0000-0000-0000-000000000000}"/>
  <bookViews>
    <workbookView xWindow="0" yWindow="760" windowWidth="25220" windowHeight="18360" activeTab="5" xr2:uid="{00000000-000D-0000-FFFF-FFFF00000000}"/>
  </bookViews>
  <sheets>
    <sheet name="Cover" sheetId="2" r:id="rId1"/>
    <sheet name="Outputs-R" sheetId="8" state="veryHidden" r:id="rId2"/>
    <sheet name="Inputs" sheetId="4" r:id="rId3"/>
    <sheet name="Inputs-R" sheetId="6" state="veryHidden" r:id="rId4"/>
    <sheet name="Model" sheetId="5" r:id="rId5"/>
    <sheet name="Outputs" sheetId="3" r:id="rId6"/>
    <sheet name="Model-R" sheetId="7" state="veryHidden" r:id="rId7"/>
  </sheets>
  <definedNames>
    <definedName name="_xlnm.Print_Area" localSheetId="0">Cover!$B$2:$N$39</definedName>
    <definedName name="_xlnm.Print_Area" localSheetId="2">Inputs!$B$3:$M$41,Inputs!$B$44:$M$85,Inputs!$B$88:$M$113</definedName>
    <definedName name="_xlnm.Print_Area" localSheetId="3">'Inputs-R'!$B$3:$M$41,'Inputs-R'!$B$44:$M$85,'Inputs-R'!$B$88:$M$113</definedName>
    <definedName name="_xlnm.Print_Area" localSheetId="4">Model!$B$3:$O$44,Model!$B$47:$O$90,Model!$B$93:$O$124,Model!$B$127:$O$159,Model!$B$162:$M$205,Model!$B$208:$M$234,Model!$B$237:$M$276,Model!$B$279:$M$318,Model!$B$321:$O$358,Model!$B$361:$O$405,Model!$B$408:$O$452</definedName>
    <definedName name="_xlnm.Print_Area" localSheetId="6">'Model-R'!$B$3:$O$44,'Model-R'!$B$47:$O$90,'Model-R'!$B$93:$O$124,'Model-R'!$B$127:$O$159,'Model-R'!$B$162:$M$205,'Model-R'!$B$208:$M$234,'Model-R'!$B$237:$M$276,'Model-R'!$B$279:$M$318,'Model-R'!$B$321:$O$358,'Model-R'!$B$361:$O$405,'Model-R'!$B$408:$O$452</definedName>
    <definedName name="_xlnm.Print_Area" localSheetId="5">Outputs!$B$3:$Q$44,Outputs!$B$47:$Q$88</definedName>
    <definedName name="_xlnm.Print_Area" localSheetId="1">'Outputs-R'!$B$3:$Q$44,'Outputs-R'!$B$47:$Q$88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1" i="5" l="1"/>
  <c r="N422" i="5" s="1"/>
  <c r="F422" i="5"/>
  <c r="M422" i="5"/>
  <c r="L422" i="5"/>
  <c r="K422" i="5"/>
  <c r="J422" i="5"/>
  <c r="I422" i="5"/>
  <c r="N420" i="5"/>
  <c r="M420" i="5"/>
  <c r="L420" i="5"/>
  <c r="K420" i="5"/>
  <c r="J420" i="5"/>
  <c r="I420" i="5"/>
  <c r="N417" i="5"/>
  <c r="J414" i="5"/>
  <c r="K414" i="5" s="1"/>
  <c r="L414" i="5" s="1"/>
  <c r="M414" i="5" s="1"/>
  <c r="N414" i="5" s="1"/>
  <c r="K413" i="5"/>
  <c r="L413" i="5" s="1"/>
  <c r="M413" i="5" s="1"/>
  <c r="N413" i="5" s="1"/>
  <c r="J413" i="5"/>
  <c r="M401" i="5" l="1"/>
  <c r="M399" i="5"/>
  <c r="L395" i="5"/>
  <c r="L394" i="5"/>
  <c r="L393" i="5"/>
  <c r="M395" i="5"/>
  <c r="M394" i="5"/>
  <c r="M393" i="5"/>
  <c r="H401" i="5"/>
  <c r="H399" i="5"/>
  <c r="H394" i="5"/>
  <c r="H393" i="5"/>
  <c r="J389" i="5"/>
  <c r="K389" i="5"/>
  <c r="L389" i="5"/>
  <c r="M389" i="5"/>
  <c r="I389" i="5"/>
  <c r="M388" i="5"/>
  <c r="L388" i="5"/>
  <c r="K388" i="5"/>
  <c r="J388" i="5"/>
  <c r="I388" i="5"/>
  <c r="M387" i="5"/>
  <c r="L387" i="5"/>
  <c r="K387" i="5"/>
  <c r="J387" i="5"/>
  <c r="I387" i="5"/>
  <c r="J385" i="5"/>
  <c r="K385" i="5" s="1"/>
  <c r="L385" i="5" s="1"/>
  <c r="M385" i="5" s="1"/>
  <c r="I385" i="5"/>
  <c r="I378" i="5"/>
  <c r="I380" i="5" s="1"/>
  <c r="M381" i="5"/>
  <c r="K381" i="5"/>
  <c r="J381" i="5"/>
  <c r="M378" i="5"/>
  <c r="M380" i="5" s="1"/>
  <c r="M382" i="5" s="1"/>
  <c r="L378" i="5"/>
  <c r="L380" i="5" s="1"/>
  <c r="K378" i="5"/>
  <c r="K380" i="5" s="1"/>
  <c r="K382" i="5" s="1"/>
  <c r="J378" i="5"/>
  <c r="J380" i="5" s="1"/>
  <c r="J382" i="5" s="1"/>
  <c r="M375" i="5"/>
  <c r="L375" i="5"/>
  <c r="K375" i="5"/>
  <c r="J375" i="5"/>
  <c r="I375" i="5"/>
  <c r="M374" i="5"/>
  <c r="J373" i="5"/>
  <c r="K373" i="5"/>
  <c r="L373" i="5"/>
  <c r="M373" i="5"/>
  <c r="I373" i="5"/>
  <c r="N369" i="5"/>
  <c r="M369" i="5"/>
  <c r="L369" i="5"/>
  <c r="K369" i="5"/>
  <c r="J369" i="5"/>
  <c r="I369" i="5"/>
  <c r="K367" i="5"/>
  <c r="L367" i="5" s="1"/>
  <c r="M367" i="5" s="1"/>
  <c r="N367" i="5" s="1"/>
  <c r="J367" i="5"/>
  <c r="K366" i="5"/>
  <c r="L366" i="5" s="1"/>
  <c r="M366" i="5" s="1"/>
  <c r="N366" i="5" s="1"/>
  <c r="J366" i="5"/>
  <c r="F110" i="4"/>
  <c r="F109" i="4"/>
  <c r="L84" i="4"/>
  <c r="L81" i="4"/>
  <c r="L80" i="4"/>
  <c r="K81" i="4"/>
  <c r="K80" i="4"/>
  <c r="L74" i="4"/>
  <c r="L66" i="4"/>
  <c r="L64" i="4"/>
  <c r="F66" i="4"/>
  <c r="F65" i="4"/>
  <c r="L51" i="4"/>
  <c r="F64" i="4"/>
  <c r="L55" i="4"/>
  <c r="L54" i="4"/>
  <c r="L53" i="4"/>
  <c r="L52" i="4"/>
  <c r="J55" i="4"/>
  <c r="J54" i="4"/>
  <c r="J53" i="4"/>
  <c r="J52" i="4"/>
  <c r="J51" i="4"/>
  <c r="F77" i="4"/>
  <c r="E77" i="4"/>
  <c r="F74" i="4"/>
  <c r="E75" i="4"/>
  <c r="E74" i="4"/>
  <c r="E73" i="4"/>
  <c r="N349" i="5"/>
  <c r="M349" i="5"/>
  <c r="L349" i="5"/>
  <c r="K349" i="5"/>
  <c r="J349" i="5"/>
  <c r="N348" i="5"/>
  <c r="M348" i="5"/>
  <c r="L348" i="5"/>
  <c r="K348" i="5"/>
  <c r="J348" i="5"/>
  <c r="I349" i="5"/>
  <c r="I348" i="5"/>
  <c r="N347" i="5"/>
  <c r="M347" i="5"/>
  <c r="L347" i="5"/>
  <c r="K347" i="5"/>
  <c r="J347" i="5"/>
  <c r="I347" i="5"/>
  <c r="I344" i="5"/>
  <c r="I338" i="5"/>
  <c r="N337" i="5"/>
  <c r="M337" i="5"/>
  <c r="L337" i="5"/>
  <c r="K337" i="5"/>
  <c r="J337" i="5"/>
  <c r="J339" i="5" s="1"/>
  <c r="I337" i="5"/>
  <c r="N336" i="5"/>
  <c r="M336" i="5"/>
  <c r="L336" i="5"/>
  <c r="K336" i="5"/>
  <c r="J336" i="5"/>
  <c r="I336" i="5"/>
  <c r="I335" i="5"/>
  <c r="N346" i="5"/>
  <c r="M346" i="5"/>
  <c r="L346" i="5"/>
  <c r="K346" i="5"/>
  <c r="J346" i="5"/>
  <c r="N345" i="5"/>
  <c r="M345" i="5"/>
  <c r="L345" i="5"/>
  <c r="K345" i="5"/>
  <c r="J345" i="5"/>
  <c r="N344" i="5"/>
  <c r="M344" i="5"/>
  <c r="L344" i="5"/>
  <c r="K344" i="5"/>
  <c r="J344" i="5"/>
  <c r="N343" i="5"/>
  <c r="M343" i="5"/>
  <c r="L343" i="5"/>
  <c r="K343" i="5"/>
  <c r="J343" i="5"/>
  <c r="N338" i="5"/>
  <c r="M338" i="5"/>
  <c r="L338" i="5"/>
  <c r="K338" i="5"/>
  <c r="J338" i="5"/>
  <c r="N335" i="5"/>
  <c r="N339" i="5" s="1"/>
  <c r="M335" i="5"/>
  <c r="M339" i="5" s="1"/>
  <c r="L335" i="5"/>
  <c r="L339" i="5" s="1"/>
  <c r="K335" i="5"/>
  <c r="J335" i="5"/>
  <c r="I350" i="5"/>
  <c r="I346" i="5"/>
  <c r="I345" i="5"/>
  <c r="I343" i="5"/>
  <c r="I339" i="5"/>
  <c r="N329" i="5"/>
  <c r="M329" i="5"/>
  <c r="L329" i="5"/>
  <c r="K329" i="5"/>
  <c r="J329" i="5"/>
  <c r="I329" i="5"/>
  <c r="N328" i="5"/>
  <c r="N327" i="5"/>
  <c r="M328" i="5"/>
  <c r="L328" i="5"/>
  <c r="K328" i="5"/>
  <c r="J328" i="5"/>
  <c r="I328" i="5"/>
  <c r="M327" i="5"/>
  <c r="L327" i="5"/>
  <c r="K327" i="5"/>
  <c r="J327" i="5"/>
  <c r="I327" i="5"/>
  <c r="N116" i="5"/>
  <c r="M116" i="5"/>
  <c r="L116" i="5"/>
  <c r="K116" i="5"/>
  <c r="J116" i="5"/>
  <c r="I116" i="5"/>
  <c r="N113" i="5"/>
  <c r="M113" i="5"/>
  <c r="L113" i="5"/>
  <c r="K113" i="5"/>
  <c r="J113" i="5"/>
  <c r="I113" i="5"/>
  <c r="I251" i="5"/>
  <c r="I222" i="5"/>
  <c r="M294" i="5"/>
  <c r="L294" i="5"/>
  <c r="K294" i="5"/>
  <c r="J294" i="5"/>
  <c r="I294" i="5"/>
  <c r="M293" i="5"/>
  <c r="L293" i="5"/>
  <c r="K293" i="5"/>
  <c r="J293" i="5"/>
  <c r="I293" i="5"/>
  <c r="M252" i="5"/>
  <c r="L252" i="5"/>
  <c r="K252" i="5"/>
  <c r="J252" i="5"/>
  <c r="I252" i="5"/>
  <c r="M251" i="5"/>
  <c r="L251" i="5"/>
  <c r="K251" i="5"/>
  <c r="J251" i="5"/>
  <c r="M222" i="5"/>
  <c r="L222" i="5"/>
  <c r="K222" i="5"/>
  <c r="J222" i="5"/>
  <c r="M213" i="5"/>
  <c r="L213" i="5"/>
  <c r="K213" i="5"/>
  <c r="J213" i="5"/>
  <c r="I213" i="5"/>
  <c r="M167" i="5"/>
  <c r="L167" i="5"/>
  <c r="K167" i="5"/>
  <c r="J167" i="5"/>
  <c r="I167" i="5"/>
  <c r="N140" i="5"/>
  <c r="M140" i="5"/>
  <c r="L140" i="5"/>
  <c r="K140" i="5"/>
  <c r="J140" i="5"/>
  <c r="I140" i="5"/>
  <c r="N139" i="5"/>
  <c r="M139" i="5"/>
  <c r="L139" i="5"/>
  <c r="K139" i="5"/>
  <c r="J139" i="5"/>
  <c r="I139" i="5"/>
  <c r="N138" i="5"/>
  <c r="M138" i="5"/>
  <c r="L138" i="5"/>
  <c r="K138" i="5"/>
  <c r="J138" i="5"/>
  <c r="I138" i="5"/>
  <c r="K109" i="5"/>
  <c r="L109" i="5" s="1"/>
  <c r="M109" i="5" s="1"/>
  <c r="N109" i="5" s="1"/>
  <c r="J109" i="5"/>
  <c r="I109" i="5"/>
  <c r="J108" i="5"/>
  <c r="K108" i="5" s="1"/>
  <c r="L108" i="5" s="1"/>
  <c r="M108" i="5" s="1"/>
  <c r="N108" i="5" s="1"/>
  <c r="I108" i="5"/>
  <c r="N104" i="5"/>
  <c r="M104" i="5"/>
  <c r="L104" i="5"/>
  <c r="K104" i="5"/>
  <c r="J104" i="5"/>
  <c r="N103" i="5"/>
  <c r="M103" i="5"/>
  <c r="L103" i="5"/>
  <c r="K103" i="5"/>
  <c r="J103" i="5"/>
  <c r="I104" i="5"/>
  <c r="I103" i="5"/>
  <c r="I53" i="5" a="1"/>
  <c r="I53" i="5" s="1"/>
  <c r="N32" i="5"/>
  <c r="M32" i="5"/>
  <c r="L32" i="5"/>
  <c r="K32" i="5"/>
  <c r="J32" i="5"/>
  <c r="I32" i="5"/>
  <c r="N14" i="5"/>
  <c r="M14" i="5"/>
  <c r="L14" i="5"/>
  <c r="K14" i="5"/>
  <c r="J14" i="5"/>
  <c r="I14" i="5"/>
  <c r="I55" i="4"/>
  <c r="I54" i="4"/>
  <c r="I53" i="4"/>
  <c r="I52" i="4"/>
  <c r="I51" i="4"/>
  <c r="L37" i="4"/>
  <c r="L36" i="4"/>
  <c r="L35" i="4"/>
  <c r="L24" i="4" a="1"/>
  <c r="L24" i="4" s="1"/>
  <c r="K24" i="4" a="1"/>
  <c r="K24" i="4" s="1"/>
  <c r="J24" i="4" a="1"/>
  <c r="J24" i="4" s="1"/>
  <c r="I24" i="4" a="1"/>
  <c r="I24" i="4" s="1"/>
  <c r="H24" i="4" a="1"/>
  <c r="H24" i="4" s="1"/>
  <c r="G24" i="4" a="1"/>
  <c r="G24" i="4" s="1"/>
  <c r="L17" i="4" a="1"/>
  <c r="L17" i="4" s="1"/>
  <c r="K17" i="4" a="1"/>
  <c r="K17" i="4" s="1"/>
  <c r="J17" i="4" a="1"/>
  <c r="J17" i="4" s="1"/>
  <c r="I17" i="4"/>
  <c r="I17" i="4" a="1"/>
  <c r="H17" i="4" a="1"/>
  <c r="H17" i="4" s="1"/>
  <c r="G17" i="4" a="1"/>
  <c r="G17" i="4" s="1"/>
  <c r="L10" i="4" a="1"/>
  <c r="L10" i="4" s="1"/>
  <c r="K10" i="4" a="1"/>
  <c r="K10" i="4" s="1"/>
  <c r="J10" i="4" a="1"/>
  <c r="J10" i="4" s="1"/>
  <c r="I10" i="4"/>
  <c r="I10" i="4" a="1"/>
  <c r="H10" i="4" a="1"/>
  <c r="H10" i="4" s="1"/>
  <c r="G10" i="4" a="1"/>
  <c r="G10" i="4" s="1"/>
  <c r="I346" i="7"/>
  <c r="L51" i="6"/>
  <c r="F67" i="8"/>
  <c r="E67" i="8" s="1"/>
  <c r="F23" i="8"/>
  <c r="N23" i="8" s="1"/>
  <c r="O60" i="8"/>
  <c r="O59" i="8"/>
  <c r="O58" i="8"/>
  <c r="G85" i="8" s="1"/>
  <c r="O56" i="8"/>
  <c r="C413" i="7" s="1"/>
  <c r="F6" i="8"/>
  <c r="D7" i="6" s="1"/>
  <c r="G17" i="6" s="1" a="1"/>
  <c r="G17" i="6" s="1"/>
  <c r="T58" i="8"/>
  <c r="S58" i="8"/>
  <c r="U58" i="8" s="1"/>
  <c r="E61" i="3" s="1"/>
  <c r="O16" i="8"/>
  <c r="O15" i="8"/>
  <c r="O14" i="8"/>
  <c r="E40" i="8" s="1"/>
  <c r="O12" i="8"/>
  <c r="C366" i="7" s="1"/>
  <c r="T14" i="8"/>
  <c r="S14" i="8"/>
  <c r="D60" i="8"/>
  <c r="D59" i="8"/>
  <c r="D58" i="8"/>
  <c r="N345" i="7"/>
  <c r="AB24" i="8"/>
  <c r="T28" i="8"/>
  <c r="Z25" i="8"/>
  <c r="Y72" i="8"/>
  <c r="U24" i="8"/>
  <c r="W25" i="8"/>
  <c r="V72" i="8"/>
  <c r="S70" i="8"/>
  <c r="W14" i="8"/>
  <c r="W27" i="8"/>
  <c r="W72" i="8"/>
  <c r="V26" i="8"/>
  <c r="AC71" i="8"/>
  <c r="AB72" i="8"/>
  <c r="AB28" i="8"/>
  <c r="Y69" i="8"/>
  <c r="AC27" i="8"/>
  <c r="AB69" i="8"/>
  <c r="AB71" i="8"/>
  <c r="U68" i="8"/>
  <c r="Z71" i="8"/>
  <c r="W70" i="8"/>
  <c r="AA72" i="8"/>
  <c r="V27" i="8"/>
  <c r="S68" i="8"/>
  <c r="T26" i="8"/>
  <c r="AA26" i="8"/>
  <c r="AC70" i="8"/>
  <c r="U72" i="8"/>
  <c r="X59" i="8"/>
  <c r="V71" i="8"/>
  <c r="AA69" i="8"/>
  <c r="S24" i="8"/>
  <c r="AC25" i="8"/>
  <c r="W26" i="8"/>
  <c r="V70" i="8"/>
  <c r="S72" i="8"/>
  <c r="W71" i="8"/>
  <c r="AC72" i="8"/>
  <c r="Z68" i="8"/>
  <c r="T69" i="8"/>
  <c r="AB70" i="8"/>
  <c r="AC28" i="8"/>
  <c r="S71" i="8"/>
  <c r="AA71" i="8"/>
  <c r="AB26" i="8"/>
  <c r="AB27" i="8"/>
  <c r="W60" i="8"/>
  <c r="Y70" i="8"/>
  <c r="X60" i="8"/>
  <c r="W16" i="8"/>
  <c r="AB68" i="8"/>
  <c r="Y25" i="8"/>
  <c r="W15" i="8"/>
  <c r="Z72" i="8"/>
  <c r="AC69" i="8"/>
  <c r="AA24" i="8"/>
  <c r="X58" i="8"/>
  <c r="AC24" i="8"/>
  <c r="Y24" i="8"/>
  <c r="V69" i="8"/>
  <c r="U71" i="8"/>
  <c r="T27" i="8"/>
  <c r="AA27" i="8"/>
  <c r="AA28" i="8"/>
  <c r="V24" i="8"/>
  <c r="Z69" i="8"/>
  <c r="AA70" i="8"/>
  <c r="Y71" i="8"/>
  <c r="U28" i="8"/>
  <c r="T25" i="8"/>
  <c r="W68" i="8"/>
  <c r="T70" i="8"/>
  <c r="Z70" i="8"/>
  <c r="AC68" i="8"/>
  <c r="S28" i="8"/>
  <c r="V25" i="8"/>
  <c r="V68" i="8"/>
  <c r="T68" i="8"/>
  <c r="T72" i="8"/>
  <c r="Y28" i="8"/>
  <c r="AA25" i="8"/>
  <c r="S26" i="8"/>
  <c r="U69" i="8"/>
  <c r="T24" i="8"/>
  <c r="V28" i="8"/>
  <c r="Z26" i="8"/>
  <c r="Z24" i="8"/>
  <c r="X16" i="8"/>
  <c r="AA68" i="8"/>
  <c r="Y27" i="8"/>
  <c r="Z28" i="8"/>
  <c r="Z27" i="8"/>
  <c r="W69" i="8"/>
  <c r="X15" i="8"/>
  <c r="AC26" i="8"/>
  <c r="W28" i="8"/>
  <c r="W24" i="8"/>
  <c r="U27" i="8"/>
  <c r="T71" i="8"/>
  <c r="Y68" i="8"/>
  <c r="U26" i="8"/>
  <c r="S27" i="8"/>
  <c r="S69" i="8"/>
  <c r="S25" i="8"/>
  <c r="X14" i="8"/>
  <c r="W59" i="8"/>
  <c r="AB25" i="8"/>
  <c r="U25" i="8"/>
  <c r="W58" i="8"/>
  <c r="U70" i="8"/>
  <c r="Y26" i="8"/>
  <c r="I381" i="5" l="1"/>
  <c r="I382" i="5" s="1"/>
  <c r="L381" i="5"/>
  <c r="L382" i="5" s="1"/>
  <c r="K350" i="5"/>
  <c r="L350" i="5"/>
  <c r="M350" i="5"/>
  <c r="J350" i="5"/>
  <c r="K339" i="5"/>
  <c r="N350" i="5"/>
  <c r="G40" i="8"/>
  <c r="G16" i="8"/>
  <c r="F40" i="8"/>
  <c r="Q140" i="7"/>
  <c r="Q139" i="7"/>
  <c r="Y59" i="8"/>
  <c r="Y58" i="8"/>
  <c r="Q138" i="7"/>
  <c r="Q53" i="7"/>
  <c r="E23" i="8"/>
  <c r="M23" i="8" s="1"/>
  <c r="G23" i="8"/>
  <c r="H23" i="8" s="1"/>
  <c r="P23" i="8" s="1"/>
  <c r="G15" i="8"/>
  <c r="E41" i="8"/>
  <c r="F36" i="8"/>
  <c r="N36" i="8" s="1"/>
  <c r="H40" i="8"/>
  <c r="E80" i="8"/>
  <c r="M80" i="8" s="1"/>
  <c r="D67" i="8"/>
  <c r="D80" i="8" s="1"/>
  <c r="L80" i="8" s="1"/>
  <c r="G67" i="8"/>
  <c r="G80" i="8" s="1"/>
  <c r="O80" i="8" s="1"/>
  <c r="H85" i="8"/>
  <c r="P72" i="8" s="1"/>
  <c r="P85" i="8" s="1"/>
  <c r="G59" i="8"/>
  <c r="H59" i="8" s="1"/>
  <c r="E82" i="8"/>
  <c r="M69" i="8" s="1"/>
  <c r="M82" i="8" s="1"/>
  <c r="D84" i="8"/>
  <c r="L71" i="8" s="1"/>
  <c r="L84" i="8" s="1"/>
  <c r="H82" i="8"/>
  <c r="P69" i="8" s="1"/>
  <c r="P82" i="8" s="1"/>
  <c r="D81" i="8"/>
  <c r="L68" i="8" s="1"/>
  <c r="L81" i="8" s="1"/>
  <c r="D83" i="8"/>
  <c r="L70" i="8" s="1"/>
  <c r="L83" i="8" s="1"/>
  <c r="E83" i="8"/>
  <c r="M70" i="8" s="1"/>
  <c r="M83" i="8" s="1"/>
  <c r="G58" i="8"/>
  <c r="H58" i="8" s="1"/>
  <c r="G81" i="8"/>
  <c r="O68" i="8" s="1"/>
  <c r="O81" i="8" s="1"/>
  <c r="F83" i="8"/>
  <c r="N70" i="8" s="1"/>
  <c r="N83" i="8" s="1"/>
  <c r="E85" i="8"/>
  <c r="M72" i="8" s="1"/>
  <c r="M85" i="8" s="1"/>
  <c r="F84" i="8"/>
  <c r="N71" i="8" s="1"/>
  <c r="N84" i="8" s="1"/>
  <c r="G84" i="8"/>
  <c r="O71" i="8" s="1"/>
  <c r="O84" i="8" s="1"/>
  <c r="G60" i="8"/>
  <c r="H60" i="8" s="1"/>
  <c r="E81" i="8"/>
  <c r="M68" i="8" s="1"/>
  <c r="M81" i="8" s="1"/>
  <c r="F81" i="8"/>
  <c r="N68" i="8" s="1"/>
  <c r="N81" i="8" s="1"/>
  <c r="H81" i="8"/>
  <c r="P68" i="8" s="1"/>
  <c r="P81" i="8" s="1"/>
  <c r="G83" i="8"/>
  <c r="O70" i="8" s="1"/>
  <c r="O83" i="8" s="1"/>
  <c r="F85" i="8"/>
  <c r="N72" i="8" s="1"/>
  <c r="N85" i="8" s="1"/>
  <c r="H84" i="8"/>
  <c r="P71" i="8" s="1"/>
  <c r="P84" i="8" s="1"/>
  <c r="D85" i="8"/>
  <c r="L72" i="8" s="1"/>
  <c r="L85" i="8" s="1"/>
  <c r="E84" i="8"/>
  <c r="M71" i="8" s="1"/>
  <c r="M84" i="8" s="1"/>
  <c r="D82" i="8"/>
  <c r="L69" i="8" s="1"/>
  <c r="L82" i="8" s="1"/>
  <c r="H83" i="8"/>
  <c r="P70" i="8" s="1"/>
  <c r="P83" i="8" s="1"/>
  <c r="G41" i="8"/>
  <c r="D37" i="8"/>
  <c r="F37" i="8"/>
  <c r="H37" i="8"/>
  <c r="D38" i="8"/>
  <c r="E38" i="8"/>
  <c r="E39" i="8"/>
  <c r="D41" i="8"/>
  <c r="F41" i="8"/>
  <c r="H41" i="8"/>
  <c r="E37" i="8"/>
  <c r="G37" i="8"/>
  <c r="F38" i="8"/>
  <c r="D39" i="8"/>
  <c r="F39" i="8"/>
  <c r="G38" i="8"/>
  <c r="G14" i="8"/>
  <c r="H38" i="8"/>
  <c r="G39" i="8"/>
  <c r="D40" i="8"/>
  <c r="H39" i="8"/>
  <c r="AF69" i="8"/>
  <c r="AH69" i="8"/>
  <c r="AE72" i="8"/>
  <c r="AG68" i="8"/>
  <c r="AG72" i="8"/>
  <c r="AI72" i="8"/>
  <c r="AE71" i="8"/>
  <c r="AF71" i="8"/>
  <c r="AG69" i="8"/>
  <c r="AI69" i="8"/>
  <c r="AE68" i="8"/>
  <c r="AF68" i="8"/>
  <c r="AF72" i="8"/>
  <c r="AH68" i="8"/>
  <c r="AH72" i="8"/>
  <c r="AI68" i="8"/>
  <c r="AG71" i="8"/>
  <c r="AH71" i="8"/>
  <c r="AI71" i="8"/>
  <c r="AE70" i="8"/>
  <c r="AF70" i="8"/>
  <c r="AG70" i="8"/>
  <c r="AH70" i="8"/>
  <c r="AI70" i="8"/>
  <c r="AE69" i="8"/>
  <c r="Y60" i="8"/>
  <c r="AE25" i="8"/>
  <c r="AE28" i="8"/>
  <c r="AE27" i="8"/>
  <c r="AE26" i="8"/>
  <c r="AI28" i="8"/>
  <c r="AH28" i="8"/>
  <c r="AG28" i="8"/>
  <c r="AF28" i="8"/>
  <c r="AI27" i="8"/>
  <c r="AH27" i="8"/>
  <c r="AG27" i="8"/>
  <c r="AF27" i="8"/>
  <c r="AI26" i="8"/>
  <c r="AH26" i="8"/>
  <c r="AG26" i="8"/>
  <c r="AF26" i="8"/>
  <c r="AI25" i="8"/>
  <c r="AH25" i="8"/>
  <c r="AG25" i="8"/>
  <c r="AF25" i="8"/>
  <c r="AF24" i="8"/>
  <c r="AI24" i="8"/>
  <c r="AH24" i="8"/>
  <c r="AG24" i="8"/>
  <c r="AE24" i="8"/>
  <c r="Y15" i="8"/>
  <c r="Y16" i="8"/>
  <c r="Y14" i="8"/>
  <c r="U14" i="8"/>
  <c r="U18" i="8" s="1"/>
  <c r="E17" i="3" s="1"/>
  <c r="G10" i="6" a="1"/>
  <c r="G10" i="6" s="1"/>
  <c r="O72" i="8"/>
  <c r="O85" i="8" s="1"/>
  <c r="N67" i="8"/>
  <c r="F80" i="8"/>
  <c r="N80" i="8" s="1"/>
  <c r="F82" i="8"/>
  <c r="N69" i="8" s="1"/>
  <c r="N82" i="8" s="1"/>
  <c r="G82" i="8"/>
  <c r="O69" i="8" s="1"/>
  <c r="O82" i="8" s="1"/>
  <c r="M67" i="8"/>
  <c r="M447" i="7"/>
  <c r="H447" i="7"/>
  <c r="I414" i="7"/>
  <c r="J414" i="7" s="1"/>
  <c r="K414" i="7" s="1"/>
  <c r="I413" i="7"/>
  <c r="J413" i="7" s="1"/>
  <c r="H413" i="7"/>
  <c r="H414" i="7" s="1"/>
  <c r="M400" i="7"/>
  <c r="H400" i="7"/>
  <c r="I367" i="7"/>
  <c r="J367" i="7" s="1"/>
  <c r="K367" i="7" s="1"/>
  <c r="I366" i="7"/>
  <c r="J366" i="7" s="1"/>
  <c r="H366" i="7"/>
  <c r="H367" i="7" s="1"/>
  <c r="H264" i="7"/>
  <c r="I261" i="7" s="1"/>
  <c r="H230" i="7"/>
  <c r="I227" i="7" s="1"/>
  <c r="D216" i="7"/>
  <c r="D215" i="7"/>
  <c r="D178" i="7"/>
  <c r="I178" i="7" s="1"/>
  <c r="D177" i="7"/>
  <c r="G186" i="7" s="1"/>
  <c r="D172" i="7"/>
  <c r="D171" i="7"/>
  <c r="I172" i="7" s="1"/>
  <c r="C101" i="7"/>
  <c r="G329" i="7" s="1"/>
  <c r="C100" i="7"/>
  <c r="I116" i="7" s="1"/>
  <c r="C9" i="7"/>
  <c r="L17" i="7" s="1"/>
  <c r="C8" i="7"/>
  <c r="I8" i="7" s="1"/>
  <c r="M447" i="5"/>
  <c r="H447" i="5"/>
  <c r="I414" i="5"/>
  <c r="I413" i="5"/>
  <c r="H413" i="5"/>
  <c r="H414" i="5" s="1"/>
  <c r="M400" i="5"/>
  <c r="H400" i="5"/>
  <c r="H436" i="5"/>
  <c r="H429" i="5"/>
  <c r="H422" i="5"/>
  <c r="N140" i="7"/>
  <c r="M140" i="7"/>
  <c r="L140" i="7"/>
  <c r="K140" i="7"/>
  <c r="J140" i="7"/>
  <c r="I140" i="7"/>
  <c r="N139" i="7"/>
  <c r="M139" i="7"/>
  <c r="L139" i="7"/>
  <c r="K139" i="7"/>
  <c r="J139" i="7"/>
  <c r="I139" i="7"/>
  <c r="N138" i="7"/>
  <c r="M138" i="7"/>
  <c r="L138" i="7"/>
  <c r="K138" i="7"/>
  <c r="J138" i="7"/>
  <c r="I138" i="7"/>
  <c r="N53" i="7"/>
  <c r="N98" i="7" s="1"/>
  <c r="M53" i="7"/>
  <c r="M98" i="7" s="1"/>
  <c r="L53" i="7"/>
  <c r="L98" i="7" s="1"/>
  <c r="K53" i="7"/>
  <c r="K98" i="7" s="1"/>
  <c r="J53" i="7"/>
  <c r="J98" i="7" s="1"/>
  <c r="I53" i="7"/>
  <c r="I77" i="7" s="1"/>
  <c r="I51" i="6"/>
  <c r="W51" i="6"/>
  <c r="H436" i="7"/>
  <c r="H429" i="7"/>
  <c r="H422" i="7"/>
  <c r="H389" i="7"/>
  <c r="H382" i="7"/>
  <c r="H375" i="7"/>
  <c r="N323" i="7"/>
  <c r="I186" i="7"/>
  <c r="I185" i="7"/>
  <c r="J186" i="7" s="1"/>
  <c r="I184" i="7"/>
  <c r="J185" i="7" s="1"/>
  <c r="K186" i="7" s="1"/>
  <c r="I183" i="7"/>
  <c r="J184" i="7" s="1"/>
  <c r="K185" i="7" s="1"/>
  <c r="L186" i="7" s="1"/>
  <c r="J177" i="7"/>
  <c r="K177" i="7" s="1"/>
  <c r="L177" i="7" s="1"/>
  <c r="M177" i="7" s="1"/>
  <c r="J171" i="7"/>
  <c r="K171" i="7" s="1"/>
  <c r="L171" i="7" s="1"/>
  <c r="M171" i="7" s="1"/>
  <c r="H151" i="7"/>
  <c r="G151" i="7"/>
  <c r="F151" i="7"/>
  <c r="H150" i="7"/>
  <c r="G150" i="7"/>
  <c r="F150" i="7"/>
  <c r="H134" i="7"/>
  <c r="G134" i="7"/>
  <c r="F134" i="7"/>
  <c r="H133" i="7"/>
  <c r="G133" i="7"/>
  <c r="F133" i="7"/>
  <c r="H132" i="7"/>
  <c r="G132" i="7"/>
  <c r="F132" i="7"/>
  <c r="H121" i="7"/>
  <c r="G121" i="7"/>
  <c r="F121" i="7"/>
  <c r="H105" i="7"/>
  <c r="H110" i="7" s="1"/>
  <c r="H114" i="7" s="1"/>
  <c r="H117" i="7" s="1"/>
  <c r="G105" i="7"/>
  <c r="G110" i="7" s="1"/>
  <c r="G114" i="7" s="1"/>
  <c r="G117" i="7" s="1"/>
  <c r="F105" i="7"/>
  <c r="F110" i="7" s="1"/>
  <c r="F114" i="7" s="1"/>
  <c r="F117" i="7" s="1"/>
  <c r="H98" i="7"/>
  <c r="G98" i="7"/>
  <c r="F98" i="7"/>
  <c r="N95" i="7"/>
  <c r="H78" i="7"/>
  <c r="H88" i="7" s="1"/>
  <c r="G78" i="7"/>
  <c r="G88" i="7" s="1"/>
  <c r="F78" i="7"/>
  <c r="F88" i="7" s="1"/>
  <c r="H60" i="7"/>
  <c r="H83" i="7" s="1"/>
  <c r="G60" i="7"/>
  <c r="G83" i="7" s="1"/>
  <c r="F60" i="7"/>
  <c r="F83" i="7" s="1"/>
  <c r="N49" i="7"/>
  <c r="H39" i="7"/>
  <c r="G39" i="7"/>
  <c r="F39" i="7"/>
  <c r="H32" i="7"/>
  <c r="G32" i="7"/>
  <c r="H26" i="7"/>
  <c r="G26" i="7"/>
  <c r="F26" i="7"/>
  <c r="H25" i="7"/>
  <c r="G25" i="7"/>
  <c r="F25" i="7"/>
  <c r="H18" i="7"/>
  <c r="H43" i="7" s="1"/>
  <c r="G18" i="7"/>
  <c r="G43" i="7" s="1"/>
  <c r="F18" i="7"/>
  <c r="F43" i="7" s="1"/>
  <c r="H14" i="7"/>
  <c r="G14" i="7"/>
  <c r="B13" i="6"/>
  <c r="B14" i="6"/>
  <c r="B12" i="6"/>
  <c r="W80" i="6"/>
  <c r="S81" i="6"/>
  <c r="S80" i="6"/>
  <c r="L80" i="6"/>
  <c r="X80" i="6" s="1"/>
  <c r="K81" i="6"/>
  <c r="T81" i="6" s="1"/>
  <c r="K80" i="6"/>
  <c r="T80" i="6" s="1"/>
  <c r="F74" i="6"/>
  <c r="F75" i="6" s="1"/>
  <c r="F77" i="6"/>
  <c r="W74" i="6"/>
  <c r="L74" i="6"/>
  <c r="X74" i="6" s="1"/>
  <c r="L55" i="6"/>
  <c r="L54" i="6"/>
  <c r="L53" i="6"/>
  <c r="L52" i="6"/>
  <c r="J51" i="6"/>
  <c r="S51" i="6"/>
  <c r="O36" i="6"/>
  <c r="O37" i="6"/>
  <c r="O35" i="6"/>
  <c r="Y74" i="6" l="1"/>
  <c r="N74" i="4" s="1"/>
  <c r="Y80" i="6"/>
  <c r="N80" i="4" s="1"/>
  <c r="U81" i="6"/>
  <c r="J81" i="4" s="1"/>
  <c r="J346" i="7"/>
  <c r="Y62" i="8"/>
  <c r="Q414" i="7"/>
  <c r="U422" i="7"/>
  <c r="F422" i="7"/>
  <c r="Q413" i="7"/>
  <c r="J221" i="5"/>
  <c r="J228" i="5" s="1"/>
  <c r="L221" i="5"/>
  <c r="L228" i="5" s="1"/>
  <c r="K221" i="5"/>
  <c r="K228" i="5" s="1"/>
  <c r="M221" i="5"/>
  <c r="M228" i="5" s="1"/>
  <c r="M213" i="7"/>
  <c r="J213" i="7"/>
  <c r="K346" i="7"/>
  <c r="L32" i="7"/>
  <c r="M32" i="7"/>
  <c r="R167" i="7"/>
  <c r="N32" i="7"/>
  <c r="R32" i="7"/>
  <c r="M14" i="7"/>
  <c r="R14" i="7"/>
  <c r="J14" i="7"/>
  <c r="N113" i="7"/>
  <c r="L213" i="7"/>
  <c r="K213" i="7"/>
  <c r="O67" i="8"/>
  <c r="E36" i="8"/>
  <c r="M36" i="8" s="1"/>
  <c r="D23" i="8"/>
  <c r="D36" i="8" s="1"/>
  <c r="L36" i="8" s="1"/>
  <c r="H67" i="8"/>
  <c r="I432" i="7"/>
  <c r="J432" i="7" s="1"/>
  <c r="K432" i="7" s="1"/>
  <c r="F123" i="7"/>
  <c r="G152" i="7"/>
  <c r="I98" i="7"/>
  <c r="I76" i="7"/>
  <c r="J76" i="7" s="1"/>
  <c r="K76" i="7" s="1"/>
  <c r="L76" i="7" s="1"/>
  <c r="L67" i="8"/>
  <c r="O23" i="8"/>
  <c r="H36" i="8"/>
  <c r="P36" i="8" s="1"/>
  <c r="G36" i="8"/>
  <c r="O36" i="8" s="1"/>
  <c r="G123" i="7"/>
  <c r="H123" i="7"/>
  <c r="N17" i="7"/>
  <c r="M17" i="7"/>
  <c r="I17" i="7"/>
  <c r="J17" i="7"/>
  <c r="R53" i="7"/>
  <c r="S53" i="7" s="1"/>
  <c r="K17" i="7"/>
  <c r="T40" i="8"/>
  <c r="J8" i="7"/>
  <c r="J132" i="7" s="1"/>
  <c r="K8" i="7"/>
  <c r="K132" i="7" s="1"/>
  <c r="L8" i="7"/>
  <c r="L132" i="7" s="1"/>
  <c r="M8" i="7"/>
  <c r="M132" i="7" s="1"/>
  <c r="I425" i="5"/>
  <c r="I428" i="5" s="1"/>
  <c r="N8" i="7"/>
  <c r="H27" i="7"/>
  <c r="H38" i="7" s="1"/>
  <c r="H40" i="7" s="1"/>
  <c r="H152" i="7"/>
  <c r="AB14" i="8"/>
  <c r="R138" i="7"/>
  <c r="S138" i="7" s="1"/>
  <c r="J116" i="7"/>
  <c r="I57" i="7"/>
  <c r="J57" i="7" s="1"/>
  <c r="K57" i="7" s="1"/>
  <c r="L57" i="7" s="1"/>
  <c r="K116" i="7"/>
  <c r="I425" i="7"/>
  <c r="I428" i="7" s="1"/>
  <c r="H306" i="7"/>
  <c r="I303" i="7" s="1"/>
  <c r="R139" i="7"/>
  <c r="S139" i="7" s="1"/>
  <c r="P139" i="5" s="1"/>
  <c r="I58" i="7"/>
  <c r="R140" i="7"/>
  <c r="S140" i="7" s="1"/>
  <c r="P140" i="5" s="1"/>
  <c r="I59" i="7"/>
  <c r="J59" i="7" s="1"/>
  <c r="K59" i="7" s="1"/>
  <c r="L59" i="7" s="1"/>
  <c r="M59" i="7" s="1"/>
  <c r="N59" i="7" s="1"/>
  <c r="X51" i="6"/>
  <c r="Y51" i="6" s="1"/>
  <c r="L56" i="4" s="1"/>
  <c r="AE74" i="8"/>
  <c r="H73" i="3" s="1"/>
  <c r="AE30" i="8"/>
  <c r="H29" i="3" s="1"/>
  <c r="Y18" i="8"/>
  <c r="K14" i="7"/>
  <c r="L14" i="7"/>
  <c r="O17" i="6"/>
  <c r="I33" i="5"/>
  <c r="N14" i="7"/>
  <c r="I32" i="7"/>
  <c r="J32" i="7"/>
  <c r="K32" i="7"/>
  <c r="O24" i="6"/>
  <c r="I213" i="7"/>
  <c r="I337" i="7"/>
  <c r="J337" i="7"/>
  <c r="K337" i="7"/>
  <c r="L337" i="7"/>
  <c r="O10" i="6"/>
  <c r="M337" i="7"/>
  <c r="N337" i="7"/>
  <c r="M167" i="7"/>
  <c r="I14" i="7"/>
  <c r="I167" i="7"/>
  <c r="J167" i="7"/>
  <c r="K167" i="7"/>
  <c r="L167" i="7"/>
  <c r="H80" i="8"/>
  <c r="P80" i="8" s="1"/>
  <c r="P67" i="8"/>
  <c r="L414" i="7"/>
  <c r="M414" i="7" s="1"/>
  <c r="N414" i="7" s="1"/>
  <c r="L367" i="7"/>
  <c r="M367" i="7" s="1"/>
  <c r="N367" i="7" s="1"/>
  <c r="R367" i="7" s="1"/>
  <c r="I432" i="5"/>
  <c r="J432" i="5" s="1"/>
  <c r="K432" i="5" s="1"/>
  <c r="L432" i="5" s="1"/>
  <c r="M432" i="5" s="1"/>
  <c r="N432" i="5" s="1"/>
  <c r="O51" i="6"/>
  <c r="F139" i="7"/>
  <c r="G27" i="7"/>
  <c r="G38" i="7" s="1"/>
  <c r="G52" i="7" s="1"/>
  <c r="F138" i="7"/>
  <c r="G140" i="7"/>
  <c r="G139" i="7"/>
  <c r="H139" i="7"/>
  <c r="H138" i="7"/>
  <c r="H140" i="7"/>
  <c r="G138" i="7"/>
  <c r="J425" i="7"/>
  <c r="J428" i="7" s="1"/>
  <c r="K413" i="7"/>
  <c r="I198" i="7"/>
  <c r="H223" i="7"/>
  <c r="I220" i="7" s="1"/>
  <c r="J172" i="7"/>
  <c r="K172" i="7" s="1"/>
  <c r="J77" i="7"/>
  <c r="G184" i="7"/>
  <c r="G183" i="7"/>
  <c r="G182" i="7"/>
  <c r="G185" i="7"/>
  <c r="I182" i="7"/>
  <c r="J183" i="7" s="1"/>
  <c r="K184" i="7" s="1"/>
  <c r="L185" i="7" s="1"/>
  <c r="M186" i="7" s="1"/>
  <c r="J178" i="7"/>
  <c r="F27" i="7"/>
  <c r="F38" i="7" s="1"/>
  <c r="I132" i="7"/>
  <c r="I25" i="7"/>
  <c r="N116" i="7"/>
  <c r="M116" i="7"/>
  <c r="L116" i="7"/>
  <c r="F140" i="7"/>
  <c r="D287" i="7"/>
  <c r="I75" i="7"/>
  <c r="F152" i="7"/>
  <c r="D245" i="7"/>
  <c r="U80" i="6"/>
  <c r="J80" i="4" s="1"/>
  <c r="F99" i="6"/>
  <c r="F98" i="6"/>
  <c r="F97" i="6"/>
  <c r="G5" i="6" s="1"/>
  <c r="D75" i="6"/>
  <c r="K58" i="6"/>
  <c r="H58" i="6"/>
  <c r="K57" i="6"/>
  <c r="H57" i="6"/>
  <c r="J55" i="6"/>
  <c r="I55" i="6"/>
  <c r="J54" i="6"/>
  <c r="I54" i="6"/>
  <c r="J53" i="6"/>
  <c r="I53" i="6"/>
  <c r="J52" i="6"/>
  <c r="I52" i="6"/>
  <c r="L37" i="6"/>
  <c r="P37" i="6" s="1"/>
  <c r="Q37" i="6" s="1"/>
  <c r="N37" i="4" s="1"/>
  <c r="L36" i="6"/>
  <c r="P36" i="6" s="1"/>
  <c r="Q36" i="6" s="1"/>
  <c r="N36" i="4" s="1"/>
  <c r="L35" i="6"/>
  <c r="P35" i="6" s="1"/>
  <c r="Q35" i="6" s="1"/>
  <c r="N35" i="4" s="1"/>
  <c r="B21" i="6"/>
  <c r="B20" i="6"/>
  <c r="B19" i="6"/>
  <c r="C8" i="5"/>
  <c r="M8" i="5" s="1"/>
  <c r="C9" i="5"/>
  <c r="G14" i="5"/>
  <c r="H14" i="5"/>
  <c r="F18" i="5"/>
  <c r="F43" i="5" s="1"/>
  <c r="G18" i="5"/>
  <c r="G43" i="5" s="1"/>
  <c r="H18" i="5"/>
  <c r="H43" i="5" s="1"/>
  <c r="F25" i="5"/>
  <c r="G25" i="5"/>
  <c r="H25" i="5"/>
  <c r="F26" i="5"/>
  <c r="G26" i="5"/>
  <c r="H26" i="5"/>
  <c r="G32" i="5"/>
  <c r="H32" i="5"/>
  <c r="F39" i="5"/>
  <c r="G39" i="5"/>
  <c r="H39" i="5"/>
  <c r="N49" i="5"/>
  <c r="I57" i="5"/>
  <c r="J57" i="5" s="1"/>
  <c r="K57" i="5" s="1"/>
  <c r="L57" i="5" s="1"/>
  <c r="M57" i="5" s="1"/>
  <c r="N57" i="5" s="1"/>
  <c r="I58" i="5"/>
  <c r="J58" i="5" s="1"/>
  <c r="K58" i="5" s="1"/>
  <c r="L58" i="5" s="1"/>
  <c r="M58" i="5" s="1"/>
  <c r="I59" i="5"/>
  <c r="J59" i="5" s="1"/>
  <c r="F60" i="5"/>
  <c r="F83" i="5" s="1"/>
  <c r="G60" i="5"/>
  <c r="G83" i="5" s="1"/>
  <c r="H60" i="5"/>
  <c r="H83" i="5" s="1"/>
  <c r="I75" i="5"/>
  <c r="J75" i="5" s="1"/>
  <c r="K75" i="5" s="1"/>
  <c r="L75" i="5" s="1"/>
  <c r="M75" i="5" s="1"/>
  <c r="I76" i="5"/>
  <c r="J76" i="5" s="1"/>
  <c r="K76" i="5" s="1"/>
  <c r="I77" i="5"/>
  <c r="J77" i="5" s="1"/>
  <c r="K77" i="5" s="1"/>
  <c r="L77" i="5" s="1"/>
  <c r="M77" i="5" s="1"/>
  <c r="N77" i="5" s="1"/>
  <c r="F78" i="5"/>
  <c r="F88" i="5" s="1"/>
  <c r="G78" i="5"/>
  <c r="G88" i="5" s="1"/>
  <c r="H78" i="5"/>
  <c r="H88" i="5" s="1"/>
  <c r="N95" i="5"/>
  <c r="F98" i="5"/>
  <c r="G98" i="5"/>
  <c r="H98" i="5"/>
  <c r="I98" i="5"/>
  <c r="J98" i="5"/>
  <c r="K98" i="5"/>
  <c r="L98" i="5"/>
  <c r="M98" i="5"/>
  <c r="N98" i="5"/>
  <c r="C100" i="5"/>
  <c r="C101" i="5"/>
  <c r="D287" i="5" s="1"/>
  <c r="F105" i="5"/>
  <c r="F110" i="5" s="1"/>
  <c r="F114" i="5" s="1"/>
  <c r="F117" i="5" s="1"/>
  <c r="G105" i="5"/>
  <c r="G110" i="5" s="1"/>
  <c r="G114" i="5" s="1"/>
  <c r="G117" i="5" s="1"/>
  <c r="H105" i="5"/>
  <c r="H110" i="5" s="1"/>
  <c r="H114" i="5" s="1"/>
  <c r="H117" i="5" s="1"/>
  <c r="F121" i="5"/>
  <c r="G121" i="5"/>
  <c r="H121" i="5"/>
  <c r="F132" i="5"/>
  <c r="G132" i="5"/>
  <c r="H132" i="5"/>
  <c r="F133" i="5"/>
  <c r="G133" i="5"/>
  <c r="H133" i="5"/>
  <c r="F134" i="5"/>
  <c r="G134" i="5"/>
  <c r="H134" i="5"/>
  <c r="F150" i="5"/>
  <c r="G150" i="5"/>
  <c r="H150" i="5"/>
  <c r="F151" i="5"/>
  <c r="G151" i="5"/>
  <c r="H151" i="5"/>
  <c r="D171" i="5"/>
  <c r="J171" i="5"/>
  <c r="K171" i="5" s="1"/>
  <c r="L171" i="5" s="1"/>
  <c r="M171" i="5" s="1"/>
  <c r="D172" i="5"/>
  <c r="D177" i="5"/>
  <c r="G185" i="5" s="1"/>
  <c r="J177" i="5"/>
  <c r="K177" i="5" s="1"/>
  <c r="L177" i="5" s="1"/>
  <c r="M177" i="5" s="1"/>
  <c r="D178" i="5"/>
  <c r="I178" i="5" s="1"/>
  <c r="I183" i="5"/>
  <c r="J184" i="5" s="1"/>
  <c r="K185" i="5" s="1"/>
  <c r="L186" i="5" s="1"/>
  <c r="I184" i="5"/>
  <c r="J185" i="5" s="1"/>
  <c r="K186" i="5" s="1"/>
  <c r="I185" i="5"/>
  <c r="J186" i="5" s="1"/>
  <c r="I186" i="5"/>
  <c r="D215" i="5"/>
  <c r="D216" i="5"/>
  <c r="H230" i="5"/>
  <c r="I227" i="5" s="1"/>
  <c r="H264" i="5"/>
  <c r="H306" i="5" s="1"/>
  <c r="I303" i="5" s="1"/>
  <c r="N323" i="5"/>
  <c r="H366" i="5"/>
  <c r="H367" i="5" s="1"/>
  <c r="I366" i="5"/>
  <c r="I367" i="5"/>
  <c r="H375" i="5"/>
  <c r="H382" i="5"/>
  <c r="H389" i="5"/>
  <c r="B12" i="4"/>
  <c r="B26" i="4" s="1"/>
  <c r="B13" i="4"/>
  <c r="B20" i="4" s="1"/>
  <c r="B14" i="4"/>
  <c r="B21" i="4" s="1"/>
  <c r="H57" i="4"/>
  <c r="I57" i="4"/>
  <c r="J57" i="4"/>
  <c r="K57" i="4"/>
  <c r="L57" i="4"/>
  <c r="H58" i="4"/>
  <c r="I58" i="4"/>
  <c r="J58" i="4"/>
  <c r="K58" i="4"/>
  <c r="L58" i="4"/>
  <c r="D75" i="4"/>
  <c r="F97" i="4"/>
  <c r="I5" i="7" s="1"/>
  <c r="I49" i="7" s="1"/>
  <c r="F98" i="4"/>
  <c r="M15" i="2" s="1"/>
  <c r="F99" i="4"/>
  <c r="M16" i="2" s="1"/>
  <c r="O12" i="3"/>
  <c r="C366" i="5" s="1"/>
  <c r="O14" i="3"/>
  <c r="O15" i="3"/>
  <c r="O16" i="3"/>
  <c r="F23" i="3"/>
  <c r="E23" i="3" s="1"/>
  <c r="O56" i="3"/>
  <c r="C413" i="5" s="1"/>
  <c r="D58" i="3"/>
  <c r="O58" i="3"/>
  <c r="E81" i="3" s="1"/>
  <c r="D59" i="3"/>
  <c r="O59" i="3"/>
  <c r="D60" i="3"/>
  <c r="O60" i="3"/>
  <c r="F67" i="3"/>
  <c r="N67" i="3" s="1"/>
  <c r="L23" i="8" l="1"/>
  <c r="P53" i="5"/>
  <c r="S89" i="7"/>
  <c r="D89" i="5" s="1"/>
  <c r="M25" i="7"/>
  <c r="I378" i="7"/>
  <c r="J378" i="7"/>
  <c r="O75" i="6"/>
  <c r="O74" i="6"/>
  <c r="Q74" i="6" s="1"/>
  <c r="G74" i="4" s="1"/>
  <c r="F64" i="6"/>
  <c r="P64" i="6" s="1"/>
  <c r="I385" i="7"/>
  <c r="K348" i="7"/>
  <c r="L346" i="7"/>
  <c r="N348" i="7"/>
  <c r="M348" i="7"/>
  <c r="P138" i="5"/>
  <c r="S155" i="7"/>
  <c r="F155" i="5" s="1"/>
  <c r="R213" i="7"/>
  <c r="Q167" i="7"/>
  <c r="S167" i="7" s="1"/>
  <c r="L348" i="7"/>
  <c r="H27" i="5"/>
  <c r="H38" i="5" s="1"/>
  <c r="H52" i="5" s="1"/>
  <c r="H62" i="5" s="1"/>
  <c r="H140" i="5"/>
  <c r="N23" i="3"/>
  <c r="G23" i="3"/>
  <c r="H23" i="3" s="1"/>
  <c r="H36" i="3" s="1"/>
  <c r="P36" i="3" s="1"/>
  <c r="G155" i="7"/>
  <c r="H155" i="7"/>
  <c r="H138" i="5"/>
  <c r="B19" i="4"/>
  <c r="F139" i="5"/>
  <c r="G27" i="5"/>
  <c r="G38" i="5" s="1"/>
  <c r="G52" i="5" s="1"/>
  <c r="G62" i="5" s="1"/>
  <c r="F27" i="5"/>
  <c r="F38" i="5" s="1"/>
  <c r="G60" i="3"/>
  <c r="H60" i="3" s="1"/>
  <c r="G184" i="5"/>
  <c r="G40" i="7"/>
  <c r="L25" i="7"/>
  <c r="F138" i="5"/>
  <c r="G40" i="5"/>
  <c r="T51" i="6"/>
  <c r="U51" i="6" s="1"/>
  <c r="J56" i="4" s="1"/>
  <c r="P51" i="6"/>
  <c r="Q51" i="6" s="1"/>
  <c r="I56" i="4" s="1"/>
  <c r="J178" i="5"/>
  <c r="I182" i="5"/>
  <c r="J183" i="5" s="1"/>
  <c r="K184" i="5" s="1"/>
  <c r="L185" i="5" s="1"/>
  <c r="M186" i="5" s="1"/>
  <c r="K25" i="7"/>
  <c r="J25" i="7"/>
  <c r="G59" i="3"/>
  <c r="H59" i="3" s="1"/>
  <c r="J8" i="5"/>
  <c r="J25" i="5" s="1"/>
  <c r="I8" i="5"/>
  <c r="I25" i="5" s="1"/>
  <c r="R116" i="7"/>
  <c r="G67" i="3"/>
  <c r="G80" i="3" s="1"/>
  <c r="O80" i="3" s="1"/>
  <c r="B28" i="4"/>
  <c r="H52" i="7"/>
  <c r="H72" i="7" s="1"/>
  <c r="F152" i="5"/>
  <c r="F123" i="5"/>
  <c r="N132" i="7"/>
  <c r="N25" i="7"/>
  <c r="L432" i="7"/>
  <c r="M432" i="7" s="1"/>
  <c r="N432" i="7" s="1"/>
  <c r="N8" i="5"/>
  <c r="N25" i="5" s="1"/>
  <c r="L8" i="5"/>
  <c r="L25" i="5" s="1"/>
  <c r="K8" i="5"/>
  <c r="K132" i="5" s="1"/>
  <c r="I60" i="7"/>
  <c r="I83" i="7" s="1"/>
  <c r="J58" i="7"/>
  <c r="J60" i="7" s="1"/>
  <c r="J83" i="7" s="1"/>
  <c r="H123" i="5"/>
  <c r="G123" i="5"/>
  <c r="H152" i="5"/>
  <c r="G152" i="5"/>
  <c r="E73" i="6"/>
  <c r="E74" i="6"/>
  <c r="P74" i="6" s="1"/>
  <c r="J58" i="6"/>
  <c r="G5" i="4"/>
  <c r="H85" i="3"/>
  <c r="P72" i="3" s="1"/>
  <c r="P85" i="3" s="1"/>
  <c r="G85" i="3"/>
  <c r="O72" i="3" s="1"/>
  <c r="O85" i="3" s="1"/>
  <c r="H5" i="7"/>
  <c r="I164" i="7"/>
  <c r="F182" i="7" s="1"/>
  <c r="I5" i="5"/>
  <c r="I164" i="5" s="1"/>
  <c r="R414" i="7"/>
  <c r="S414" i="7" s="1"/>
  <c r="P414" i="5" s="1"/>
  <c r="I323" i="7"/>
  <c r="I239" i="7"/>
  <c r="I95" i="7"/>
  <c r="H83" i="3"/>
  <c r="P70" i="3" s="1"/>
  <c r="P83" i="3" s="1"/>
  <c r="G83" i="3"/>
  <c r="O70" i="3" s="1"/>
  <c r="O83" i="3" s="1"/>
  <c r="J5" i="7"/>
  <c r="J281" i="7" s="1"/>
  <c r="D83" i="3"/>
  <c r="L70" i="3" s="1"/>
  <c r="L83" i="3" s="1"/>
  <c r="D245" i="5"/>
  <c r="I129" i="7"/>
  <c r="F85" i="3"/>
  <c r="N72" i="3" s="1"/>
  <c r="N85" i="3" s="1"/>
  <c r="G186" i="5"/>
  <c r="I210" i="7"/>
  <c r="I281" i="7"/>
  <c r="G329" i="5"/>
  <c r="B6" i="5" a="1"/>
  <c r="B6" i="5" s="1"/>
  <c r="B96" i="5" s="1"/>
  <c r="B6" i="7" a="1"/>
  <c r="B6" i="7" s="1"/>
  <c r="B165" i="7" s="1"/>
  <c r="I109" i="7"/>
  <c r="I108" i="7"/>
  <c r="F61" i="3"/>
  <c r="F17" i="3"/>
  <c r="J24" i="6" a="1"/>
  <c r="J24" i="6" s="1"/>
  <c r="Q337" i="7"/>
  <c r="I348" i="7"/>
  <c r="J348" i="7"/>
  <c r="R337" i="7"/>
  <c r="J425" i="5"/>
  <c r="I78" i="5"/>
  <c r="I88" i="5" s="1"/>
  <c r="I33" i="7"/>
  <c r="L221" i="7"/>
  <c r="L228" i="7" s="1"/>
  <c r="M221" i="7"/>
  <c r="M228" i="7" s="1"/>
  <c r="J221" i="7"/>
  <c r="J228" i="7" s="1"/>
  <c r="I221" i="7"/>
  <c r="I228" i="7" s="1"/>
  <c r="I16" i="7"/>
  <c r="K221" i="7"/>
  <c r="K228" i="7" s="1"/>
  <c r="K198" i="7"/>
  <c r="L172" i="7"/>
  <c r="L198" i="7" s="1"/>
  <c r="J198" i="7"/>
  <c r="G64" i="7"/>
  <c r="G70" i="7"/>
  <c r="G63" i="7"/>
  <c r="G62" i="7"/>
  <c r="G72" i="7"/>
  <c r="G71" i="7"/>
  <c r="K77" i="7"/>
  <c r="K425" i="7"/>
  <c r="K428" i="7" s="1"/>
  <c r="L413" i="7"/>
  <c r="J75" i="7"/>
  <c r="I78" i="7"/>
  <c r="I88" i="7" s="1"/>
  <c r="K366" i="7"/>
  <c r="K178" i="7"/>
  <c r="J182" i="7"/>
  <c r="K183" i="7" s="1"/>
  <c r="L184" i="7" s="1"/>
  <c r="M185" i="7" s="1"/>
  <c r="M76" i="7"/>
  <c r="M57" i="7"/>
  <c r="F52" i="7"/>
  <c r="F40" i="7"/>
  <c r="G24" i="6" a="1"/>
  <c r="G24" i="6" s="1"/>
  <c r="F80" i="3"/>
  <c r="N80" i="3" s="1"/>
  <c r="M68" i="3"/>
  <c r="M81" i="3" s="1"/>
  <c r="E67" i="3"/>
  <c r="F36" i="3"/>
  <c r="N36" i="3" s="1"/>
  <c r="I58" i="6"/>
  <c r="J57" i="6"/>
  <c r="K24" i="6" a="1"/>
  <c r="K24" i="6" s="1"/>
  <c r="L10" i="6" a="1"/>
  <c r="L10" i="6" s="1"/>
  <c r="H24" i="6" a="1"/>
  <c r="H24" i="6" s="1"/>
  <c r="H17" i="6" a="1"/>
  <c r="H17" i="6" s="1"/>
  <c r="L58" i="6"/>
  <c r="H5" i="6"/>
  <c r="I5" i="6" s="1"/>
  <c r="J5" i="6" s="1"/>
  <c r="K5" i="6" s="1"/>
  <c r="H93" i="6"/>
  <c r="L24" i="6" a="1"/>
  <c r="L24" i="6" s="1"/>
  <c r="L57" i="6"/>
  <c r="I17" i="6" a="1"/>
  <c r="I17" i="6" s="1"/>
  <c r="J17" i="6" a="1"/>
  <c r="J17" i="6" s="1"/>
  <c r="H10" i="6" a="1"/>
  <c r="H10" i="6" s="1"/>
  <c r="B26" i="6"/>
  <c r="K17" i="6" a="1"/>
  <c r="K17" i="6" s="1"/>
  <c r="B27" i="6"/>
  <c r="I10" i="6" a="1"/>
  <c r="I10" i="6" s="1"/>
  <c r="B28" i="6"/>
  <c r="I57" i="6"/>
  <c r="L17" i="6" a="1"/>
  <c r="L17" i="6" s="1"/>
  <c r="J10" i="6" a="1"/>
  <c r="J10" i="6" s="1"/>
  <c r="K10" i="6" a="1"/>
  <c r="K10" i="6" s="1"/>
  <c r="I24" i="6" a="1"/>
  <c r="I24" i="6" s="1"/>
  <c r="E36" i="3"/>
  <c r="M36" i="3" s="1"/>
  <c r="D23" i="3"/>
  <c r="M23" i="3"/>
  <c r="I39" i="5"/>
  <c r="N75" i="5"/>
  <c r="K59" i="5"/>
  <c r="K60" i="5" s="1"/>
  <c r="K83" i="5" s="1"/>
  <c r="G138" i="5"/>
  <c r="G139" i="5"/>
  <c r="K78" i="5"/>
  <c r="K88" i="5" s="1"/>
  <c r="L76" i="5"/>
  <c r="E85" i="3"/>
  <c r="M72" i="3" s="1"/>
  <c r="M85" i="3" s="1"/>
  <c r="D85" i="3"/>
  <c r="L72" i="3" s="1"/>
  <c r="L85" i="3" s="1"/>
  <c r="E82" i="3"/>
  <c r="M69" i="3" s="1"/>
  <c r="M82" i="3" s="1"/>
  <c r="J17" i="5"/>
  <c r="K17" i="5"/>
  <c r="L17" i="5"/>
  <c r="I17" i="5"/>
  <c r="M17" i="5"/>
  <c r="N17" i="5"/>
  <c r="M132" i="5"/>
  <c r="M25" i="5"/>
  <c r="N58" i="5"/>
  <c r="H81" i="3"/>
  <c r="P68" i="3" s="1"/>
  <c r="P81" i="3" s="1"/>
  <c r="I261" i="5"/>
  <c r="H223" i="5"/>
  <c r="I220" i="5" s="1"/>
  <c r="G81" i="3"/>
  <c r="O68" i="3" s="1"/>
  <c r="O81" i="3" s="1"/>
  <c r="I60" i="5"/>
  <c r="I83" i="5" s="1"/>
  <c r="E83" i="3"/>
  <c r="M70" i="3" s="1"/>
  <c r="M83" i="3" s="1"/>
  <c r="F83" i="3"/>
  <c r="N70" i="3" s="1"/>
  <c r="N83" i="3" s="1"/>
  <c r="D82" i="3"/>
  <c r="L69" i="3" s="1"/>
  <c r="L82" i="3" s="1"/>
  <c r="F82" i="3"/>
  <c r="N69" i="3" s="1"/>
  <c r="N82" i="3" s="1"/>
  <c r="D84" i="3"/>
  <c r="L71" i="3" s="1"/>
  <c r="L84" i="3" s="1"/>
  <c r="G82" i="3"/>
  <c r="O69" i="3" s="1"/>
  <c r="O82" i="3" s="1"/>
  <c r="E84" i="3"/>
  <c r="M71" i="3" s="1"/>
  <c r="M84" i="3" s="1"/>
  <c r="G58" i="3"/>
  <c r="H58" i="3" s="1"/>
  <c r="H84" i="3"/>
  <c r="P71" i="3" s="1"/>
  <c r="P84" i="3" s="1"/>
  <c r="H82" i="3"/>
  <c r="P69" i="3" s="1"/>
  <c r="P82" i="3" s="1"/>
  <c r="F84" i="3"/>
  <c r="N71" i="3" s="1"/>
  <c r="N84" i="3" s="1"/>
  <c r="G84" i="3"/>
  <c r="O71" i="3" s="1"/>
  <c r="O84" i="3" s="1"/>
  <c r="H63" i="5"/>
  <c r="F81" i="3"/>
  <c r="N68" i="3" s="1"/>
  <c r="N81" i="3" s="1"/>
  <c r="I172" i="5"/>
  <c r="I198" i="5" s="1"/>
  <c r="D81" i="3"/>
  <c r="L68" i="3" s="1"/>
  <c r="L81" i="3" s="1"/>
  <c r="J78" i="5"/>
  <c r="J88" i="5" s="1"/>
  <c r="G140" i="5"/>
  <c r="H139" i="5"/>
  <c r="F140" i="5"/>
  <c r="J60" i="5"/>
  <c r="J83" i="5" s="1"/>
  <c r="G182" i="5"/>
  <c r="G183" i="5"/>
  <c r="B27" i="4"/>
  <c r="F65" i="6" l="1"/>
  <c r="P65" i="6" s="1"/>
  <c r="H72" i="5"/>
  <c r="H40" i="5"/>
  <c r="G70" i="5"/>
  <c r="H71" i="5"/>
  <c r="H70" i="5"/>
  <c r="N26" i="8"/>
  <c r="P26" i="8"/>
  <c r="L27" i="8"/>
  <c r="H16" i="8"/>
  <c r="O24" i="8"/>
  <c r="O27" i="8"/>
  <c r="O28" i="8"/>
  <c r="L26" i="8"/>
  <c r="O26" i="8"/>
  <c r="N28" i="8"/>
  <c r="M25" i="8"/>
  <c r="P24" i="8"/>
  <c r="N24" i="8"/>
  <c r="L25" i="8"/>
  <c r="P25" i="8"/>
  <c r="Q367" i="7"/>
  <c r="S367" i="7" s="1"/>
  <c r="P367" i="5" s="1"/>
  <c r="O64" i="6"/>
  <c r="Q64" i="6" s="1"/>
  <c r="G64" i="4" s="1"/>
  <c r="O25" i="8"/>
  <c r="P28" i="8"/>
  <c r="L132" i="5"/>
  <c r="M26" i="8"/>
  <c r="L28" i="8"/>
  <c r="N27" i="8"/>
  <c r="M27" i="8"/>
  <c r="M24" i="8"/>
  <c r="O77" i="6"/>
  <c r="O73" i="6"/>
  <c r="E77" i="6"/>
  <c r="P77" i="6" s="1"/>
  <c r="I381" i="7"/>
  <c r="H15" i="8"/>
  <c r="J385" i="7"/>
  <c r="K385" i="7" s="1"/>
  <c r="L385" i="7" s="1"/>
  <c r="M385" i="7" s="1"/>
  <c r="N25" i="8"/>
  <c r="P27" i="8"/>
  <c r="S40" i="8"/>
  <c r="U40" i="8" s="1"/>
  <c r="H42" i="3" s="1"/>
  <c r="L24" i="8"/>
  <c r="M28" i="8"/>
  <c r="M346" i="7"/>
  <c r="Q108" i="7"/>
  <c r="Q109" i="7"/>
  <c r="Q32" i="7"/>
  <c r="S32" i="7" s="1"/>
  <c r="P32" i="5" s="1"/>
  <c r="S337" i="7"/>
  <c r="P337" i="5" s="1"/>
  <c r="J33" i="5"/>
  <c r="J39" i="5" s="1"/>
  <c r="H64" i="5"/>
  <c r="H65" i="5" s="1"/>
  <c r="H87" i="5" s="1"/>
  <c r="H89" i="5" s="1"/>
  <c r="H155" i="5"/>
  <c r="P23" i="3"/>
  <c r="O23" i="3"/>
  <c r="G36" i="3"/>
  <c r="O36" i="3" s="1"/>
  <c r="H64" i="7"/>
  <c r="H62" i="7"/>
  <c r="H5" i="5"/>
  <c r="H210" i="5" s="1"/>
  <c r="O67" i="3"/>
  <c r="H67" i="3"/>
  <c r="P67" i="3" s="1"/>
  <c r="I132" i="5"/>
  <c r="F52" i="5"/>
  <c r="F40" i="5"/>
  <c r="G71" i="5"/>
  <c r="G64" i="5"/>
  <c r="G63" i="5"/>
  <c r="G72" i="5"/>
  <c r="I129" i="5"/>
  <c r="H70" i="7"/>
  <c r="G65" i="7"/>
  <c r="G87" i="7" s="1"/>
  <c r="G89" i="7" s="1"/>
  <c r="H63" i="7"/>
  <c r="H71" i="7"/>
  <c r="J132" i="5"/>
  <c r="N132" i="5"/>
  <c r="H164" i="7"/>
  <c r="B172" i="7" s="1"/>
  <c r="N14" i="8"/>
  <c r="N58" i="8" s="1"/>
  <c r="K178" i="5"/>
  <c r="J182" i="5"/>
  <c r="K183" i="5" s="1"/>
  <c r="L184" i="5" s="1"/>
  <c r="M185" i="5" s="1"/>
  <c r="B211" i="5"/>
  <c r="H210" i="7"/>
  <c r="J323" i="7"/>
  <c r="K58" i="7"/>
  <c r="K60" i="7" s="1"/>
  <c r="K83" i="7" s="1"/>
  <c r="J49" i="7"/>
  <c r="H129" i="7"/>
  <c r="K25" i="5"/>
  <c r="H95" i="7"/>
  <c r="B282" i="5"/>
  <c r="B130" i="5"/>
  <c r="B50" i="5"/>
  <c r="B96" i="7"/>
  <c r="B240" i="7"/>
  <c r="B165" i="5"/>
  <c r="B411" i="5"/>
  <c r="B282" i="7"/>
  <c r="B364" i="5"/>
  <c r="B130" i="7"/>
  <c r="B240" i="5"/>
  <c r="I181" i="7"/>
  <c r="I189" i="7"/>
  <c r="H239" i="7"/>
  <c r="H281" i="7"/>
  <c r="G5" i="7"/>
  <c r="G49" i="7" s="1"/>
  <c r="H49" i="7"/>
  <c r="G155" i="5"/>
  <c r="E75" i="6"/>
  <c r="P75" i="6" s="1"/>
  <c r="Q75" i="6" s="1"/>
  <c r="G75" i="4" s="1"/>
  <c r="P73" i="6"/>
  <c r="J210" i="7"/>
  <c r="J129" i="7"/>
  <c r="J164" i="7"/>
  <c r="J189" i="7" s="1"/>
  <c r="K5" i="7"/>
  <c r="K129" i="7" s="1"/>
  <c r="I210" i="5"/>
  <c r="I239" i="5"/>
  <c r="I49" i="5"/>
  <c r="I323" i="5"/>
  <c r="J5" i="5"/>
  <c r="I95" i="5"/>
  <c r="I281" i="5"/>
  <c r="J95" i="7"/>
  <c r="J239" i="7"/>
  <c r="H5" i="4"/>
  <c r="I5" i="4" s="1"/>
  <c r="J5" i="4" s="1"/>
  <c r="K5" i="4" s="1"/>
  <c r="H93" i="4"/>
  <c r="B324" i="5"/>
  <c r="B364" i="7"/>
  <c r="B324" i="7"/>
  <c r="B411" i="7"/>
  <c r="B211" i="7"/>
  <c r="B50" i="7"/>
  <c r="J108" i="7"/>
  <c r="K108" i="7" s="1"/>
  <c r="L108" i="7" s="1"/>
  <c r="M108" i="7" s="1"/>
  <c r="N108" i="7" s="1"/>
  <c r="R108" i="7" s="1"/>
  <c r="J109" i="7"/>
  <c r="K109" i="7" s="1"/>
  <c r="L109" i="7" s="1"/>
  <c r="M109" i="7" s="1"/>
  <c r="N109" i="7" s="1"/>
  <c r="Q348" i="7"/>
  <c r="R348" i="7"/>
  <c r="S200" i="7"/>
  <c r="D200" i="5" s="1"/>
  <c r="P17" i="6"/>
  <c r="Q17" i="6" s="1"/>
  <c r="N17" i="4" s="1"/>
  <c r="Q213" i="7"/>
  <c r="S213" i="7" s="1"/>
  <c r="I221" i="5"/>
  <c r="I228" i="5" s="1"/>
  <c r="K425" i="5"/>
  <c r="J428" i="5"/>
  <c r="J16" i="7"/>
  <c r="I26" i="7"/>
  <c r="I27" i="7" s="1"/>
  <c r="I38" i="7" s="1"/>
  <c r="I52" i="7" s="1"/>
  <c r="I18" i="7"/>
  <c r="I43" i="7" s="1"/>
  <c r="J33" i="7"/>
  <c r="I39" i="7"/>
  <c r="I229" i="7"/>
  <c r="I230" i="7" s="1"/>
  <c r="J227" i="7" s="1"/>
  <c r="J229" i="7" s="1"/>
  <c r="L178" i="7"/>
  <c r="K182" i="7"/>
  <c r="L183" i="7" s="1"/>
  <c r="M184" i="7" s="1"/>
  <c r="F183" i="7"/>
  <c r="F190" i="7"/>
  <c r="L425" i="7"/>
  <c r="L428" i="7" s="1"/>
  <c r="M413" i="7"/>
  <c r="N76" i="7"/>
  <c r="L77" i="7"/>
  <c r="L366" i="7"/>
  <c r="F63" i="7"/>
  <c r="F64" i="7"/>
  <c r="F70" i="7"/>
  <c r="F72" i="7"/>
  <c r="F62" i="7"/>
  <c r="F71" i="7"/>
  <c r="M172" i="7"/>
  <c r="M198" i="7" s="1"/>
  <c r="G73" i="7"/>
  <c r="G84" i="7" s="1"/>
  <c r="G85" i="7" s="1"/>
  <c r="N57" i="7"/>
  <c r="K75" i="7"/>
  <c r="J78" i="7"/>
  <c r="J88" i="7" s="1"/>
  <c r="P24" i="6"/>
  <c r="Q24" i="6" s="1"/>
  <c r="N24" i="4" s="1"/>
  <c r="P10" i="6"/>
  <c r="Q10" i="6" s="1"/>
  <c r="D67" i="3"/>
  <c r="E80" i="3"/>
  <c r="M80" i="3" s="1"/>
  <c r="M67" i="3"/>
  <c r="D36" i="3"/>
  <c r="L36" i="3" s="1"/>
  <c r="L23" i="3"/>
  <c r="L59" i="5"/>
  <c r="M76" i="5"/>
  <c r="L78" i="5"/>
  <c r="L88" i="5" s="1"/>
  <c r="J172" i="5"/>
  <c r="J198" i="5" s="1"/>
  <c r="H73" i="5"/>
  <c r="H84" i="5" s="1"/>
  <c r="H85" i="5" s="1"/>
  <c r="I189" i="5"/>
  <c r="F182" i="5"/>
  <c r="I181" i="5"/>
  <c r="P41" i="8" l="1"/>
  <c r="O38" i="8"/>
  <c r="F66" i="6"/>
  <c r="P66" i="6" s="1"/>
  <c r="O65" i="6"/>
  <c r="Q65" i="6" s="1"/>
  <c r="G65" i="4" s="1"/>
  <c r="O41" i="8"/>
  <c r="O40" i="8"/>
  <c r="M37" i="8"/>
  <c r="O37" i="8"/>
  <c r="X37" i="8"/>
  <c r="N40" i="8"/>
  <c r="K378" i="7"/>
  <c r="Q77" i="6"/>
  <c r="G77" i="4" s="1"/>
  <c r="P38" i="8"/>
  <c r="Q73" i="6"/>
  <c r="G73" i="4" s="1"/>
  <c r="J381" i="7"/>
  <c r="L40" i="8"/>
  <c r="N38" i="8"/>
  <c r="L39" i="8"/>
  <c r="N37" i="8"/>
  <c r="R385" i="7"/>
  <c r="O39" i="8"/>
  <c r="Q385" i="7"/>
  <c r="L38" i="8"/>
  <c r="M40" i="8"/>
  <c r="P37" i="8"/>
  <c r="P39" i="8"/>
  <c r="M41" i="8"/>
  <c r="W37" i="8"/>
  <c r="L37" i="8"/>
  <c r="P40" i="8"/>
  <c r="M39" i="8"/>
  <c r="N41" i="8"/>
  <c r="H281" i="5"/>
  <c r="L41" i="8"/>
  <c r="M38" i="8"/>
  <c r="N39" i="8"/>
  <c r="Q346" i="7"/>
  <c r="Q116" i="7"/>
  <c r="S116" i="7" s="1"/>
  <c r="P116" i="5" s="1"/>
  <c r="N346" i="7"/>
  <c r="R346" i="7" s="1"/>
  <c r="S108" i="7"/>
  <c r="P108" i="5" s="1"/>
  <c r="K33" i="5"/>
  <c r="K39" i="5" s="1"/>
  <c r="S348" i="7"/>
  <c r="P348" i="5" s="1"/>
  <c r="H73" i="7"/>
  <c r="H84" i="7" s="1"/>
  <c r="H85" i="7" s="1"/>
  <c r="H80" i="3"/>
  <c r="P80" i="3" s="1"/>
  <c r="G65" i="5"/>
  <c r="G87" i="5" s="1"/>
  <c r="G89" i="5" s="1"/>
  <c r="G73" i="5"/>
  <c r="G84" i="5" s="1"/>
  <c r="G85" i="5" s="1"/>
  <c r="H95" i="5"/>
  <c r="H49" i="5"/>
  <c r="J181" i="7"/>
  <c r="H65" i="7"/>
  <c r="H87" i="7" s="1"/>
  <c r="H89" i="7" s="1"/>
  <c r="H129" i="5"/>
  <c r="N14" i="3"/>
  <c r="N58" i="3" s="1"/>
  <c r="H164" i="5"/>
  <c r="B172" i="5" s="1"/>
  <c r="H239" i="5"/>
  <c r="G5" i="5"/>
  <c r="G95" i="5" s="1"/>
  <c r="R109" i="7"/>
  <c r="S109" i="7" s="1"/>
  <c r="F72" i="5"/>
  <c r="F71" i="5"/>
  <c r="F62" i="5"/>
  <c r="F70" i="5"/>
  <c r="F63" i="5"/>
  <c r="F64" i="5"/>
  <c r="L178" i="5"/>
  <c r="K182" i="5"/>
  <c r="L183" i="5" s="1"/>
  <c r="M184" i="5" s="1"/>
  <c r="G164" i="7"/>
  <c r="F5" i="7"/>
  <c r="F95" i="7" s="1"/>
  <c r="G129" i="7"/>
  <c r="L5" i="7"/>
  <c r="L49" i="7" s="1"/>
  <c r="L58" i="7"/>
  <c r="G95" i="7"/>
  <c r="K239" i="7"/>
  <c r="K323" i="7"/>
  <c r="K164" i="7"/>
  <c r="K181" i="7" s="1"/>
  <c r="K95" i="7"/>
  <c r="K49" i="7"/>
  <c r="K281" i="7"/>
  <c r="K210" i="7"/>
  <c r="J164" i="5"/>
  <c r="J281" i="5"/>
  <c r="J239" i="5"/>
  <c r="J323" i="5"/>
  <c r="J210" i="5"/>
  <c r="J49" i="5"/>
  <c r="J95" i="5"/>
  <c r="K5" i="5"/>
  <c r="J129" i="5"/>
  <c r="P167" i="5"/>
  <c r="N10" i="4"/>
  <c r="Q39" i="6"/>
  <c r="B40" i="4" s="1"/>
  <c r="I229" i="5"/>
  <c r="P213" i="5"/>
  <c r="K428" i="5"/>
  <c r="L425" i="5"/>
  <c r="F65" i="7"/>
  <c r="F87" i="7" s="1"/>
  <c r="F89" i="7" s="1"/>
  <c r="I40" i="7"/>
  <c r="J230" i="7"/>
  <c r="K227" i="7" s="1"/>
  <c r="K229" i="7" s="1"/>
  <c r="K33" i="7"/>
  <c r="J39" i="7"/>
  <c r="K16" i="7"/>
  <c r="J26" i="7"/>
  <c r="J27" i="7" s="1"/>
  <c r="J38" i="7" s="1"/>
  <c r="J18" i="7"/>
  <c r="J43" i="7" s="1"/>
  <c r="N413" i="7"/>
  <c r="R413" i="7" s="1"/>
  <c r="S413" i="7" s="1"/>
  <c r="M425" i="7"/>
  <c r="M428" i="7" s="1"/>
  <c r="F184" i="7"/>
  <c r="F191" i="7"/>
  <c r="L75" i="7"/>
  <c r="K78" i="7"/>
  <c r="K88" i="7" s="1"/>
  <c r="M77" i="7"/>
  <c r="F73" i="7"/>
  <c r="F84" i="7" s="1"/>
  <c r="F85" i="7" s="1"/>
  <c r="I63" i="7"/>
  <c r="I64" i="7"/>
  <c r="I62" i="7"/>
  <c r="I72" i="7"/>
  <c r="I71" i="7"/>
  <c r="I70" i="7"/>
  <c r="M366" i="7"/>
  <c r="M178" i="7"/>
  <c r="M182" i="7" s="1"/>
  <c r="L182" i="7"/>
  <c r="M183" i="7" s="1"/>
  <c r="L67" i="3"/>
  <c r="D80" i="3"/>
  <c r="L80" i="3" s="1"/>
  <c r="F183" i="5"/>
  <c r="F190" i="5"/>
  <c r="N76" i="5"/>
  <c r="M78" i="5"/>
  <c r="M88" i="5" s="1"/>
  <c r="K172" i="5"/>
  <c r="M59" i="5"/>
  <c r="L60" i="5"/>
  <c r="L83" i="5" s="1"/>
  <c r="S385" i="7" l="1"/>
  <c r="P385" i="5" s="1"/>
  <c r="W40" i="8"/>
  <c r="G164" i="5"/>
  <c r="L64" i="6"/>
  <c r="T64" i="6" s="1"/>
  <c r="O66" i="6"/>
  <c r="Q66" i="6" s="1"/>
  <c r="G66" i="4" s="1"/>
  <c r="G129" i="5"/>
  <c r="X40" i="8"/>
  <c r="Y40" i="8" s="1"/>
  <c r="P42" i="3" s="1"/>
  <c r="K381" i="7"/>
  <c r="Y37" i="8"/>
  <c r="P29" i="3" s="1"/>
  <c r="L378" i="7"/>
  <c r="L33" i="5"/>
  <c r="M33" i="5" s="1"/>
  <c r="S346" i="7"/>
  <c r="P346" i="5" s="1"/>
  <c r="P109" i="5"/>
  <c r="J133" i="5"/>
  <c r="J144" i="5" s="1"/>
  <c r="F5" i="5"/>
  <c r="F129" i="5" s="1"/>
  <c r="L281" i="7"/>
  <c r="G49" i="5"/>
  <c r="L323" i="7"/>
  <c r="F65" i="5"/>
  <c r="F87" i="5" s="1"/>
  <c r="F89" i="5" s="1"/>
  <c r="F73" i="5"/>
  <c r="F84" i="5" s="1"/>
  <c r="F85" i="5" s="1"/>
  <c r="F49" i="7"/>
  <c r="L95" i="7"/>
  <c r="M5" i="7"/>
  <c r="M210" i="7" s="1"/>
  <c r="L210" i="7"/>
  <c r="F164" i="7"/>
  <c r="L164" i="7"/>
  <c r="L181" i="7" s="1"/>
  <c r="F129" i="7"/>
  <c r="L129" i="7"/>
  <c r="L239" i="7"/>
  <c r="K189" i="7"/>
  <c r="M178" i="5"/>
  <c r="M182" i="5" s="1"/>
  <c r="L182" i="5"/>
  <c r="M183" i="5" s="1"/>
  <c r="L60" i="7"/>
  <c r="L83" i="7" s="1"/>
  <c r="M58" i="7"/>
  <c r="K49" i="5"/>
  <c r="K239" i="5"/>
  <c r="K95" i="5"/>
  <c r="K129" i="5"/>
  <c r="K281" i="5"/>
  <c r="K164" i="5"/>
  <c r="L5" i="5"/>
  <c r="K323" i="5"/>
  <c r="K210" i="5"/>
  <c r="J189" i="5"/>
  <c r="J181" i="5"/>
  <c r="I133" i="5"/>
  <c r="I144" i="5" s="1"/>
  <c r="I252" i="7"/>
  <c r="I294" i="7"/>
  <c r="I230" i="5"/>
  <c r="J227" i="5" s="1"/>
  <c r="J229" i="5" s="1"/>
  <c r="P413" i="5"/>
  <c r="M425" i="5"/>
  <c r="L428" i="5"/>
  <c r="I73" i="7"/>
  <c r="I84" i="7" s="1"/>
  <c r="I85" i="7" s="1"/>
  <c r="I65" i="7"/>
  <c r="I87" i="7" s="1"/>
  <c r="I89" i="7" s="1"/>
  <c r="L16" i="7"/>
  <c r="K26" i="7"/>
  <c r="K27" i="7" s="1"/>
  <c r="K38" i="7" s="1"/>
  <c r="K18" i="7"/>
  <c r="K43" i="7" s="1"/>
  <c r="J40" i="7"/>
  <c r="J52" i="7"/>
  <c r="K39" i="7"/>
  <c r="L33" i="7"/>
  <c r="N366" i="7"/>
  <c r="R366" i="7" s="1"/>
  <c r="N425" i="7"/>
  <c r="V422" i="7"/>
  <c r="N77" i="7"/>
  <c r="L78" i="7"/>
  <c r="L88" i="7" s="1"/>
  <c r="M75" i="7"/>
  <c r="F192" i="7"/>
  <c r="F185" i="7"/>
  <c r="K230" i="7"/>
  <c r="L227" i="7" s="1"/>
  <c r="N78" i="5"/>
  <c r="N88" i="5" s="1"/>
  <c r="F191" i="5"/>
  <c r="F184" i="5"/>
  <c r="K198" i="5"/>
  <c r="L172" i="5"/>
  <c r="L198" i="5" s="1"/>
  <c r="N59" i="5"/>
  <c r="M60" i="5"/>
  <c r="M83" i="5" s="1"/>
  <c r="Q366" i="7" l="1"/>
  <c r="S366" i="7" s="1"/>
  <c r="P366" i="5" s="1"/>
  <c r="Q378" i="7"/>
  <c r="M378" i="7"/>
  <c r="R378" i="7" s="1"/>
  <c r="S64" i="6"/>
  <c r="L66" i="6"/>
  <c r="T66" i="6" s="1"/>
  <c r="L381" i="7"/>
  <c r="U64" i="6"/>
  <c r="N64" i="4" s="1"/>
  <c r="W422" i="7"/>
  <c r="G422" i="5" s="1"/>
  <c r="L39" i="5"/>
  <c r="K133" i="5"/>
  <c r="K144" i="5" s="1"/>
  <c r="F49" i="5"/>
  <c r="F95" i="5"/>
  <c r="F164" i="5"/>
  <c r="M281" i="7"/>
  <c r="M129" i="7"/>
  <c r="L189" i="7"/>
  <c r="M323" i="7"/>
  <c r="M239" i="7"/>
  <c r="M49" i="7"/>
  <c r="M95" i="7"/>
  <c r="M164" i="7"/>
  <c r="G191" i="7" s="1"/>
  <c r="H191" i="7" s="1"/>
  <c r="K191" i="7" s="1"/>
  <c r="M60" i="7"/>
  <c r="M83" i="7" s="1"/>
  <c r="N58" i="7"/>
  <c r="N60" i="7" s="1"/>
  <c r="N83" i="7" s="1"/>
  <c r="K189" i="5"/>
  <c r="K181" i="5"/>
  <c r="L49" i="5"/>
  <c r="L281" i="5"/>
  <c r="L164" i="5"/>
  <c r="L210" i="5"/>
  <c r="L239" i="5"/>
  <c r="M5" i="5"/>
  <c r="L323" i="5"/>
  <c r="L129" i="5"/>
  <c r="L95" i="5"/>
  <c r="J230" i="5"/>
  <c r="K227" i="5" s="1"/>
  <c r="K229" i="5" s="1"/>
  <c r="J294" i="7"/>
  <c r="J252" i="7"/>
  <c r="M428" i="5"/>
  <c r="N425" i="5"/>
  <c r="G190" i="7"/>
  <c r="H190" i="7" s="1"/>
  <c r="M190" i="7" s="1"/>
  <c r="G192" i="7"/>
  <c r="H192" i="7" s="1"/>
  <c r="K192" i="7" s="1"/>
  <c r="L39" i="7"/>
  <c r="M33" i="7"/>
  <c r="K52" i="7"/>
  <c r="K40" i="7"/>
  <c r="J70" i="7"/>
  <c r="J71" i="7"/>
  <c r="J64" i="7"/>
  <c r="J62" i="7"/>
  <c r="J63" i="7"/>
  <c r="J72" i="7"/>
  <c r="L26" i="7"/>
  <c r="L27" i="7" s="1"/>
  <c r="L38" i="7" s="1"/>
  <c r="L52" i="7" s="1"/>
  <c r="L18" i="7"/>
  <c r="L43" i="7" s="1"/>
  <c r="M16" i="7"/>
  <c r="F186" i="7"/>
  <c r="F194" i="7" s="1"/>
  <c r="F193" i="7"/>
  <c r="M78" i="7"/>
  <c r="M88" i="7" s="1"/>
  <c r="N75" i="7"/>
  <c r="L229" i="7"/>
  <c r="M172" i="5"/>
  <c r="M198" i="5" s="1"/>
  <c r="N60" i="5"/>
  <c r="N83" i="5" s="1"/>
  <c r="N33" i="5"/>
  <c r="N39" i="5" s="1"/>
  <c r="M39" i="5"/>
  <c r="F185" i="5"/>
  <c r="F192" i="5"/>
  <c r="S378" i="7" l="1"/>
  <c r="P378" i="5" s="1"/>
  <c r="G193" i="7"/>
  <c r="H193" i="7" s="1"/>
  <c r="L193" i="7" s="1"/>
  <c r="S66" i="6"/>
  <c r="U66" i="6" s="1"/>
  <c r="N66" i="4" s="1"/>
  <c r="L81" i="6"/>
  <c r="X81" i="6" s="1"/>
  <c r="I134" i="5"/>
  <c r="M181" i="7"/>
  <c r="L191" i="7"/>
  <c r="J191" i="7"/>
  <c r="M191" i="7"/>
  <c r="I191" i="7"/>
  <c r="M189" i="7"/>
  <c r="G194" i="7"/>
  <c r="H194" i="7" s="1"/>
  <c r="K194" i="7" s="1"/>
  <c r="M210" i="5"/>
  <c r="M323" i="5"/>
  <c r="M239" i="5"/>
  <c r="M49" i="5"/>
  <c r="M129" i="5"/>
  <c r="M164" i="5"/>
  <c r="G192" i="5" s="1"/>
  <c r="H192" i="5" s="1"/>
  <c r="K192" i="5" s="1"/>
  <c r="M281" i="5"/>
  <c r="M95" i="5"/>
  <c r="L189" i="5"/>
  <c r="L181" i="5"/>
  <c r="L133" i="5"/>
  <c r="L144" i="5" s="1"/>
  <c r="J134" i="5"/>
  <c r="J105" i="5"/>
  <c r="J110" i="5" s="1"/>
  <c r="K230" i="5"/>
  <c r="L227" i="5" s="1"/>
  <c r="L229" i="5" s="1"/>
  <c r="K294" i="7"/>
  <c r="K252" i="7"/>
  <c r="I192" i="7"/>
  <c r="J192" i="7"/>
  <c r="I190" i="7"/>
  <c r="L190" i="7"/>
  <c r="J190" i="7"/>
  <c r="K190" i="7"/>
  <c r="L192" i="7"/>
  <c r="J73" i="7"/>
  <c r="J84" i="7" s="1"/>
  <c r="J85" i="7" s="1"/>
  <c r="M192" i="7"/>
  <c r="J65" i="7"/>
  <c r="J87" i="7" s="1"/>
  <c r="J89" i="7" s="1"/>
  <c r="L72" i="7"/>
  <c r="L70" i="7"/>
  <c r="L71" i="7"/>
  <c r="L64" i="7"/>
  <c r="L63" i="7"/>
  <c r="L62" i="7"/>
  <c r="K72" i="7"/>
  <c r="K62" i="7"/>
  <c r="K64" i="7"/>
  <c r="K71" i="7"/>
  <c r="K63" i="7"/>
  <c r="K70" i="7"/>
  <c r="M18" i="7"/>
  <c r="M43" i="7" s="1"/>
  <c r="N16" i="7"/>
  <c r="M26" i="7"/>
  <c r="M27" i="7" s="1"/>
  <c r="M38" i="7" s="1"/>
  <c r="M52" i="7" s="1"/>
  <c r="M39" i="7"/>
  <c r="N33" i="7"/>
  <c r="N39" i="7" s="1"/>
  <c r="L40" i="7"/>
  <c r="N78" i="7"/>
  <c r="N88" i="7" s="1"/>
  <c r="L230" i="7"/>
  <c r="M227" i="7" s="1"/>
  <c r="F186" i="5"/>
  <c r="F194" i="5" s="1"/>
  <c r="F193" i="5"/>
  <c r="I193" i="7" l="1"/>
  <c r="J193" i="7"/>
  <c r="K193" i="7"/>
  <c r="K199" i="7" s="1"/>
  <c r="K200" i="7" s="1"/>
  <c r="M193" i="7"/>
  <c r="L84" i="6"/>
  <c r="W81" i="6"/>
  <c r="Y81" i="6" s="1"/>
  <c r="I105" i="5"/>
  <c r="I110" i="5" s="1"/>
  <c r="M133" i="5"/>
  <c r="M144" i="5" s="1"/>
  <c r="G194" i="5"/>
  <c r="H194" i="5" s="1"/>
  <c r="K194" i="5" s="1"/>
  <c r="L194" i="7"/>
  <c r="L199" i="7" s="1"/>
  <c r="L200" i="7" s="1"/>
  <c r="M194" i="7"/>
  <c r="M199" i="7" s="1"/>
  <c r="M200" i="7" s="1"/>
  <c r="I194" i="7"/>
  <c r="I199" i="7" s="1"/>
  <c r="I200" i="7" s="1"/>
  <c r="J194" i="7"/>
  <c r="J199" i="7" s="1"/>
  <c r="J200" i="7" s="1"/>
  <c r="G193" i="5"/>
  <c r="H193" i="5" s="1"/>
  <c r="M193" i="5" s="1"/>
  <c r="M192" i="5"/>
  <c r="L192" i="5"/>
  <c r="J192" i="5"/>
  <c r="I192" i="5"/>
  <c r="M189" i="5"/>
  <c r="M181" i="5"/>
  <c r="G191" i="5"/>
  <c r="H191" i="5" s="1"/>
  <c r="G190" i="5"/>
  <c r="H190" i="5" s="1"/>
  <c r="K73" i="7"/>
  <c r="K84" i="7" s="1"/>
  <c r="K85" i="7" s="1"/>
  <c r="J146" i="5"/>
  <c r="J151" i="5" s="1"/>
  <c r="J145" i="5"/>
  <c r="J150" i="5" s="1"/>
  <c r="K134" i="5"/>
  <c r="K105" i="5"/>
  <c r="K110" i="5" s="1"/>
  <c r="I146" i="5"/>
  <c r="I151" i="5" s="1"/>
  <c r="I145" i="5"/>
  <c r="I150" i="5" s="1"/>
  <c r="J335" i="7"/>
  <c r="L230" i="5"/>
  <c r="M227" i="5" s="1"/>
  <c r="L252" i="7"/>
  <c r="L294" i="7"/>
  <c r="M40" i="7"/>
  <c r="L73" i="7"/>
  <c r="L84" i="7" s="1"/>
  <c r="L85" i="7" s="1"/>
  <c r="L65" i="7"/>
  <c r="L87" i="7" s="1"/>
  <c r="L89" i="7" s="1"/>
  <c r="K65" i="7"/>
  <c r="K87" i="7" s="1"/>
  <c r="K89" i="7" s="1"/>
  <c r="M72" i="7"/>
  <c r="M64" i="7"/>
  <c r="M71" i="7"/>
  <c r="M62" i="7"/>
  <c r="M63" i="7"/>
  <c r="M70" i="7"/>
  <c r="N18" i="7"/>
  <c r="N43" i="7" s="1"/>
  <c r="N26" i="7"/>
  <c r="N27" i="7" s="1"/>
  <c r="N38" i="7" s="1"/>
  <c r="M229" i="7"/>
  <c r="N81" i="4" l="1"/>
  <c r="X84" i="6"/>
  <c r="O13" i="8"/>
  <c r="C70" i="8"/>
  <c r="O57" i="8"/>
  <c r="C26" i="8"/>
  <c r="C26" i="3"/>
  <c r="F109" i="6"/>
  <c r="P109" i="6" s="1"/>
  <c r="W84" i="6"/>
  <c r="Y84" i="6" s="1"/>
  <c r="N84" i="4" s="1"/>
  <c r="O13" i="3"/>
  <c r="O57" i="3"/>
  <c r="C70" i="3"/>
  <c r="Q103" i="7"/>
  <c r="I335" i="7"/>
  <c r="L193" i="5"/>
  <c r="J193" i="5"/>
  <c r="K193" i="5"/>
  <c r="L194" i="5"/>
  <c r="I194" i="5"/>
  <c r="M194" i="5"/>
  <c r="J194" i="5"/>
  <c r="I193" i="5"/>
  <c r="J191" i="5"/>
  <c r="M191" i="5"/>
  <c r="K191" i="5"/>
  <c r="I191" i="5"/>
  <c r="L191" i="5"/>
  <c r="L190" i="5"/>
  <c r="M190" i="5"/>
  <c r="I190" i="5"/>
  <c r="K190" i="5"/>
  <c r="J190" i="5"/>
  <c r="I152" i="5"/>
  <c r="I155" i="5" s="1"/>
  <c r="J152" i="5"/>
  <c r="L134" i="5"/>
  <c r="L105" i="5"/>
  <c r="L110" i="5" s="1"/>
  <c r="K335" i="7"/>
  <c r="K146" i="5"/>
  <c r="K151" i="5" s="1"/>
  <c r="K145" i="5"/>
  <c r="K150" i="5" s="1"/>
  <c r="M229" i="5"/>
  <c r="N133" i="5"/>
  <c r="N144" i="5" s="1"/>
  <c r="M73" i="7"/>
  <c r="M84" i="7" s="1"/>
  <c r="M85" i="7" s="1"/>
  <c r="M65" i="7"/>
  <c r="M87" i="7" s="1"/>
  <c r="M89" i="7" s="1"/>
  <c r="N52" i="7"/>
  <c r="N40" i="7"/>
  <c r="M230" i="7"/>
  <c r="C367" i="5" l="1"/>
  <c r="C367" i="7"/>
  <c r="C69" i="3"/>
  <c r="C83" i="3"/>
  <c r="K83" i="3" s="1"/>
  <c r="C71" i="3"/>
  <c r="K70" i="3"/>
  <c r="K26" i="8"/>
  <c r="C27" i="8"/>
  <c r="C25" i="8"/>
  <c r="C39" i="8"/>
  <c r="K39" i="8" s="1"/>
  <c r="C83" i="8"/>
  <c r="K83" i="8" s="1"/>
  <c r="K70" i="8"/>
  <c r="C69" i="8"/>
  <c r="C71" i="8"/>
  <c r="C414" i="5"/>
  <c r="C414" i="7"/>
  <c r="C27" i="3"/>
  <c r="C39" i="3"/>
  <c r="K39" i="3" s="1"/>
  <c r="K26" i="3"/>
  <c r="C25" i="3"/>
  <c r="Y86" i="6"/>
  <c r="B85" i="4" s="1"/>
  <c r="O109" i="6"/>
  <c r="Q109" i="6" s="1"/>
  <c r="F110" i="6"/>
  <c r="P110" i="6" s="1"/>
  <c r="Q252" i="7"/>
  <c r="Q294" i="7"/>
  <c r="M230" i="5"/>
  <c r="I199" i="5"/>
  <c r="I200" i="5" s="1"/>
  <c r="M199" i="5"/>
  <c r="M200" i="5" s="1"/>
  <c r="K199" i="5"/>
  <c r="K200" i="5" s="1"/>
  <c r="J155" i="5"/>
  <c r="L199" i="5"/>
  <c r="L200" i="5" s="1"/>
  <c r="J199" i="5"/>
  <c r="J200" i="5" s="1"/>
  <c r="K152" i="5"/>
  <c r="K155" i="5" s="1"/>
  <c r="L145" i="5"/>
  <c r="L150" i="5" s="1"/>
  <c r="L146" i="5"/>
  <c r="L151" i="5" s="1"/>
  <c r="M252" i="7"/>
  <c r="R252" i="7" s="1"/>
  <c r="M294" i="7"/>
  <c r="R294" i="7" s="1"/>
  <c r="L335" i="7"/>
  <c r="I338" i="7"/>
  <c r="M134" i="5"/>
  <c r="M105" i="5"/>
  <c r="M110" i="5" s="1"/>
  <c r="N63" i="7"/>
  <c r="N62" i="7"/>
  <c r="N64" i="7"/>
  <c r="N72" i="7"/>
  <c r="N71" i="7"/>
  <c r="N70" i="7"/>
  <c r="C24" i="3" l="1"/>
  <c r="K25" i="3"/>
  <c r="C38" i="3"/>
  <c r="K38" i="3" s="1"/>
  <c r="C72" i="8"/>
  <c r="C84" i="8"/>
  <c r="K84" i="8" s="1"/>
  <c r="K71" i="8"/>
  <c r="C82" i="8"/>
  <c r="K82" i="8" s="1"/>
  <c r="C68" i="8"/>
  <c r="K69" i="8"/>
  <c r="C38" i="8"/>
  <c r="K38" i="8" s="1"/>
  <c r="K25" i="8"/>
  <c r="C24" i="8"/>
  <c r="K27" i="8"/>
  <c r="C40" i="8"/>
  <c r="K40" i="8" s="1"/>
  <c r="C28" i="8"/>
  <c r="G109" i="4"/>
  <c r="C68" i="3"/>
  <c r="C82" i="3"/>
  <c r="K82" i="3" s="1"/>
  <c r="K69" i="3"/>
  <c r="C40" i="3"/>
  <c r="K40" i="3" s="1"/>
  <c r="K27" i="3"/>
  <c r="C28" i="3"/>
  <c r="M17" i="2"/>
  <c r="O110" i="6"/>
  <c r="Q110" i="6" s="1"/>
  <c r="I388" i="7"/>
  <c r="J388" i="7"/>
  <c r="K388" i="7"/>
  <c r="L388" i="7"/>
  <c r="J435" i="7"/>
  <c r="K435" i="7"/>
  <c r="I435" i="7"/>
  <c r="L435" i="7"/>
  <c r="M435" i="7"/>
  <c r="I435" i="5"/>
  <c r="J435" i="5"/>
  <c r="K435" i="5"/>
  <c r="L435" i="5"/>
  <c r="M435" i="5"/>
  <c r="C72" i="3"/>
  <c r="K71" i="3"/>
  <c r="C84" i="3"/>
  <c r="K84" i="3" s="1"/>
  <c r="M293" i="7"/>
  <c r="I293" i="7"/>
  <c r="L251" i="7"/>
  <c r="L293" i="7"/>
  <c r="J251" i="7"/>
  <c r="J293" i="7"/>
  <c r="K251" i="7"/>
  <c r="K293" i="7"/>
  <c r="M251" i="7"/>
  <c r="I251" i="7"/>
  <c r="R113" i="7"/>
  <c r="S252" i="7"/>
  <c r="P252" i="5" s="1"/>
  <c r="S294" i="7"/>
  <c r="P294" i="5" s="1"/>
  <c r="M113" i="7"/>
  <c r="M222" i="7"/>
  <c r="J338" i="7"/>
  <c r="J113" i="7"/>
  <c r="L113" i="7"/>
  <c r="K222" i="7"/>
  <c r="I113" i="7"/>
  <c r="I222" i="7"/>
  <c r="K113" i="7"/>
  <c r="L222" i="7"/>
  <c r="J222" i="7"/>
  <c r="M146" i="5"/>
  <c r="M151" i="5" s="1"/>
  <c r="M145" i="5"/>
  <c r="M150" i="5" s="1"/>
  <c r="M335" i="7"/>
  <c r="K338" i="7"/>
  <c r="N134" i="5"/>
  <c r="N105" i="5"/>
  <c r="N110" i="5" s="1"/>
  <c r="Q104" i="7"/>
  <c r="L152" i="5"/>
  <c r="I349" i="7"/>
  <c r="N73" i="7"/>
  <c r="N84" i="7" s="1"/>
  <c r="N85" i="7" s="1"/>
  <c r="N65" i="7"/>
  <c r="N87" i="7" s="1"/>
  <c r="N89" i="7" s="1"/>
  <c r="G110" i="4" l="1"/>
  <c r="Q112" i="6"/>
  <c r="B113" i="4" s="1"/>
  <c r="C81" i="3"/>
  <c r="K81" i="3" s="1"/>
  <c r="K68" i="3"/>
  <c r="C41" i="8"/>
  <c r="K41" i="8" s="1"/>
  <c r="K28" i="8"/>
  <c r="C37" i="8"/>
  <c r="K37" i="8" s="1"/>
  <c r="K24" i="8"/>
  <c r="C81" i="8"/>
  <c r="K81" i="8" s="1"/>
  <c r="K68" i="8"/>
  <c r="K28" i="3"/>
  <c r="C41" i="3"/>
  <c r="K41" i="3" s="1"/>
  <c r="C85" i="8"/>
  <c r="K85" i="8" s="1"/>
  <c r="K72" i="8"/>
  <c r="C85" i="3"/>
  <c r="K85" i="3" s="1"/>
  <c r="K72" i="3"/>
  <c r="C37" i="3"/>
  <c r="K37" i="3" s="1"/>
  <c r="K24" i="3"/>
  <c r="J114" i="5"/>
  <c r="J284" i="5" s="1"/>
  <c r="L114" i="5"/>
  <c r="L284" i="5" s="1"/>
  <c r="Q293" i="7"/>
  <c r="Q251" i="7"/>
  <c r="M114" i="5"/>
  <c r="N344" i="7"/>
  <c r="M344" i="7"/>
  <c r="I223" i="7"/>
  <c r="J220" i="7" s="1"/>
  <c r="J223" i="7" s="1"/>
  <c r="K220" i="7" s="1"/>
  <c r="K223" i="7" s="1"/>
  <c r="L220" i="7" s="1"/>
  <c r="L223" i="7" s="1"/>
  <c r="M220" i="7" s="1"/>
  <c r="M223" i="7" s="1"/>
  <c r="R222" i="7"/>
  <c r="Q113" i="7"/>
  <c r="L344" i="7"/>
  <c r="J344" i="7"/>
  <c r="J349" i="7"/>
  <c r="K344" i="7"/>
  <c r="I344" i="7"/>
  <c r="I114" i="5"/>
  <c r="I284" i="5" s="1"/>
  <c r="K114" i="5"/>
  <c r="K284" i="5" s="1"/>
  <c r="M152" i="5"/>
  <c r="M155" i="5" s="1"/>
  <c r="K349" i="7"/>
  <c r="N146" i="5"/>
  <c r="N151" i="5" s="1"/>
  <c r="N145" i="5"/>
  <c r="N150" i="5" s="1"/>
  <c r="L155" i="5"/>
  <c r="N114" i="5"/>
  <c r="G327" i="7" s="1"/>
  <c r="N335" i="7"/>
  <c r="R335" i="7" s="1"/>
  <c r="M284" i="5" l="1"/>
  <c r="M292" i="5" s="1"/>
  <c r="Q335" i="7"/>
  <c r="S335" i="7" s="1"/>
  <c r="P335" i="5" s="1"/>
  <c r="J284" i="7"/>
  <c r="J292" i="7" s="1"/>
  <c r="J304" i="7" s="1"/>
  <c r="J117" i="5"/>
  <c r="J242" i="5" s="1"/>
  <c r="L284" i="7"/>
  <c r="L292" i="7" s="1"/>
  <c r="L295" i="7" s="1"/>
  <c r="L117" i="5"/>
  <c r="L242" i="5" s="1"/>
  <c r="J292" i="5"/>
  <c r="J295" i="5" s="1"/>
  <c r="Q284" i="7"/>
  <c r="K292" i="5"/>
  <c r="K313" i="5" s="1"/>
  <c r="L292" i="5"/>
  <c r="L304" i="5" s="1"/>
  <c r="M284" i="7"/>
  <c r="M292" i="7" s="1"/>
  <c r="M295" i="7" s="1"/>
  <c r="M117" i="5"/>
  <c r="Q222" i="7"/>
  <c r="S222" i="7" s="1"/>
  <c r="P222" i="5" s="1"/>
  <c r="K284" i="7"/>
  <c r="K292" i="7" s="1"/>
  <c r="K313" i="7" s="1"/>
  <c r="K117" i="5"/>
  <c r="K242" i="5" s="1"/>
  <c r="Q344" i="7"/>
  <c r="R344" i="7"/>
  <c r="I117" i="5"/>
  <c r="I242" i="5" s="1"/>
  <c r="S113" i="7"/>
  <c r="P113" i="5" s="1"/>
  <c r="I284" i="7"/>
  <c r="I223" i="5"/>
  <c r="J220" i="5" s="1"/>
  <c r="J223" i="5" s="1"/>
  <c r="K220" i="5" s="1"/>
  <c r="K223" i="5" s="1"/>
  <c r="L220" i="5" s="1"/>
  <c r="L223" i="5" s="1"/>
  <c r="M220" i="5" s="1"/>
  <c r="M223" i="5" s="1"/>
  <c r="N152" i="5"/>
  <c r="N155" i="5" s="1"/>
  <c r="M338" i="7"/>
  <c r="L338" i="7"/>
  <c r="N417" i="7"/>
  <c r="N117" i="5"/>
  <c r="G327" i="5"/>
  <c r="G328" i="7" l="1"/>
  <c r="N119" i="5"/>
  <c r="M295" i="5"/>
  <c r="M313" i="5"/>
  <c r="M304" i="5"/>
  <c r="M242" i="5"/>
  <c r="M250" i="5" s="1"/>
  <c r="J242" i="7"/>
  <c r="J250" i="7" s="1"/>
  <c r="J253" i="7" s="1"/>
  <c r="L313" i="7"/>
  <c r="L304" i="7"/>
  <c r="J313" i="7"/>
  <c r="L242" i="7"/>
  <c r="L250" i="7" s="1"/>
  <c r="L262" i="7" s="1"/>
  <c r="I292" i="5"/>
  <c r="I295" i="5" s="1"/>
  <c r="J313" i="5"/>
  <c r="J304" i="5"/>
  <c r="L313" i="5"/>
  <c r="K295" i="5"/>
  <c r="K285" i="5" s="1"/>
  <c r="K304" i="5"/>
  <c r="L295" i="5"/>
  <c r="L285" i="5" s="1"/>
  <c r="M304" i="7"/>
  <c r="M313" i="7"/>
  <c r="M242" i="7"/>
  <c r="M250" i="7" s="1"/>
  <c r="M262" i="7" s="1"/>
  <c r="J250" i="5"/>
  <c r="J271" i="5" s="1"/>
  <c r="I250" i="5"/>
  <c r="K250" i="5"/>
  <c r="K271" i="5" s="1"/>
  <c r="L250" i="5"/>
  <c r="L262" i="5" s="1"/>
  <c r="J295" i="7"/>
  <c r="J285" i="7" s="1"/>
  <c r="R293" i="7"/>
  <c r="S293" i="7" s="1"/>
  <c r="P293" i="5" s="1"/>
  <c r="R251" i="7"/>
  <c r="S251" i="7" s="1"/>
  <c r="P251" i="5" s="1"/>
  <c r="N121" i="5"/>
  <c r="N123" i="5" s="1"/>
  <c r="N119" i="7"/>
  <c r="K242" i="7"/>
  <c r="K250" i="7" s="1"/>
  <c r="K262" i="7" s="1"/>
  <c r="S344" i="7"/>
  <c r="P344" i="5" s="1"/>
  <c r="R284" i="7"/>
  <c r="S284" i="7" s="1"/>
  <c r="P284" i="5" s="1"/>
  <c r="K304" i="7"/>
  <c r="K295" i="7"/>
  <c r="K298" i="7" s="1"/>
  <c r="I242" i="7"/>
  <c r="I292" i="7"/>
  <c r="I304" i="7" s="1"/>
  <c r="S230" i="7"/>
  <c r="D230" i="5" s="1"/>
  <c r="L298" i="7"/>
  <c r="L285" i="7"/>
  <c r="N338" i="7"/>
  <c r="R338" i="7" s="1"/>
  <c r="L349" i="7"/>
  <c r="M349" i="7"/>
  <c r="J285" i="5"/>
  <c r="J298" i="5"/>
  <c r="M285" i="5"/>
  <c r="M298" i="5"/>
  <c r="G328" i="5"/>
  <c r="Q417" i="7"/>
  <c r="N421" i="7"/>
  <c r="R421" i="7" s="1"/>
  <c r="R417" i="7"/>
  <c r="N327" i="7"/>
  <c r="M298" i="7"/>
  <c r="M285" i="7"/>
  <c r="M262" i="5" l="1"/>
  <c r="M271" i="5"/>
  <c r="M253" i="5"/>
  <c r="J262" i="7"/>
  <c r="J271" i="7"/>
  <c r="I304" i="5"/>
  <c r="L253" i="7"/>
  <c r="L256" i="7" s="1"/>
  <c r="L271" i="7"/>
  <c r="I313" i="5"/>
  <c r="L298" i="5"/>
  <c r="M271" i="7"/>
  <c r="M253" i="7"/>
  <c r="M256" i="7" s="1"/>
  <c r="K298" i="5"/>
  <c r="Q242" i="7"/>
  <c r="N329" i="7"/>
  <c r="J298" i="7"/>
  <c r="J262" i="5"/>
  <c r="J253" i="5"/>
  <c r="J256" i="5" s="1"/>
  <c r="L253" i="5"/>
  <c r="L243" i="5" s="1"/>
  <c r="L271" i="5"/>
  <c r="K253" i="5"/>
  <c r="K256" i="5" s="1"/>
  <c r="K262" i="5"/>
  <c r="K271" i="7"/>
  <c r="K253" i="7"/>
  <c r="K243" i="7" s="1"/>
  <c r="R242" i="7"/>
  <c r="I295" i="7"/>
  <c r="I285" i="7" s="1"/>
  <c r="I313" i="7"/>
  <c r="K285" i="7"/>
  <c r="I250" i="7"/>
  <c r="I271" i="7" s="1"/>
  <c r="S417" i="7"/>
  <c r="P417" i="5" s="1"/>
  <c r="Q338" i="7"/>
  <c r="N349" i="7"/>
  <c r="R349" i="7" s="1"/>
  <c r="S313" i="7"/>
  <c r="D313" i="5" s="1"/>
  <c r="J256" i="7"/>
  <c r="J243" i="7"/>
  <c r="I253" i="5"/>
  <c r="I262" i="5"/>
  <c r="I271" i="5"/>
  <c r="M256" i="5"/>
  <c r="M243" i="5"/>
  <c r="I285" i="5"/>
  <c r="I298" i="5"/>
  <c r="Q349" i="7"/>
  <c r="N343" i="7"/>
  <c r="N428" i="7"/>
  <c r="N435" i="7" s="1"/>
  <c r="M441" i="7" s="1"/>
  <c r="N328" i="7"/>
  <c r="N121" i="7"/>
  <c r="L243" i="7" l="1"/>
  <c r="M243" i="7"/>
  <c r="L256" i="5"/>
  <c r="S242" i="7"/>
  <c r="P242" i="5" s="1"/>
  <c r="J243" i="5"/>
  <c r="N336" i="7"/>
  <c r="K243" i="5"/>
  <c r="I298" i="7"/>
  <c r="I305" i="7" s="1"/>
  <c r="K256" i="7"/>
  <c r="I253" i="7"/>
  <c r="I243" i="7" s="1"/>
  <c r="I262" i="7"/>
  <c r="S349" i="7"/>
  <c r="P349" i="5" s="1"/>
  <c r="S338" i="7"/>
  <c r="P338" i="5" s="1"/>
  <c r="I256" i="5"/>
  <c r="I243" i="5"/>
  <c r="I305" i="5"/>
  <c r="M394" i="7" l="1"/>
  <c r="S271" i="7"/>
  <c r="D271" i="5" s="1"/>
  <c r="N347" i="7"/>
  <c r="I256" i="7"/>
  <c r="I263" i="7" s="1"/>
  <c r="I257" i="7" s="1"/>
  <c r="I258" i="7" s="1"/>
  <c r="I269" i="7" s="1"/>
  <c r="I270" i="7" s="1"/>
  <c r="I263" i="5"/>
  <c r="I299" i="7"/>
  <c r="I300" i="7" s="1"/>
  <c r="I311" i="7" s="1"/>
  <c r="I312" i="7" s="1"/>
  <c r="I306" i="7"/>
  <c r="J303" i="7" s="1"/>
  <c r="I299" i="5"/>
  <c r="I300" i="5" s="1"/>
  <c r="I311" i="5" s="1"/>
  <c r="I306" i="5"/>
  <c r="J303" i="5" s="1"/>
  <c r="I264" i="7" l="1"/>
  <c r="J261" i="7" s="1"/>
  <c r="J263" i="7" s="1"/>
  <c r="J257" i="7" s="1"/>
  <c r="J258" i="7" s="1"/>
  <c r="J269" i="7" s="1"/>
  <c r="J270" i="7" s="1"/>
  <c r="I257" i="5"/>
  <c r="I258" i="5" s="1"/>
  <c r="I269" i="5" s="1"/>
  <c r="I119" i="5" s="1"/>
  <c r="I264" i="5"/>
  <c r="J261" i="5" s="1"/>
  <c r="J263" i="5" s="1"/>
  <c r="J257" i="5" s="1"/>
  <c r="J258" i="5" s="1"/>
  <c r="J269" i="5" s="1"/>
  <c r="J119" i="5" s="1"/>
  <c r="J305" i="5"/>
  <c r="J299" i="5" s="1"/>
  <c r="J300" i="5" s="1"/>
  <c r="J311" i="5" s="1"/>
  <c r="I312" i="5"/>
  <c r="I327" i="7"/>
  <c r="J305" i="7"/>
  <c r="J299" i="7" s="1"/>
  <c r="J300" i="7" s="1"/>
  <c r="J311" i="7" s="1"/>
  <c r="J312" i="7" s="1"/>
  <c r="I339" i="7" l="1"/>
  <c r="J119" i="7"/>
  <c r="J270" i="5"/>
  <c r="J120" i="5" s="1"/>
  <c r="J328" i="7"/>
  <c r="J306" i="7"/>
  <c r="K303" i="7" s="1"/>
  <c r="J264" i="5"/>
  <c r="K261" i="5" s="1"/>
  <c r="K263" i="5" s="1"/>
  <c r="K257" i="5" s="1"/>
  <c r="K258" i="5" s="1"/>
  <c r="K269" i="5" s="1"/>
  <c r="K119" i="5" s="1"/>
  <c r="I270" i="5"/>
  <c r="I120" i="5" s="1"/>
  <c r="I119" i="7"/>
  <c r="I328" i="7"/>
  <c r="I336" i="7"/>
  <c r="J306" i="5"/>
  <c r="K303" i="5" s="1"/>
  <c r="J312" i="5"/>
  <c r="J327" i="7"/>
  <c r="J264" i="7"/>
  <c r="K261" i="7" s="1"/>
  <c r="J339" i="7" l="1"/>
  <c r="J329" i="7"/>
  <c r="I329" i="7"/>
  <c r="J121" i="5"/>
  <c r="J123" i="5" s="1"/>
  <c r="J120" i="7"/>
  <c r="J121" i="7" s="1"/>
  <c r="K305" i="7"/>
  <c r="K299" i="7" s="1"/>
  <c r="K300" i="7" s="1"/>
  <c r="K311" i="7" s="1"/>
  <c r="K312" i="7" s="1"/>
  <c r="I120" i="7"/>
  <c r="I121" i="7" s="1"/>
  <c r="K119" i="7"/>
  <c r="K328" i="7"/>
  <c r="K270" i="5"/>
  <c r="K120" i="5" s="1"/>
  <c r="K263" i="7"/>
  <c r="K257" i="7" s="1"/>
  <c r="K258" i="7" s="1"/>
  <c r="K269" i="7" s="1"/>
  <c r="K270" i="7" s="1"/>
  <c r="K305" i="5"/>
  <c r="K299" i="5" s="1"/>
  <c r="K300" i="5" s="1"/>
  <c r="K311" i="5" s="1"/>
  <c r="K264" i="5"/>
  <c r="L261" i="5" s="1"/>
  <c r="J336" i="7"/>
  <c r="K329" i="7" l="1"/>
  <c r="I347" i="7"/>
  <c r="J345" i="7"/>
  <c r="J343" i="7"/>
  <c r="K306" i="7"/>
  <c r="L303" i="7" s="1"/>
  <c r="K264" i="7"/>
  <c r="L261" i="7" s="1"/>
  <c r="L263" i="7" s="1"/>
  <c r="L257" i="7" s="1"/>
  <c r="L258" i="7" s="1"/>
  <c r="L269" i="7" s="1"/>
  <c r="L270" i="7" s="1"/>
  <c r="I345" i="7"/>
  <c r="I121" i="5"/>
  <c r="I123" i="5" s="1"/>
  <c r="L263" i="5"/>
  <c r="L257" i="5" s="1"/>
  <c r="L258" i="5" s="1"/>
  <c r="L269" i="5" s="1"/>
  <c r="L119" i="5" s="1"/>
  <c r="K306" i="5"/>
  <c r="L303" i="5" s="1"/>
  <c r="K312" i="5"/>
  <c r="K327" i="7"/>
  <c r="K121" i="5"/>
  <c r="K123" i="5" s="1"/>
  <c r="K120" i="7"/>
  <c r="K121" i="7" s="1"/>
  <c r="J347" i="7"/>
  <c r="K350" i="7" l="1"/>
  <c r="J350" i="7"/>
  <c r="J416" i="7" s="1"/>
  <c r="K339" i="7"/>
  <c r="L305" i="7"/>
  <c r="L299" i="7" s="1"/>
  <c r="L300" i="7" s="1"/>
  <c r="L311" i="7" s="1"/>
  <c r="L312" i="7" s="1"/>
  <c r="L264" i="5"/>
  <c r="M261" i="5" s="1"/>
  <c r="M263" i="5" s="1"/>
  <c r="M257" i="5" s="1"/>
  <c r="M258" i="5" s="1"/>
  <c r="M269" i="5" s="1"/>
  <c r="M119" i="5" s="1"/>
  <c r="I343" i="7"/>
  <c r="K343" i="7"/>
  <c r="L119" i="7"/>
  <c r="L328" i="7"/>
  <c r="L270" i="5"/>
  <c r="L120" i="5" s="1"/>
  <c r="K345" i="7"/>
  <c r="K336" i="7"/>
  <c r="L264" i="7"/>
  <c r="M261" i="7" s="1"/>
  <c r="L305" i="5"/>
  <c r="L299" i="5" s="1"/>
  <c r="L300" i="5" s="1"/>
  <c r="L311" i="5" s="1"/>
  <c r="K389" i="7" l="1"/>
  <c r="K382" i="7"/>
  <c r="K375" i="7"/>
  <c r="I350" i="7"/>
  <c r="I353" i="7" s="1"/>
  <c r="J353" i="5"/>
  <c r="J369" i="7"/>
  <c r="I416" i="5"/>
  <c r="I353" i="5"/>
  <c r="Q328" i="7"/>
  <c r="L329" i="7"/>
  <c r="J353" i="7"/>
  <c r="I369" i="7"/>
  <c r="L306" i="7"/>
  <c r="M303" i="7" s="1"/>
  <c r="K347" i="7"/>
  <c r="K416" i="7" s="1"/>
  <c r="M264" i="5"/>
  <c r="D246" i="5" s="1"/>
  <c r="M19" i="2" s="1"/>
  <c r="L120" i="7"/>
  <c r="L121" i="7" s="1"/>
  <c r="M119" i="7"/>
  <c r="R119" i="7" s="1"/>
  <c r="M328" i="7"/>
  <c r="R328" i="7" s="1"/>
  <c r="M270" i="5"/>
  <c r="M120" i="5" s="1"/>
  <c r="L312" i="5"/>
  <c r="L327" i="7"/>
  <c r="L306" i="5"/>
  <c r="M303" i="5" s="1"/>
  <c r="J373" i="7"/>
  <c r="M263" i="7"/>
  <c r="M257" i="7" s="1"/>
  <c r="M258" i="7" s="1"/>
  <c r="M269" i="7" s="1"/>
  <c r="M270" i="7" s="1"/>
  <c r="I416" i="7" l="1"/>
  <c r="J416" i="5"/>
  <c r="I373" i="7"/>
  <c r="I420" i="7"/>
  <c r="L339" i="7"/>
  <c r="S328" i="7"/>
  <c r="P328" i="5" s="1"/>
  <c r="M305" i="7"/>
  <c r="M299" i="7" s="1"/>
  <c r="M300" i="7" s="1"/>
  <c r="M311" i="7" s="1"/>
  <c r="M312" i="7" s="1"/>
  <c r="M264" i="7"/>
  <c r="D246" i="7" s="1"/>
  <c r="J380" i="7"/>
  <c r="M120" i="7"/>
  <c r="R120" i="7" s="1"/>
  <c r="K353" i="5"/>
  <c r="I427" i="5"/>
  <c r="M305" i="5"/>
  <c r="M299" i="5" s="1"/>
  <c r="M300" i="5" s="1"/>
  <c r="M311" i="5" s="1"/>
  <c r="L345" i="7"/>
  <c r="K369" i="7"/>
  <c r="K416" i="5"/>
  <c r="L336" i="7"/>
  <c r="Q119" i="7"/>
  <c r="L121" i="5"/>
  <c r="L123" i="5" s="1"/>
  <c r="K353" i="7"/>
  <c r="J422" i="7" l="1"/>
  <c r="I422" i="7"/>
  <c r="I380" i="7"/>
  <c r="J427" i="5"/>
  <c r="J429" i="5" s="1"/>
  <c r="L389" i="7"/>
  <c r="J389" i="7"/>
  <c r="L382" i="7"/>
  <c r="I382" i="7"/>
  <c r="J382" i="7"/>
  <c r="L375" i="7"/>
  <c r="I375" i="7"/>
  <c r="J420" i="7"/>
  <c r="J375" i="7"/>
  <c r="J387" i="7"/>
  <c r="L350" i="7"/>
  <c r="I427" i="7"/>
  <c r="I434" i="7" s="1"/>
  <c r="I436" i="7" s="1"/>
  <c r="M121" i="5"/>
  <c r="M123" i="5" s="1"/>
  <c r="M329" i="7"/>
  <c r="S119" i="7"/>
  <c r="M121" i="7"/>
  <c r="M306" i="7"/>
  <c r="D288" i="7" s="1"/>
  <c r="M306" i="5"/>
  <c r="D288" i="5" s="1"/>
  <c r="M20" i="2" s="1"/>
  <c r="L347" i="7"/>
  <c r="I434" i="5"/>
  <c r="I429" i="5"/>
  <c r="K420" i="7"/>
  <c r="I387" i="7"/>
  <c r="K373" i="7"/>
  <c r="M345" i="7"/>
  <c r="R345" i="7" s="1"/>
  <c r="Q345" i="7"/>
  <c r="Q120" i="7"/>
  <c r="M312" i="5"/>
  <c r="M327" i="7"/>
  <c r="R327" i="7" s="1"/>
  <c r="L343" i="7"/>
  <c r="K422" i="7" l="1"/>
  <c r="J434" i="5"/>
  <c r="J436" i="5" s="1"/>
  <c r="I389" i="7"/>
  <c r="J427" i="7"/>
  <c r="J429" i="7" s="1"/>
  <c r="M343" i="7"/>
  <c r="R343" i="7" s="1"/>
  <c r="I429" i="7"/>
  <c r="N350" i="7"/>
  <c r="N416" i="7" s="1"/>
  <c r="N353" i="5"/>
  <c r="N339" i="7"/>
  <c r="M339" i="7"/>
  <c r="S345" i="7"/>
  <c r="P345" i="5" s="1"/>
  <c r="S120" i="7"/>
  <c r="P120" i="5" s="1"/>
  <c r="K427" i="5"/>
  <c r="I436" i="5"/>
  <c r="K380" i="7"/>
  <c r="M336" i="7"/>
  <c r="Q327" i="7"/>
  <c r="K427" i="7"/>
  <c r="R329" i="7"/>
  <c r="P119" i="5"/>
  <c r="Q343" i="7"/>
  <c r="J434" i="7" l="1"/>
  <c r="J436" i="7" s="1"/>
  <c r="M350" i="7"/>
  <c r="N353" i="7"/>
  <c r="N416" i="5"/>
  <c r="N369" i="7"/>
  <c r="S343" i="7"/>
  <c r="P343" i="5" s="1"/>
  <c r="S327" i="7"/>
  <c r="P327" i="5" s="1"/>
  <c r="L369" i="7"/>
  <c r="L416" i="5"/>
  <c r="K387" i="7"/>
  <c r="M347" i="7"/>
  <c r="Q329" i="7"/>
  <c r="K429" i="5"/>
  <c r="K434" i="5"/>
  <c r="L353" i="5"/>
  <c r="K434" i="7"/>
  <c r="K436" i="7" s="1"/>
  <c r="K429" i="7"/>
  <c r="R336" i="7"/>
  <c r="L353" i="7"/>
  <c r="L416" i="7"/>
  <c r="Q336" i="7"/>
  <c r="L422" i="7" l="1"/>
  <c r="N420" i="7"/>
  <c r="M374" i="7"/>
  <c r="R374" i="7" s="1"/>
  <c r="S336" i="7"/>
  <c r="P336" i="5" s="1"/>
  <c r="S329" i="7"/>
  <c r="P329" i="5" s="1"/>
  <c r="K436" i="5"/>
  <c r="Q339" i="7"/>
  <c r="R347" i="7"/>
  <c r="Q347" i="7"/>
  <c r="L373" i="7"/>
  <c r="L420" i="7"/>
  <c r="R339" i="7"/>
  <c r="N428" i="5" l="1"/>
  <c r="N435" i="5" s="1"/>
  <c r="M441" i="5" s="1"/>
  <c r="Q421" i="7"/>
  <c r="S421" i="7" s="1"/>
  <c r="P421" i="5" s="1"/>
  <c r="M375" i="7"/>
  <c r="M382" i="7"/>
  <c r="M381" i="7"/>
  <c r="R381" i="7" s="1"/>
  <c r="Q374" i="7"/>
  <c r="S374" i="7" s="1"/>
  <c r="P374" i="5" s="1"/>
  <c r="N427" i="7"/>
  <c r="S347" i="7"/>
  <c r="P347" i="5" s="1"/>
  <c r="S339" i="7"/>
  <c r="P339" i="5" s="1"/>
  <c r="L380" i="7"/>
  <c r="M369" i="7"/>
  <c r="R369" i="7" s="1"/>
  <c r="M416" i="5"/>
  <c r="Q350" i="7"/>
  <c r="R350" i="7"/>
  <c r="M416" i="7"/>
  <c r="M353" i="7"/>
  <c r="L427" i="5"/>
  <c r="M353" i="5"/>
  <c r="M21" i="2" s="1"/>
  <c r="L427" i="7"/>
  <c r="M422" i="7" l="1"/>
  <c r="N422" i="7"/>
  <c r="M393" i="7"/>
  <c r="N434" i="7"/>
  <c r="N436" i="7" s="1"/>
  <c r="N429" i="7"/>
  <c r="M389" i="7"/>
  <c r="M388" i="7"/>
  <c r="R388" i="7" s="1"/>
  <c r="Q381" i="7"/>
  <c r="S381" i="7" s="1"/>
  <c r="P381" i="5" s="1"/>
  <c r="S350" i="7"/>
  <c r="P350" i="5" s="1"/>
  <c r="L429" i="5"/>
  <c r="L434" i="5"/>
  <c r="M373" i="7"/>
  <c r="Q369" i="7"/>
  <c r="M420" i="7"/>
  <c r="L387" i="7"/>
  <c r="L434" i="7"/>
  <c r="L429" i="7"/>
  <c r="H14" i="8" l="1"/>
  <c r="AF14" i="8" s="1"/>
  <c r="AA14" i="8"/>
  <c r="AC14" i="8" s="1"/>
  <c r="AC18" i="8" s="1"/>
  <c r="G17" i="3" s="1"/>
  <c r="N427" i="5"/>
  <c r="Q422" i="7"/>
  <c r="F13" i="8"/>
  <c r="M395" i="7"/>
  <c r="Q388" i="7"/>
  <c r="S388" i="7" s="1"/>
  <c r="P388" i="5" s="1"/>
  <c r="H399" i="7"/>
  <c r="S353" i="7"/>
  <c r="D353" i="5" s="1"/>
  <c r="S369" i="7"/>
  <c r="P369" i="5" s="1"/>
  <c r="L436" i="7"/>
  <c r="M427" i="5"/>
  <c r="Q420" i="7"/>
  <c r="M380" i="7"/>
  <c r="Q375" i="7"/>
  <c r="Q373" i="7"/>
  <c r="M427" i="7"/>
  <c r="R422" i="7"/>
  <c r="R420" i="7"/>
  <c r="R375" i="7"/>
  <c r="R373" i="7"/>
  <c r="L436" i="5"/>
  <c r="H401" i="7" l="1"/>
  <c r="AE14" i="8"/>
  <c r="AG14" i="8" s="1"/>
  <c r="AG18" i="8" s="1"/>
  <c r="H17" i="3" s="1"/>
  <c r="N434" i="5"/>
  <c r="N436" i="5" s="1"/>
  <c r="H440" i="5" s="1"/>
  <c r="N429" i="5"/>
  <c r="H441" i="5" s="1"/>
  <c r="S422" i="7"/>
  <c r="P422" i="5" s="1"/>
  <c r="S420" i="7"/>
  <c r="P420" i="5" s="1"/>
  <c r="S373" i="7"/>
  <c r="P373" i="5" s="1"/>
  <c r="S375" i="7"/>
  <c r="P375" i="5" s="1"/>
  <c r="M429" i="7"/>
  <c r="M434" i="7"/>
  <c r="R380" i="7"/>
  <c r="R382" i="7"/>
  <c r="M387" i="7"/>
  <c r="Q380" i="7"/>
  <c r="M429" i="5"/>
  <c r="M434" i="5"/>
  <c r="S380" i="7" l="1"/>
  <c r="P380" i="5" s="1"/>
  <c r="M436" i="5"/>
  <c r="M440" i="5"/>
  <c r="H441" i="7"/>
  <c r="R441" i="7" s="1"/>
  <c r="H394" i="7"/>
  <c r="Q382" i="7"/>
  <c r="Q387" i="7"/>
  <c r="R389" i="7"/>
  <c r="R387" i="7"/>
  <c r="M436" i="7"/>
  <c r="M440" i="7"/>
  <c r="M442" i="7" s="1"/>
  <c r="R394" i="7" l="1"/>
  <c r="X11" i="8"/>
  <c r="S387" i="7"/>
  <c r="P387" i="5" s="1"/>
  <c r="S382" i="7"/>
  <c r="P382" i="5" s="1"/>
  <c r="L440" i="7"/>
  <c r="L442" i="7"/>
  <c r="L441" i="7"/>
  <c r="S21" i="8"/>
  <c r="Q394" i="7"/>
  <c r="Q441" i="7"/>
  <c r="S441" i="7" s="1"/>
  <c r="H446" i="5"/>
  <c r="Q393" i="7"/>
  <c r="H393" i="7"/>
  <c r="R393" i="7" s="1"/>
  <c r="Q389" i="7"/>
  <c r="H446" i="7"/>
  <c r="M442" i="5"/>
  <c r="L440" i="5" s="1"/>
  <c r="H440" i="7"/>
  <c r="R440" i="7" s="1"/>
  <c r="Q440" i="7"/>
  <c r="F57" i="8" l="1"/>
  <c r="X55" i="8" s="1"/>
  <c r="C67" i="8"/>
  <c r="T65" i="8" s="1"/>
  <c r="S440" i="7"/>
  <c r="I440" i="5" s="1"/>
  <c r="S393" i="7"/>
  <c r="I393" i="5" s="1"/>
  <c r="S394" i="7"/>
  <c r="I394" i="5" s="1"/>
  <c r="S389" i="7"/>
  <c r="P389" i="5" s="1"/>
  <c r="W55" i="8"/>
  <c r="S65" i="8"/>
  <c r="H448" i="5"/>
  <c r="M446" i="5" s="1"/>
  <c r="M448" i="5" s="1"/>
  <c r="H448" i="7"/>
  <c r="M446" i="7" s="1"/>
  <c r="M448" i="7" s="1"/>
  <c r="I441" i="5"/>
  <c r="C23" i="8"/>
  <c r="T21" i="8" s="1"/>
  <c r="U21" i="8" s="1"/>
  <c r="R401" i="7"/>
  <c r="R399" i="7"/>
  <c r="W11" i="8"/>
  <c r="Q399" i="7"/>
  <c r="L442" i="5"/>
  <c r="L441" i="5"/>
  <c r="U65" i="8" l="1"/>
  <c r="B67" i="3" s="1"/>
  <c r="S399" i="7"/>
  <c r="B23" i="3"/>
  <c r="Y55" i="8"/>
  <c r="Y11" i="8"/>
  <c r="S43" i="8" s="1"/>
  <c r="D43" i="3" s="1"/>
  <c r="S448" i="7"/>
  <c r="B451" i="5" s="1"/>
  <c r="Q401" i="7"/>
  <c r="S401" i="7" s="1"/>
  <c r="I401" i="5" s="1"/>
  <c r="M399" i="7"/>
  <c r="V399" i="7" s="1"/>
  <c r="E57" i="3" l="1"/>
  <c r="S87" i="8"/>
  <c r="D87" i="3" s="1"/>
  <c r="E13" i="3"/>
  <c r="U401" i="7"/>
  <c r="M401" i="7"/>
  <c r="V401" i="7" s="1"/>
  <c r="U399" i="7"/>
  <c r="W399" i="7" s="1"/>
  <c r="W401" i="7" l="1"/>
  <c r="P401" i="5" s="1"/>
  <c r="P399" i="5"/>
  <c r="I399" i="5"/>
  <c r="U393" i="7"/>
  <c r="U394" i="7"/>
  <c r="U395" i="7"/>
  <c r="L393" i="7"/>
  <c r="V393" i="7" s="1"/>
  <c r="L394" i="7"/>
  <c r="V394" i="7" s="1"/>
  <c r="L395" i="7"/>
  <c r="V395" i="7" s="1"/>
  <c r="W395" i="7" l="1"/>
  <c r="P395" i="5" s="1"/>
  <c r="W394" i="7"/>
  <c r="P394" i="5" s="1"/>
  <c r="W393" i="7"/>
  <c r="P393" i="5" s="1"/>
  <c r="S404" i="7" l="1"/>
  <c r="D404" i="5" s="1"/>
  <c r="I16" i="5" l="1"/>
  <c r="I18" i="5" s="1"/>
  <c r="I43" i="5" s="1"/>
  <c r="Q14" i="7"/>
  <c r="S14" i="7" s="1"/>
  <c r="J16" i="5" l="1"/>
  <c r="I26" i="5"/>
  <c r="I27" i="5" s="1"/>
  <c r="I38" i="5" s="1"/>
  <c r="S43" i="7"/>
  <c r="D43" i="5" s="1"/>
  <c r="P14" i="5"/>
  <c r="I52" i="5"/>
  <c r="I40" i="5"/>
  <c r="I103" i="7" s="1"/>
  <c r="K16" i="5" l="1"/>
  <c r="J26" i="5"/>
  <c r="J27" i="5" s="1"/>
  <c r="J38" i="5" s="1"/>
  <c r="J18" i="5"/>
  <c r="J43" i="5" s="1"/>
  <c r="I133" i="7"/>
  <c r="I144" i="7" s="1"/>
  <c r="I62" i="5"/>
  <c r="I70" i="5"/>
  <c r="I64" i="5"/>
  <c r="I63" i="5"/>
  <c r="I71" i="5"/>
  <c r="I72" i="5"/>
  <c r="J52" i="5" l="1"/>
  <c r="J40" i="5"/>
  <c r="J103" i="7" s="1"/>
  <c r="J133" i="7" s="1"/>
  <c r="J144" i="7" s="1"/>
  <c r="K18" i="5"/>
  <c r="K43" i="5" s="1"/>
  <c r="K26" i="5"/>
  <c r="K27" i="5" s="1"/>
  <c r="K38" i="5" s="1"/>
  <c r="L16" i="5"/>
  <c r="I73" i="5"/>
  <c r="I84" i="5" s="1"/>
  <c r="I85" i="5" s="1"/>
  <c r="I65" i="5"/>
  <c r="I87" i="5" s="1"/>
  <c r="I89" i="5" s="1"/>
  <c r="I104" i="7" s="1"/>
  <c r="L18" i="5" l="1"/>
  <c r="L43" i="5" s="1"/>
  <c r="L26" i="5"/>
  <c r="L27" i="5" s="1"/>
  <c r="L38" i="5" s="1"/>
  <c r="M16" i="5"/>
  <c r="K40" i="5"/>
  <c r="K103" i="7" s="1"/>
  <c r="K133" i="7" s="1"/>
  <c r="K144" i="7" s="1"/>
  <c r="K52" i="5"/>
  <c r="J64" i="5"/>
  <c r="J72" i="5"/>
  <c r="J63" i="5"/>
  <c r="J71" i="5"/>
  <c r="J62" i="5"/>
  <c r="J70" i="5"/>
  <c r="I134" i="7"/>
  <c r="I105" i="7"/>
  <c r="I110" i="7" s="1"/>
  <c r="I114" i="7" s="1"/>
  <c r="I117" i="7" s="1"/>
  <c r="I123" i="7" s="1"/>
  <c r="K63" i="5" l="1"/>
  <c r="K71" i="5"/>
  <c r="K62" i="5"/>
  <c r="K64" i="5"/>
  <c r="K72" i="5"/>
  <c r="K70" i="5"/>
  <c r="K73" i="5" s="1"/>
  <c r="K84" i="5" s="1"/>
  <c r="K85" i="5" s="1"/>
  <c r="M26" i="5"/>
  <c r="M27" i="5" s="1"/>
  <c r="M38" i="5" s="1"/>
  <c r="M18" i="5"/>
  <c r="M43" i="5" s="1"/>
  <c r="N16" i="5"/>
  <c r="J65" i="5"/>
  <c r="J87" i="5" s="1"/>
  <c r="J89" i="5" s="1"/>
  <c r="J104" i="7" s="1"/>
  <c r="L40" i="5"/>
  <c r="L103" i="7" s="1"/>
  <c r="L133" i="7" s="1"/>
  <c r="L144" i="7" s="1"/>
  <c r="L52" i="5"/>
  <c r="J73" i="5"/>
  <c r="J84" i="5" s="1"/>
  <c r="J85" i="5" s="1"/>
  <c r="I146" i="7"/>
  <c r="I151" i="7" s="1"/>
  <c r="I145" i="7"/>
  <c r="I150" i="7" s="1"/>
  <c r="L64" i="5" l="1"/>
  <c r="L72" i="5"/>
  <c r="L63" i="5"/>
  <c r="L71" i="5"/>
  <c r="L70" i="5"/>
  <c r="L73" i="5" s="1"/>
  <c r="L84" i="5" s="1"/>
  <c r="L85" i="5" s="1"/>
  <c r="L62" i="5"/>
  <c r="L65" i="5" s="1"/>
  <c r="L87" i="5" s="1"/>
  <c r="L89" i="5" s="1"/>
  <c r="L104" i="7" s="1"/>
  <c r="L134" i="7" s="1"/>
  <c r="K65" i="5"/>
  <c r="K87" i="5" s="1"/>
  <c r="K89" i="5" s="1"/>
  <c r="K104" i="7" s="1"/>
  <c r="M40" i="5"/>
  <c r="M103" i="7" s="1"/>
  <c r="M133" i="7" s="1"/>
  <c r="M144" i="7" s="1"/>
  <c r="M52" i="5"/>
  <c r="J134" i="7"/>
  <c r="J105" i="7"/>
  <c r="J110" i="7" s="1"/>
  <c r="J114" i="7" s="1"/>
  <c r="J117" i="7" s="1"/>
  <c r="J123" i="7" s="1"/>
  <c r="N26" i="5"/>
  <c r="N27" i="5" s="1"/>
  <c r="N38" i="5" s="1"/>
  <c r="N18" i="5"/>
  <c r="N43" i="5" s="1"/>
  <c r="M18" i="2" s="1"/>
  <c r="I152" i="7"/>
  <c r="K134" i="7" l="1"/>
  <c r="K105" i="7"/>
  <c r="K110" i="7" s="1"/>
  <c r="K114" i="7" s="1"/>
  <c r="K117" i="7" s="1"/>
  <c r="K123" i="7" s="1"/>
  <c r="N52" i="5"/>
  <c r="N40" i="5"/>
  <c r="N103" i="7" s="1"/>
  <c r="J145" i="7"/>
  <c r="J150" i="7" s="1"/>
  <c r="J146" i="7"/>
  <c r="J151" i="7" s="1"/>
  <c r="L105" i="7"/>
  <c r="L110" i="7" s="1"/>
  <c r="L114" i="7" s="1"/>
  <c r="L117" i="7" s="1"/>
  <c r="L123" i="7" s="1"/>
  <c r="M71" i="5"/>
  <c r="M62" i="5"/>
  <c r="M64" i="5"/>
  <c r="M70" i="5"/>
  <c r="M72" i="5"/>
  <c r="M63" i="5"/>
  <c r="I155" i="7"/>
  <c r="L146" i="7"/>
  <c r="L151" i="7" s="1"/>
  <c r="L145" i="7"/>
  <c r="L150" i="7" s="1"/>
  <c r="L152" i="7" s="1"/>
  <c r="J152" i="7" l="1"/>
  <c r="N63" i="5"/>
  <c r="N62" i="5"/>
  <c r="N71" i="5"/>
  <c r="N72" i="5"/>
  <c r="N70" i="5"/>
  <c r="N64" i="5"/>
  <c r="R103" i="7"/>
  <c r="S103" i="7" s="1"/>
  <c r="N133" i="7"/>
  <c r="N144" i="7" s="1"/>
  <c r="M73" i="5"/>
  <c r="M84" i="5" s="1"/>
  <c r="M85" i="5" s="1"/>
  <c r="M65" i="5"/>
  <c r="M87" i="5" s="1"/>
  <c r="M89" i="5" s="1"/>
  <c r="M104" i="7" s="1"/>
  <c r="K146" i="7"/>
  <c r="K151" i="7" s="1"/>
  <c r="K145" i="7"/>
  <c r="K150" i="7" s="1"/>
  <c r="P103" i="5" l="1"/>
  <c r="M134" i="7"/>
  <c r="M105" i="7"/>
  <c r="M110" i="7" s="1"/>
  <c r="M114" i="7" s="1"/>
  <c r="M117" i="7" s="1"/>
  <c r="M123" i="7" s="1"/>
  <c r="N73" i="5"/>
  <c r="N84" i="5" s="1"/>
  <c r="N85" i="5" s="1"/>
  <c r="K152" i="7"/>
  <c r="L155" i="7" s="1"/>
  <c r="N65" i="5"/>
  <c r="N87" i="5" s="1"/>
  <c r="N89" i="5" s="1"/>
  <c r="N104" i="7" s="1"/>
  <c r="J155" i="7"/>
  <c r="N105" i="7" l="1"/>
  <c r="N110" i="7" s="1"/>
  <c r="N114" i="7" s="1"/>
  <c r="N117" i="7" s="1"/>
  <c r="N123" i="7" s="1"/>
  <c r="N134" i="7"/>
  <c r="K155" i="7"/>
  <c r="R104" i="7"/>
  <c r="S104" i="7" s="1"/>
  <c r="M145" i="7"/>
  <c r="M150" i="7" s="1"/>
  <c r="M146" i="7"/>
  <c r="M151" i="7" s="1"/>
  <c r="P104" i="5" l="1"/>
  <c r="S123" i="7"/>
  <c r="D123" i="5" s="1"/>
  <c r="N145" i="7"/>
  <c r="N150" i="7" s="1"/>
  <c r="N146" i="7"/>
  <c r="N151" i="7" s="1"/>
  <c r="M152" i="7"/>
  <c r="M155" i="7" s="1"/>
  <c r="N152" i="7" l="1"/>
  <c r="N155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<sst xmlns="http://schemas.openxmlformats.org/spreadsheetml/2006/main" count="1265" uniqueCount="280">
  <si>
    <t xml:space="preserve"> </t>
  </si>
  <si>
    <t>https://corporatefinanceinstitute.com/</t>
  </si>
  <si>
    <t>except in the case of certain noncommercial uses permitted by copyright law.</t>
  </si>
  <si>
    <t xml:space="preserve">form by any means, including photocopying, recording, or other electronic or mechanical methods, without prior written permission of the publisher, </t>
  </si>
  <si>
    <t>under international copyright and trademark laws.  No part of this publication may be modified, manipulated, reproduced, distributed, or transmitted in any</t>
  </si>
  <si>
    <t>All rights reserved.  The contents of this publication, including but not limited to all written material, content layout, images, formulas, and code, are protected</t>
  </si>
  <si>
    <t>This Excel model is for educational purposes only and should not be used for any other reason. All content is Copyright material of CFI Education Inc.</t>
  </si>
  <si>
    <t>© 2015 to 2024 CFI Education Inc.</t>
  </si>
  <si>
    <t>Two UFCF Methods Different?</t>
  </si>
  <si>
    <t>Unused Tax Losses Remaining? (Unlevered Schedule)</t>
  </si>
  <si>
    <t>Unused Tax Losses Remaining? (Levered Schedule)</t>
  </si>
  <si>
    <t>Model Exceeding Operational Capacity?</t>
  </si>
  <si>
    <t>Terminal Growth Rate Greater Than or Equal To WACC?</t>
  </si>
  <si>
    <t>Model</t>
  </si>
  <si>
    <t>Incorrect Date Set for First Cash Flow?</t>
  </si>
  <si>
    <t>Inputs</t>
  </si>
  <si>
    <t>Incorrect Date Set for Valuation?</t>
  </si>
  <si>
    <t>Outputs</t>
  </si>
  <si>
    <t>Model Checks</t>
  </si>
  <si>
    <t>Table of Contents</t>
  </si>
  <si>
    <t>Strictly Confidential</t>
  </si>
  <si>
    <t>DCF Valuation Modeling</t>
  </si>
  <si>
    <t xml:space="preserve">These tables require the workbook calculation to be set to automatic to update. </t>
  </si>
  <si>
    <t>WACC</t>
  </si>
  <si>
    <t>Terminal Multiple</t>
  </si>
  <si>
    <t>Premium (Discount) to Stock Price</t>
  </si>
  <si>
    <t>Equity Value</t>
  </si>
  <si>
    <t>Equity Value per Share</t>
  </si>
  <si>
    <r>
      <t xml:space="preserve">Enterprise Value </t>
    </r>
    <r>
      <rPr>
        <b/>
        <vertAlign val="superscript"/>
        <sz val="10"/>
        <color theme="1"/>
        <rFont val="Open Sans"/>
        <family val="2"/>
      </rPr>
      <t>1</t>
    </r>
  </si>
  <si>
    <t>(US$/sh)</t>
  </si>
  <si>
    <t>Current Stock Price</t>
  </si>
  <si>
    <t>(FD 000)</t>
  </si>
  <si>
    <t>Shares Outstanding</t>
  </si>
  <si>
    <t>Net Debt</t>
  </si>
  <si>
    <t>Per Share</t>
  </si>
  <si>
    <t>Value</t>
  </si>
  <si>
    <t>Equity</t>
  </si>
  <si>
    <t>Enterprise</t>
  </si>
  <si>
    <t>Selected Inputs</t>
  </si>
  <si>
    <r>
      <t xml:space="preserve">Main Outputs </t>
    </r>
    <r>
      <rPr>
        <b/>
        <vertAlign val="superscript"/>
        <sz val="10"/>
        <color theme="1"/>
        <rFont val="Open Sans"/>
        <family val="2"/>
      </rPr>
      <t>1</t>
    </r>
  </si>
  <si>
    <t>All figures in USD thousands unless stated</t>
  </si>
  <si>
    <t>Model Drivers Set To</t>
  </si>
  <si>
    <t>Dashboard: Multiple Method</t>
  </si>
  <si>
    <t>Terminal Growth Rate</t>
  </si>
  <si>
    <t>Worst Case</t>
  </si>
  <si>
    <t>Base Case</t>
  </si>
  <si>
    <t>Best Case</t>
  </si>
  <si>
    <t>Dashboard: Perpetuity Method</t>
  </si>
  <si>
    <t xml:space="preserve">The Terminal EBITDA multiple should reflect a 'steady-state' industry multiple. </t>
  </si>
  <si>
    <t>(Years)</t>
  </si>
  <si>
    <t>Useful Life: New Assets</t>
  </si>
  <si>
    <t>Terminal Growth Greater Than or Equal To WACC?</t>
  </si>
  <si>
    <t>Useful Life: Existing Assets</t>
  </si>
  <si>
    <t>Weighted Average Cost of Capital (WACC)</t>
  </si>
  <si>
    <t>First Year Accounting Depreciation</t>
  </si>
  <si>
    <r>
      <t xml:space="preserve">Terminal EBITDA Multiple </t>
    </r>
    <r>
      <rPr>
        <vertAlign val="superscript"/>
        <sz val="10"/>
        <color theme="1"/>
        <rFont val="Open Sans"/>
        <family val="2"/>
      </rPr>
      <t>1</t>
    </r>
  </si>
  <si>
    <t>Blended Tax Depreciation Rate</t>
  </si>
  <si>
    <t>First Year Tax Depreciation</t>
  </si>
  <si>
    <t>Projected Interest Expense</t>
  </si>
  <si>
    <t>(Units/Day)</t>
  </si>
  <si>
    <t>Plant Capacity</t>
  </si>
  <si>
    <t>Valuation</t>
  </si>
  <si>
    <t>Other Inputs</t>
  </si>
  <si>
    <t>Days in Period</t>
  </si>
  <si>
    <t>Tax Losses</t>
  </si>
  <si>
    <t>(YYYY)</t>
  </si>
  <si>
    <t>First Year of Forecast</t>
  </si>
  <si>
    <t>Tax Basis for PP&amp;E</t>
  </si>
  <si>
    <t>(YY-MM-DD)</t>
  </si>
  <si>
    <t>First Fiscal Year End for Forecast</t>
  </si>
  <si>
    <t>Property Plant &amp; Equipment</t>
  </si>
  <si>
    <t>First Expected Cash Flow</t>
  </si>
  <si>
    <t>Valuation Date</t>
  </si>
  <si>
    <t>Dates</t>
  </si>
  <si>
    <t>Weighted Average Cost of Capital</t>
  </si>
  <si>
    <t xml:space="preserve">Levered Beta = Unlevered Beta x (1 + (1 - Tax rate) x (Debt-to-Equity)) </t>
  </si>
  <si>
    <t xml:space="preserve">Unlevered Beta = Levered Beta / (1 + (1 - Tax Rate) × Debt-to-Equity) </t>
  </si>
  <si>
    <t>Equity Capital</t>
  </si>
  <si>
    <t xml:space="preserve">Levered beta is based on 5-year monthly data. </t>
  </si>
  <si>
    <t>Debt Capital</t>
  </si>
  <si>
    <t xml:space="preserve">Tax Rate is a 5-Year Average. </t>
  </si>
  <si>
    <t>Cost</t>
  </si>
  <si>
    <t>Weight</t>
  </si>
  <si>
    <t>Debt / Equity</t>
  </si>
  <si>
    <t>Total Capitalization</t>
  </si>
  <si>
    <t>After-Tax Cost of Debt</t>
  </si>
  <si>
    <t>Market Capitalization</t>
  </si>
  <si>
    <t>Tax Rate</t>
  </si>
  <si>
    <t>Total Debt</t>
  </si>
  <si>
    <t>Pre-Tax Cost of Debt</t>
  </si>
  <si>
    <t>Target</t>
  </si>
  <si>
    <t>Current</t>
  </si>
  <si>
    <t>Cost of Debt</t>
  </si>
  <si>
    <t>Capital Structure</t>
  </si>
  <si>
    <t>Cost of Equity</t>
  </si>
  <si>
    <t>Equity Risk Premium</t>
  </si>
  <si>
    <t>Country Risk Premium</t>
  </si>
  <si>
    <r>
      <t xml:space="preserve">Levered Beta </t>
    </r>
    <r>
      <rPr>
        <vertAlign val="superscript"/>
        <sz val="10"/>
        <color rgb="FF000000"/>
        <rFont val="Open Sans"/>
        <family val="2"/>
      </rPr>
      <t>4</t>
    </r>
  </si>
  <si>
    <t>Average Unlevered Beta</t>
  </si>
  <si>
    <t>Risk Free Rate</t>
  </si>
  <si>
    <t>Market Risk Premium</t>
  </si>
  <si>
    <t>Risk Premium for Equity</t>
  </si>
  <si>
    <t>Median</t>
  </si>
  <si>
    <t>Average</t>
  </si>
  <si>
    <t>Europe</t>
  </si>
  <si>
    <t>Earthcor Power Inc.</t>
  </si>
  <si>
    <t>Full Power Solutions Ltd.</t>
  </si>
  <si>
    <t>Clean Green Ltd.</t>
  </si>
  <si>
    <t>Future Energy Co.</t>
  </si>
  <si>
    <t>Surge Batteries Inc.</t>
  </si>
  <si>
    <r>
      <t xml:space="preserve">Beta </t>
    </r>
    <r>
      <rPr>
        <b/>
        <vertAlign val="superscript"/>
        <sz val="10"/>
        <color theme="1"/>
        <rFont val="Open Sans"/>
        <family val="2"/>
      </rPr>
      <t>3</t>
    </r>
  </si>
  <si>
    <r>
      <t xml:space="preserve">Beta </t>
    </r>
    <r>
      <rPr>
        <b/>
        <vertAlign val="superscript"/>
        <sz val="10"/>
        <color theme="1"/>
        <rFont val="Open Sans"/>
        <family val="2"/>
      </rPr>
      <t>2</t>
    </r>
  </si>
  <si>
    <t>Capital</t>
  </si>
  <si>
    <r>
      <t xml:space="preserve">Tax Rate </t>
    </r>
    <r>
      <rPr>
        <b/>
        <vertAlign val="superscript"/>
        <sz val="10"/>
        <color theme="1"/>
        <rFont val="Open Sans"/>
        <family val="2"/>
      </rPr>
      <t>1</t>
    </r>
  </si>
  <si>
    <t>Debt</t>
  </si>
  <si>
    <t>Region</t>
  </si>
  <si>
    <t>Name</t>
  </si>
  <si>
    <t>Unlevered</t>
  </si>
  <si>
    <t>Levered</t>
  </si>
  <si>
    <t>Debt/</t>
  </si>
  <si>
    <t xml:space="preserve">We have assumed working capital amounts per day in terminal year are equal to the previous year. </t>
  </si>
  <si>
    <t>(Days)</t>
  </si>
  <si>
    <t>Accounts Payable</t>
  </si>
  <si>
    <t>Inventory</t>
  </si>
  <si>
    <t>Accounts Receivable</t>
  </si>
  <si>
    <r>
      <t xml:space="preserve">Working Capital </t>
    </r>
    <r>
      <rPr>
        <b/>
        <vertAlign val="superscript"/>
        <sz val="10"/>
        <color rgb="FF000000"/>
        <rFont val="Open Sans"/>
        <family val="2"/>
      </rPr>
      <t>1</t>
    </r>
  </si>
  <si>
    <t>Inflation Rate</t>
  </si>
  <si>
    <t>Capital Expenditure</t>
  </si>
  <si>
    <t>Pricing Increases</t>
  </si>
  <si>
    <t>Sales Volume Growth</t>
  </si>
  <si>
    <t>Driver Switch</t>
  </si>
  <si>
    <t>Term</t>
  </si>
  <si>
    <t>Drivers</t>
  </si>
  <si>
    <t xml:space="preserve">The Enterprise Value from the XNPV Function is slightly different from the Manual Method due to treatment of leap years. </t>
  </si>
  <si>
    <t xml:space="preserve">We have applied an LTM multiple to the EBITDA at the end of the terminal year to calculate the Terminal Value. </t>
  </si>
  <si>
    <t>($/sh)</t>
  </si>
  <si>
    <t>Less: Net Debt</t>
  </si>
  <si>
    <t>Enterprise Value</t>
  </si>
  <si>
    <t>EQUITY VALUE PER SHARE</t>
  </si>
  <si>
    <t>EQUITY VALUE</t>
  </si>
  <si>
    <t>PV of Terminal</t>
  </si>
  <si>
    <r>
      <t xml:space="preserve">XNPV Function </t>
    </r>
    <r>
      <rPr>
        <vertAlign val="superscript"/>
        <sz val="9"/>
        <rFont val="Open Sans"/>
        <family val="2"/>
      </rPr>
      <t>2</t>
    </r>
  </si>
  <si>
    <t>PV of Discrete</t>
  </si>
  <si>
    <t>Manual Method</t>
  </si>
  <si>
    <t>ENTERPRISE VALUE</t>
  </si>
  <si>
    <t>Total Cash Flow</t>
  </si>
  <si>
    <t>Terminal Value</t>
  </si>
  <si>
    <t>Discrete Forecast</t>
  </si>
  <si>
    <t>Years for Discounting</t>
  </si>
  <si>
    <t>DISCOUNTED CASH FLOW</t>
  </si>
  <si>
    <t>Partial Period Adjustment</t>
  </si>
  <si>
    <t>ADJUSTED CASH FLOW</t>
  </si>
  <si>
    <t>Adjustment</t>
  </si>
  <si>
    <r>
      <t xml:space="preserve">Terminal Value </t>
    </r>
    <r>
      <rPr>
        <vertAlign val="superscript"/>
        <sz val="10"/>
        <rFont val="Open Sans"/>
        <family val="2"/>
      </rPr>
      <t>1</t>
    </r>
  </si>
  <si>
    <t>Terminal</t>
  </si>
  <si>
    <t>UNADJUSTED CASH FLOW</t>
  </si>
  <si>
    <t>EBITDA</t>
  </si>
  <si>
    <t>Unlevered Free Cash Flow</t>
  </si>
  <si>
    <t>Cash Flow Timing</t>
  </si>
  <si>
    <t>Fiscal Year End</t>
  </si>
  <si>
    <t>Discounted Cash Flow Schedule: Multiple Method</t>
  </si>
  <si>
    <t xml:space="preserve">The Enterprise Value from the XNPV Function is slightly different due to treatment of leap years. </t>
  </si>
  <si>
    <r>
      <t xml:space="preserve">XNPV Function </t>
    </r>
    <r>
      <rPr>
        <vertAlign val="superscript"/>
        <sz val="9"/>
        <color rgb="FF000000"/>
        <rFont val="Open Sans"/>
        <family val="2"/>
      </rPr>
      <t>1</t>
    </r>
  </si>
  <si>
    <t>Terminal Growth</t>
  </si>
  <si>
    <t>Discounted Cash Flow Schedule: Perpetuity Method</t>
  </si>
  <si>
    <t xml:space="preserve">This schedule assumes no deferred taxes in the terminal year. </t>
  </si>
  <si>
    <t xml:space="preserve">Capital expenditure has been set equal to depreciation in the terminal year. </t>
  </si>
  <si>
    <t>Change in Working Capital</t>
  </si>
  <si>
    <t>Tax Shield From Interest</t>
  </si>
  <si>
    <t>Interest Expense</t>
  </si>
  <si>
    <r>
      <t xml:space="preserve">Deferred Tax </t>
    </r>
    <r>
      <rPr>
        <vertAlign val="superscript"/>
        <sz val="9"/>
        <rFont val="Open Sans"/>
        <family val="2"/>
      </rPr>
      <t>2</t>
    </r>
  </si>
  <si>
    <r>
      <t xml:space="preserve">Depreciation </t>
    </r>
    <r>
      <rPr>
        <vertAlign val="superscript"/>
        <sz val="9"/>
        <rFont val="Open Sans"/>
        <family val="2"/>
      </rPr>
      <t>1</t>
    </r>
  </si>
  <si>
    <t>Net Income</t>
  </si>
  <si>
    <t>NET INCOME METHOD</t>
  </si>
  <si>
    <t>Current Taxes</t>
  </si>
  <si>
    <t>EBITDA METHOD</t>
  </si>
  <si>
    <t>Total Tax Shield</t>
  </si>
  <si>
    <t>EBT</t>
  </si>
  <si>
    <t>Current Taxes (Levered)</t>
  </si>
  <si>
    <t>EBIT</t>
  </si>
  <si>
    <t>Current Taxes (Unlevered)</t>
  </si>
  <si>
    <t>Line Item</t>
  </si>
  <si>
    <t>TAX SHIELD FROM INTEREST</t>
  </si>
  <si>
    <t>Unlevered Free Cash Flow Schedule</t>
  </si>
  <si>
    <t xml:space="preserve">This schedule assumes losses do not carry back to previous periods to reduce taxable income. </t>
  </si>
  <si>
    <t xml:space="preserve">This schedule assumes that tax losses can be carried forward indefinitely into the future. </t>
  </si>
  <si>
    <t>Total Taxes</t>
  </si>
  <si>
    <t>Deferred Taxes</t>
  </si>
  <si>
    <t>TAXES</t>
  </si>
  <si>
    <t>Ending</t>
  </si>
  <si>
    <t>Less: Use of Tax Losses</t>
  </si>
  <si>
    <t>Add: New Losses</t>
  </si>
  <si>
    <t>Beginning</t>
  </si>
  <si>
    <t>TAX LOSSES</t>
  </si>
  <si>
    <t>Taxable Income</t>
  </si>
  <si>
    <r>
      <t xml:space="preserve">Less: Use of Tax Losses </t>
    </r>
    <r>
      <rPr>
        <vertAlign val="superscript"/>
        <sz val="9"/>
        <rFont val="Open Sans"/>
        <family val="2"/>
      </rPr>
      <t>2</t>
    </r>
  </si>
  <si>
    <t>EBIT After Adjustment</t>
  </si>
  <si>
    <r>
      <t xml:space="preserve">ADJUSTMENT FOR TAX LOSSES </t>
    </r>
    <r>
      <rPr>
        <b/>
        <vertAlign val="superscript"/>
        <sz val="10"/>
        <rFont val="Open Sans"/>
        <family val="2"/>
      </rPr>
      <t>1</t>
    </r>
  </si>
  <si>
    <t>Less: Tax Depreciation</t>
  </si>
  <si>
    <t>Add: Accounting Depreciation</t>
  </si>
  <si>
    <t>ADJUSTMENT FOR DEPRECIATION</t>
  </si>
  <si>
    <t>Unused Tax Losses Remaining?</t>
  </si>
  <si>
    <t>Profitable Before Taxes?</t>
  </si>
  <si>
    <t>Earnings Before Interest &amp; Tax (EBIT)</t>
  </si>
  <si>
    <t>Income Tax Schedule (Unlevered)</t>
  </si>
  <si>
    <t>EBT After Adjustment</t>
  </si>
  <si>
    <t>Earnings Before Tax (EBT)</t>
  </si>
  <si>
    <t>Income Tax Schedule (Levered)</t>
  </si>
  <si>
    <t xml:space="preserve">Model assumes no dispositions that would impact the PP&amp;E or the Tax Basis. </t>
  </si>
  <si>
    <t>Tax Depreciation</t>
  </si>
  <si>
    <r>
      <t xml:space="preserve">TAX BASIS </t>
    </r>
    <r>
      <rPr>
        <b/>
        <vertAlign val="superscript"/>
        <sz val="10"/>
        <rFont val="Open Sans"/>
        <family val="2"/>
      </rPr>
      <t>1</t>
    </r>
  </si>
  <si>
    <t>Accounting Depreciation</t>
  </si>
  <si>
    <r>
      <t xml:space="preserve">PROPERTY PLANT &amp; EQUIPMENT </t>
    </r>
    <r>
      <rPr>
        <b/>
        <vertAlign val="superscript"/>
        <sz val="10"/>
        <rFont val="Open Sans"/>
        <family val="2"/>
      </rPr>
      <t>1</t>
    </r>
  </si>
  <si>
    <t>Asset Schedule</t>
  </si>
  <si>
    <t xml:space="preserve">This schedule calculates depreciation on a straight-line basis. </t>
  </si>
  <si>
    <t xml:space="preserve">All PP&amp;E and capital expenditure is assumed depreciable (i.e. no land balance). </t>
  </si>
  <si>
    <t>Total Depreciation</t>
  </si>
  <si>
    <t>New Assets</t>
  </si>
  <si>
    <t>Existing Assets</t>
  </si>
  <si>
    <r>
      <t xml:space="preserve">TOTAL ASSET DEPRECIATION </t>
    </r>
    <r>
      <rPr>
        <b/>
        <vertAlign val="superscript"/>
        <sz val="9"/>
        <rFont val="Open Sans"/>
        <family val="2"/>
      </rPr>
      <t>2</t>
    </r>
  </si>
  <si>
    <t>Per Yr</t>
  </si>
  <si>
    <t>Capex</t>
  </si>
  <si>
    <t>Year</t>
  </si>
  <si>
    <t>Amounts for Depreciation</t>
  </si>
  <si>
    <t>Life</t>
  </si>
  <si>
    <t>Percent of Full Year</t>
  </si>
  <si>
    <t>Years</t>
  </si>
  <si>
    <r>
      <t xml:space="preserve">NEW ASSET DEPRECIATION </t>
    </r>
    <r>
      <rPr>
        <b/>
        <vertAlign val="superscript"/>
        <sz val="10"/>
        <rFont val="Open Sans"/>
        <family val="2"/>
      </rPr>
      <t>1</t>
    </r>
  </si>
  <si>
    <r>
      <t xml:space="preserve">EXISTING ASSET DEPRECIATION </t>
    </r>
    <r>
      <rPr>
        <b/>
        <vertAlign val="superscript"/>
        <sz val="10"/>
        <rFont val="Open Sans"/>
        <family val="2"/>
      </rPr>
      <t>1</t>
    </r>
  </si>
  <si>
    <t xml:space="preserve">Capital Expenditure </t>
  </si>
  <si>
    <t>Depreciation Schedule</t>
  </si>
  <si>
    <t>Cash from Working Capital Items</t>
  </si>
  <si>
    <t>Net Working Capital</t>
  </si>
  <si>
    <t>Current Liabilities</t>
  </si>
  <si>
    <t>Current Assets</t>
  </si>
  <si>
    <t>NET WORKING CAPITAL</t>
  </si>
  <si>
    <t>TOTAL AMOUNTS</t>
  </si>
  <si>
    <r>
      <t xml:space="preserve">AMOUNTS PER DAY </t>
    </r>
    <r>
      <rPr>
        <b/>
        <vertAlign val="superscript"/>
        <sz val="10"/>
        <color rgb="FF000000"/>
        <rFont val="Open Sans"/>
        <family val="2"/>
      </rPr>
      <t>1</t>
    </r>
  </si>
  <si>
    <t>COGS</t>
  </si>
  <si>
    <t>Revenue</t>
  </si>
  <si>
    <t>Working Capital Schedule</t>
  </si>
  <si>
    <t>Total Tax</t>
  </si>
  <si>
    <t>Deferred Tax</t>
  </si>
  <si>
    <t>Current Tax</t>
  </si>
  <si>
    <t>Interest</t>
  </si>
  <si>
    <t>Depreciation</t>
  </si>
  <si>
    <t>Other</t>
  </si>
  <si>
    <t>SG&amp;A</t>
  </si>
  <si>
    <t>Gross Profit</t>
  </si>
  <si>
    <t>Inflation</t>
  </si>
  <si>
    <t>Income Statement</t>
  </si>
  <si>
    <t>Total Costs</t>
  </si>
  <si>
    <t>Fixed Costs</t>
  </si>
  <si>
    <t>Variable Costs</t>
  </si>
  <si>
    <t>(USD/Unit)</t>
  </si>
  <si>
    <t>SUMMARY</t>
  </si>
  <si>
    <t>Subtotal</t>
  </si>
  <si>
    <t>Insurance</t>
  </si>
  <si>
    <t>Utilities</t>
  </si>
  <si>
    <t>Labor</t>
  </si>
  <si>
    <t>FIXED COSTS</t>
  </si>
  <si>
    <t>Transportation</t>
  </si>
  <si>
    <t>Packaging</t>
  </si>
  <si>
    <t>Materials</t>
  </si>
  <si>
    <t>VARIABLE COSTS</t>
  </si>
  <si>
    <t>Sales Volume</t>
  </si>
  <si>
    <t>Cost Schedule</t>
  </si>
  <si>
    <t>Operational Capacity Exceeded?</t>
  </si>
  <si>
    <t>Sales Price</t>
  </si>
  <si>
    <t>(Units)</t>
  </si>
  <si>
    <t>REVENUE</t>
  </si>
  <si>
    <t>Unit Price</t>
  </si>
  <si>
    <t>PRICING</t>
  </si>
  <si>
    <t>VOLUME</t>
  </si>
  <si>
    <t>Operational Efficiency</t>
  </si>
  <si>
    <t>OPERATIONS</t>
  </si>
  <si>
    <t>Revenue Schedule</t>
  </si>
  <si>
    <t>Learner</t>
  </si>
  <si>
    <t>Correct</t>
  </si>
  <si>
    <t>Compare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</si>
</sst>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2">
    <numFmt numFmtId="43" formatCode="_(* #,##0.00_);_(* \(#,##0.00\);_(* &quot;-&quot;??_);_(@_)"/>
    <numFmt numFmtId="164" formatCode="_-* #,##0.00_-;\-* #,##0.00_-;_-* &quot;-&quot;??_-;_-@_-"/>
    <numFmt numFmtId="165" formatCode="_(#,##0_)_%;\(#,##0\)_%;_(&quot;–&quot;_)_%;_(@_)_%"/>
    <numFmt numFmtId="166" formatCode="&quot;Yes&quot;;&quot;ERROR&quot;;&quot;No&quot;;&quot;ERROR&quot;"/>
    <numFmt numFmtId="167" formatCode="_(#,##0.0%_);\(#,##0.0%\);_(&quot;–&quot;_)_%;_(@_)_%"/>
    <numFmt numFmtId="168" formatCode="@\⁽\¹\⁾"/>
    <numFmt numFmtId="169" formatCode="_(#,##0_);\(#,##0\);_(&quot;–&quot;_);_(@_)"/>
    <numFmt numFmtId="170" formatCode="_(0.0\x_);\(0.0\x\);_(&quot;–&quot;_);_(@_)"/>
    <numFmt numFmtId="171" formatCode="#,##0_);\(#,##0\);\-"/>
    <numFmt numFmtId="172" formatCode="_(#,##0.00_);\(#,##0.00\);_(&quot;–&quot;_);_(@_)"/>
    <numFmt numFmtId="173" formatCode="#,##0.00_);\(#,##0.00\);\-"/>
    <numFmt numFmtId="174" formatCode="0.0%"/>
    <numFmt numFmtId="175" formatCode="0&quot;A&quot;"/>
    <numFmt numFmtId="176" formatCode="0&quot;F&quot;"/>
    <numFmt numFmtId="177" formatCode="_-* #,##0_-;\(#,##0\)_-;_-* &quot;-&quot;_-;_-@_-"/>
    <numFmt numFmtId="178" formatCode="_(#,##0%_);\(#,##0%\);_(&quot;–&quot;_)_%;_(@_)_%"/>
    <numFmt numFmtId="179" formatCode="&quot;Yes&quot;_);&quot;ERROR&quot;_);&quot;No&quot;_);&quot;ERROR&quot;_)"/>
    <numFmt numFmtId="180" formatCode="0000_)"/>
    <numFmt numFmtId="181" formatCode="yyyy/mm/dd_)"/>
    <numFmt numFmtId="182" formatCode="@\⁽\⁴\⁾"/>
    <numFmt numFmtId="183" formatCode="@\⁽\³\⁾"/>
    <numFmt numFmtId="184" formatCode="@\⁽\²\⁾"/>
    <numFmt numFmtId="185" formatCode="_(0.00\x_)_)_';_(\(0.00\x\)_'_';_(&quot;–&quot;_);_(@_)"/>
    <numFmt numFmtId="186" formatCode="_(#,##0_)\⁽\²\⁾;\(#,##0\)\⁽\²\⁾;_(&quot;–&quot;_)\⁽\²\⁾;_(@_)\⁽\²\⁾"/>
    <numFmt numFmtId="187" formatCode="_(#,##0_)\⁽\¹\⁾;\(#,##0\)\⁽\¹\⁾;_(&quot;–&quot;_)\⁽\¹\⁾;_(@_)\⁽\¹\⁾"/>
    <numFmt numFmtId="188" formatCode="yyyy/mm/dd;@"/>
    <numFmt numFmtId="189" formatCode="#,##0_);[Red]\(#,##0\);\-"/>
    <numFmt numFmtId="190" formatCode="_(0.0000\x_);\(0.0000\x\);_(&quot;–&quot;_);_(@_)"/>
    <numFmt numFmtId="191" formatCode="yy/mm/dd"/>
    <numFmt numFmtId="192" formatCode="0&quot;E&quot;"/>
    <numFmt numFmtId="193" formatCode="[=1]&quot;Yes&quot;_);[=0]&quot;No&quot;_)"/>
    <numFmt numFmtId="194" formatCode="#,##0.0_);\(#,##0.0\);\-"/>
    <numFmt numFmtId="195" formatCode="0&quot;F&quot;\ "/>
    <numFmt numFmtId="196" formatCode="&quot;Yr&quot;\ 0_)"/>
    <numFmt numFmtId="197" formatCode="#,##0_)\⁽\⁹\⁾;\(#,##0\)\⁽\⁹\⁾"/>
    <numFmt numFmtId="198" formatCode="_-* #,##0_-;\-* #,##0_-;_-* &quot;-&quot;??_-;_-@_-"/>
    <numFmt numFmtId="199" formatCode="[=0]&quot;-&quot;_);[=1]&quot;Yes&quot;_)"/>
    <numFmt numFmtId="200" formatCode="_(#,##0.0_);\(#,##0.0\);_(&quot;–&quot;_);_(@_)"/>
    <numFmt numFmtId="201" formatCode="_-* #,##0.00_-;\(#,##0.00\)_-;_-* &quot;-&quot;_-;_-@_-"/>
    <numFmt numFmtId="202" formatCode="[=1]&quot;☑️&quot;_);[=0]&quot;⬜&quot;_)"/>
    <numFmt numFmtId="203" formatCode="_(#,##0%_);\(#,##0%\);_(&quot;–&quot;_);_(@_)"/>
    <numFmt numFmtId="204" formatCode="_(#,##0.0%_);\(#,##0.0%\);_(&quot;–&quot;_);_(@_)"/>
  </numFmts>
  <fonts count="91">
    <font>
      <sz val="11"/>
      <color theme="1"/>
      <name val="Calibri"/>
      <family val="2"/>
      <scheme val="minor"/>
    </font>
    <font>
      <sz val="10"/>
      <color theme="1"/>
      <name val="Open Sans"/>
      <family val="2"/>
    </font>
    <font>
      <sz val="10"/>
      <color theme="1"/>
      <name val="Open Sans"/>
      <family val="2"/>
    </font>
    <font>
      <sz val="11"/>
      <color theme="1"/>
      <name val="Calibri"/>
      <family val="2"/>
      <scheme val="minor"/>
    </font>
    <font>
      <b/>
      <sz val="10"/>
      <color theme="0"/>
      <name val="Open Sans"/>
      <family val="2"/>
    </font>
    <font>
      <sz val="10"/>
      <color rgb="FFFF0000"/>
      <name val="Open Sans"/>
      <family val="2"/>
    </font>
    <font>
      <b/>
      <sz val="10"/>
      <color theme="1"/>
      <name val="Open Sans"/>
      <family val="2"/>
    </font>
    <font>
      <sz val="10"/>
      <color theme="0"/>
      <name val="Open Sans"/>
      <family val="2"/>
    </font>
    <font>
      <sz val="11"/>
      <color theme="1"/>
      <name val="Open Sans"/>
      <family val="2"/>
    </font>
    <font>
      <sz val="11"/>
      <color theme="0"/>
      <name val="Open Sans"/>
      <family val="2"/>
    </font>
    <font>
      <b/>
      <sz val="12"/>
      <color theme="0"/>
      <name val="Open Sans"/>
      <family val="2"/>
    </font>
    <font>
      <u/>
      <sz val="10"/>
      <color theme="10"/>
      <name val="Arial"/>
      <family val="2"/>
    </font>
    <font>
      <sz val="12"/>
      <color theme="1"/>
      <name val="Open Sans"/>
      <family val="2"/>
    </font>
    <font>
      <u/>
      <sz val="12"/>
      <color theme="10"/>
      <name val="Open Sans"/>
      <family val="2"/>
    </font>
    <font>
      <sz val="12"/>
      <color rgb="FF002060"/>
      <name val="Open Sans"/>
      <family val="2"/>
    </font>
    <font>
      <sz val="12"/>
      <color rgb="FF000000"/>
      <name val="Open Sans"/>
      <family val="2"/>
    </font>
    <font>
      <u/>
      <sz val="11"/>
      <color theme="10"/>
      <name val="Calibri"/>
      <family val="2"/>
      <scheme val="minor"/>
    </font>
    <font>
      <b/>
      <sz val="14"/>
      <color rgb="FF132E57"/>
      <name val="Open Sans"/>
      <family val="2"/>
    </font>
    <font>
      <b/>
      <sz val="11"/>
      <color theme="1"/>
      <name val="Open Sans"/>
      <family val="2"/>
    </font>
    <font>
      <b/>
      <sz val="20"/>
      <color rgb="FF4472C4"/>
      <name val="Open Sans"/>
      <family val="2"/>
    </font>
    <font>
      <sz val="10"/>
      <color rgb="FF000000"/>
      <name val="Open Sans"/>
      <family val="2"/>
    </font>
    <font>
      <sz val="11"/>
      <color rgb="FF000000"/>
      <name val="Open Sans"/>
      <family val="2"/>
    </font>
    <font>
      <sz val="9"/>
      <name val="Open Sans"/>
      <family val="2"/>
    </font>
    <font>
      <i/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9"/>
      <color rgb="FF000000"/>
      <name val="Open Sans"/>
      <family val="2"/>
    </font>
    <font>
      <b/>
      <vertAlign val="superscript"/>
      <sz val="10"/>
      <color theme="1"/>
      <name val="Open Sans"/>
      <family val="2"/>
    </font>
    <font>
      <i/>
      <sz val="10"/>
      <color theme="1"/>
      <name val="Open Sans"/>
      <family val="2"/>
    </font>
    <font>
      <sz val="11"/>
      <name val="Open Sans"/>
      <family val="2"/>
    </font>
    <font>
      <sz val="11"/>
      <color rgb="FF555555"/>
      <name val="Open Sans"/>
      <family val="2"/>
    </font>
    <font>
      <sz val="11"/>
      <color rgb="FFC32838"/>
      <name val="Open Sans"/>
      <family val="2"/>
    </font>
    <font>
      <i/>
      <sz val="9"/>
      <color rgb="FF000000"/>
      <name val="Open Sans"/>
      <family val="2"/>
    </font>
    <font>
      <sz val="10"/>
      <color rgb="FF3271D2"/>
      <name val="Open Sans"/>
      <family val="2"/>
    </font>
    <font>
      <i/>
      <sz val="9"/>
      <color theme="1"/>
      <name val="Open Sans"/>
      <family val="2"/>
    </font>
    <font>
      <sz val="14"/>
      <color rgb="FF555555"/>
      <name val="Open Sans"/>
      <family val="2"/>
    </font>
    <font>
      <b/>
      <sz val="10"/>
      <color rgb="FF555555"/>
      <name val="Open Sans"/>
      <family val="2"/>
    </font>
    <font>
      <i/>
      <sz val="9"/>
      <name val="Open Sans"/>
      <family val="2"/>
    </font>
    <font>
      <sz val="14"/>
      <color theme="1"/>
      <name val="Open Sans"/>
      <family val="2"/>
    </font>
    <font>
      <b/>
      <sz val="10"/>
      <name val="Open Sans"/>
      <family val="2"/>
    </font>
    <font>
      <b/>
      <sz val="10"/>
      <color rgb="FF3271D2"/>
      <name val="Open Sans"/>
      <family val="2"/>
    </font>
    <font>
      <b/>
      <sz val="14"/>
      <color rgb="FF3271D2"/>
      <name val="Open Sans"/>
      <family val="2"/>
    </font>
    <font>
      <sz val="10"/>
      <name val="Bookman"/>
      <family val="1"/>
    </font>
    <font>
      <b/>
      <sz val="16"/>
      <color theme="0"/>
      <name val="Open Sans"/>
      <family val="2"/>
    </font>
    <font>
      <b/>
      <sz val="14"/>
      <color theme="0"/>
      <name val="Open Sans"/>
      <family val="2"/>
    </font>
    <font>
      <i/>
      <sz val="8"/>
      <color theme="1"/>
      <name val="Open Sans"/>
      <family val="2"/>
    </font>
    <font>
      <i/>
      <sz val="11"/>
      <color theme="1"/>
      <name val="Open Sans"/>
      <family val="2"/>
    </font>
    <font>
      <i/>
      <sz val="8"/>
      <color rgb="FF000000"/>
      <name val="Open Sans"/>
      <family val="2"/>
    </font>
    <font>
      <i/>
      <sz val="11"/>
      <color rgb="FF000000"/>
      <name val="Open Sans"/>
      <family val="2"/>
    </font>
    <font>
      <vertAlign val="superscript"/>
      <sz val="10"/>
      <color theme="1"/>
      <name val="Open Sans"/>
      <family val="2"/>
    </font>
    <font>
      <sz val="10"/>
      <name val="Open Sans"/>
      <family val="2"/>
    </font>
    <font>
      <vertAlign val="superscript"/>
      <sz val="10"/>
      <color rgb="FF000000"/>
      <name val="Open Sans"/>
      <family val="2"/>
    </font>
    <font>
      <b/>
      <sz val="11"/>
      <color rgb="FF3271D2"/>
      <name val="Open Sans"/>
      <family val="2"/>
    </font>
    <font>
      <b/>
      <sz val="14"/>
      <color rgb="FF0000FF"/>
      <name val="Open Sans"/>
      <family val="2"/>
    </font>
    <font>
      <b/>
      <vertAlign val="superscript"/>
      <sz val="10"/>
      <color rgb="FF000000"/>
      <name val="Open Sans"/>
      <family val="2"/>
    </font>
    <font>
      <sz val="10"/>
      <color rgb="FF0000FF"/>
      <name val="Open Sans"/>
      <family val="2"/>
    </font>
    <font>
      <i/>
      <sz val="10"/>
      <name val="Open Sans"/>
      <family val="2"/>
    </font>
    <font>
      <i/>
      <sz val="8"/>
      <name val="Open Sans"/>
      <family val="2"/>
    </font>
    <font>
      <vertAlign val="superscript"/>
      <sz val="9"/>
      <name val="Open Sans"/>
      <family val="2"/>
    </font>
    <font>
      <b/>
      <sz val="9"/>
      <color rgb="FF000000"/>
      <name val="Open Sans"/>
      <family val="2"/>
    </font>
    <font>
      <vertAlign val="superscript"/>
      <sz val="10"/>
      <name val="Open Sans"/>
      <family val="2"/>
    </font>
    <font>
      <sz val="10"/>
      <color rgb="FFC32838"/>
      <name val="Open Sans"/>
      <family val="2"/>
    </font>
    <font>
      <sz val="10"/>
      <color theme="9" tint="-0.249977111117893"/>
      <name val="Open Sans"/>
      <family val="2"/>
    </font>
    <font>
      <sz val="14"/>
      <color rgb="FF000000"/>
      <name val="Open Sans"/>
      <family val="2"/>
    </font>
    <font>
      <sz val="8"/>
      <name val="Open Sans"/>
      <family val="2"/>
    </font>
    <font>
      <vertAlign val="superscript"/>
      <sz val="9"/>
      <color rgb="FF000000"/>
      <name val="Open Sans"/>
      <family val="2"/>
    </font>
    <font>
      <b/>
      <i/>
      <sz val="10"/>
      <color rgb="FF3271D2"/>
      <name val="Open Sans"/>
      <family val="2"/>
    </font>
    <font>
      <b/>
      <i/>
      <sz val="10"/>
      <name val="Open Sans"/>
      <family val="2"/>
    </font>
    <font>
      <b/>
      <i/>
      <sz val="10"/>
      <color theme="0"/>
      <name val="Open Sans"/>
      <family val="2"/>
    </font>
    <font>
      <b/>
      <sz val="10"/>
      <color rgb="FFFFFFFF"/>
      <name val="Open Sans"/>
      <family val="2"/>
    </font>
    <font>
      <b/>
      <vertAlign val="superscript"/>
      <sz val="10"/>
      <name val="Open Sans"/>
      <family val="2"/>
    </font>
    <font>
      <i/>
      <sz val="10"/>
      <color rgb="FF3271D2"/>
      <name val="Open Sans"/>
      <family val="2"/>
    </font>
    <font>
      <sz val="10"/>
      <color rgb="FFFA621C"/>
      <name val="Open Sans"/>
      <family val="2"/>
    </font>
    <font>
      <b/>
      <vertAlign val="superscript"/>
      <sz val="9"/>
      <name val="Open Sans"/>
      <family val="2"/>
    </font>
    <font>
      <sz val="11"/>
      <color rgb="FFFA621C"/>
      <name val="Open Sans"/>
      <family val="2"/>
    </font>
    <font>
      <b/>
      <sz val="11"/>
      <name val="Open Sans"/>
      <family val="2"/>
    </font>
    <font>
      <b/>
      <sz val="10"/>
      <color rgb="FF0000FF"/>
      <name val="Open Sans"/>
      <family val="2"/>
    </font>
    <font>
      <i/>
      <sz val="10"/>
      <color rgb="FFFF0000"/>
      <name val="Open Sans"/>
      <family val="2"/>
    </font>
    <font>
      <b/>
      <i/>
      <sz val="11"/>
      <color rgb="FFFA621C"/>
      <name val="Open Sans"/>
      <family val="2"/>
    </font>
    <font>
      <b/>
      <sz val="11"/>
      <color rgb="FFFA621C"/>
      <name val="Open Sans"/>
      <family val="2"/>
    </font>
    <font>
      <i/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8"/>
      <color rgb="FFBF7914"/>
      <name val="Open Sans"/>
      <family val="2"/>
    </font>
    <font>
      <b/>
      <sz val="12"/>
      <color rgb="FF947131"/>
      <name val="Open Sans"/>
      <family val="2"/>
    </font>
    <font>
      <sz val="8"/>
      <color rgb="FF947131"/>
      <name val="Open Sans"/>
      <family val="2"/>
    </font>
    <font>
      <b/>
      <sz val="11"/>
      <color rgb="FF947131"/>
      <name val="Open Sans"/>
      <family val="2"/>
    </font>
    <font>
      <sz val="11"/>
      <color rgb="FF947131"/>
      <name val="Open Sans"/>
      <family val="2"/>
    </font>
    <font>
      <sz val="10"/>
      <color rgb="FF947131"/>
      <name val="Open Sans"/>
      <family val="2"/>
    </font>
    <font>
      <i/>
      <sz val="10"/>
      <color rgb="FF947131"/>
      <name val="Open Sans"/>
      <family val="2"/>
    </font>
    <font>
      <sz val="12"/>
      <color rgb="FF947131"/>
      <name val="Open Sans"/>
      <family val="2"/>
    </font>
    <font>
      <b/>
      <sz val="10"/>
      <color rgb="FF947131"/>
      <name val="Open Sans"/>
      <family val="2"/>
    </font>
    <font>
      <sz val="14"/>
      <color rgb="FF947131"/>
      <name val="Open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000C3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rgb="FF000000"/>
      </patternFill>
    </fill>
    <fill>
      <patternFill patternType="solid">
        <fgColor rgb="FFE7F2FF"/>
        <bgColor rgb="FF000000"/>
      </patternFill>
    </fill>
    <fill>
      <patternFill patternType="solid">
        <fgColor rgb="FF000C3F"/>
        <bgColor indexed="64"/>
      </patternFill>
    </fill>
  </fills>
  <borders count="62">
    <border>
      <left/>
      <right/>
      <top/>
      <bottom/>
      <diagonal/>
    </border>
    <border>
      <left/>
      <right style="thick">
        <color rgb="FF132E57"/>
      </right>
      <top/>
      <bottom style="thick">
        <color rgb="FF132E57"/>
      </bottom>
      <diagonal/>
    </border>
    <border>
      <left/>
      <right/>
      <top/>
      <bottom style="thick">
        <color rgb="FF132E57"/>
      </bottom>
      <diagonal/>
    </border>
    <border>
      <left style="thick">
        <color rgb="FF132E57"/>
      </left>
      <right/>
      <top/>
      <bottom style="thick">
        <color rgb="FF132E57"/>
      </bottom>
      <diagonal/>
    </border>
    <border>
      <left/>
      <right style="thick">
        <color rgb="FF132E57"/>
      </right>
      <top/>
      <bottom/>
      <diagonal/>
    </border>
    <border>
      <left style="thick">
        <color rgb="FF132E57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thick">
        <color rgb="FF132E57"/>
      </right>
      <top style="thick">
        <color rgb="FF132E57"/>
      </top>
      <bottom/>
      <diagonal/>
    </border>
    <border>
      <left/>
      <right/>
      <top style="thick">
        <color rgb="FF132E57"/>
      </top>
      <bottom/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3271D2"/>
      </top>
      <bottom style="medium">
        <color rgb="FF3271D2"/>
      </bottom>
      <diagonal/>
    </border>
    <border>
      <left/>
      <right/>
      <top/>
      <bottom style="medium">
        <color rgb="FF3271D2"/>
      </bottom>
      <diagonal/>
    </border>
    <border>
      <left/>
      <right/>
      <top style="medium">
        <color rgb="FF3271D2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3271D2"/>
      </left>
      <right/>
      <top/>
      <bottom/>
      <diagonal/>
    </border>
    <border>
      <left style="thin">
        <color rgb="FF3271D2"/>
      </left>
      <right style="thin">
        <color rgb="FF3271D2"/>
      </right>
      <top/>
      <bottom style="medium">
        <color rgb="FF3271D2"/>
      </bottom>
      <diagonal/>
    </border>
    <border>
      <left style="thin">
        <color rgb="FF3271D2"/>
      </left>
      <right style="thin">
        <color rgb="FF3271D2"/>
      </right>
      <top/>
      <bottom/>
      <diagonal/>
    </border>
    <border>
      <left style="thin">
        <color rgb="FF3271D2"/>
      </left>
      <right style="thin">
        <color rgb="FF3271D2"/>
      </right>
      <top style="thin">
        <color rgb="FF3271D2"/>
      </top>
      <bottom/>
      <diagonal/>
    </border>
    <border>
      <left style="thin">
        <color rgb="FF3271D2"/>
      </left>
      <right/>
      <top style="thin">
        <color rgb="FF3271D2"/>
      </top>
      <bottom/>
      <diagonal/>
    </border>
    <border>
      <left/>
      <right style="thin">
        <color rgb="FF947131"/>
      </right>
      <top style="thin">
        <color rgb="FF947131"/>
      </top>
      <bottom style="thin">
        <color rgb="FF947131"/>
      </bottom>
      <diagonal/>
    </border>
    <border>
      <left/>
      <right/>
      <top style="thin">
        <color rgb="FF947131"/>
      </top>
      <bottom style="thin">
        <color rgb="FF947131"/>
      </bottom>
      <diagonal/>
    </border>
    <border>
      <left style="thin">
        <color rgb="FF947131"/>
      </left>
      <right/>
      <top style="thin">
        <color rgb="FF947131"/>
      </top>
      <bottom style="thin">
        <color rgb="FF947131"/>
      </bottom>
      <diagonal/>
    </border>
    <border>
      <left style="hair">
        <color rgb="FF000000"/>
      </left>
      <right style="hair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C3F"/>
      </left>
      <right/>
      <top style="medium">
        <color rgb="FF000C3F"/>
      </top>
      <bottom/>
      <diagonal/>
    </border>
    <border>
      <left/>
      <right/>
      <top style="medium">
        <color rgb="FF000C3F"/>
      </top>
      <bottom/>
      <diagonal/>
    </border>
    <border>
      <left style="medium">
        <color rgb="FF000C3F"/>
      </left>
      <right/>
      <top/>
      <bottom/>
      <diagonal/>
    </border>
  </borders>
  <cellStyleXfs count="10">
    <xf numFmtId="0" fontId="0" fillId="0" borderId="0"/>
    <xf numFmtId="9" fontId="3" fillId="0" borderId="0" applyFont="0" applyFill="0" applyBorder="0" applyAlignment="0" applyProtection="0"/>
    <xf numFmtId="0" fontId="3" fillId="0" borderId="0"/>
    <xf numFmtId="0" fontId="11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80" fillId="0" borderId="0"/>
    <xf numFmtId="43" fontId="3" fillId="0" borderId="0" applyFont="0" applyFill="0" applyBorder="0" applyAlignment="0" applyProtection="0"/>
  </cellStyleXfs>
  <cellXfs count="823">
    <xf numFmtId="0" fontId="0" fillId="0" borderId="0" xfId="0"/>
    <xf numFmtId="0" fontId="8" fillId="0" borderId="0" xfId="2" applyFont="1"/>
    <xf numFmtId="0" fontId="8" fillId="0" borderId="1" xfId="2" applyFont="1" applyBorder="1"/>
    <xf numFmtId="0" fontId="8" fillId="0" borderId="2" xfId="2" applyFont="1" applyBorder="1"/>
    <xf numFmtId="0" fontId="8" fillId="0" borderId="3" xfId="2" applyFont="1" applyBorder="1"/>
    <xf numFmtId="0" fontId="8" fillId="0" borderId="4" xfId="2" applyFont="1" applyBorder="1"/>
    <xf numFmtId="0" fontId="7" fillId="2" borderId="0" xfId="2" applyFont="1" applyFill="1"/>
    <xf numFmtId="165" fontId="9" fillId="2" borderId="0" xfId="2" applyNumberFormat="1" applyFont="1" applyFill="1"/>
    <xf numFmtId="0" fontId="8" fillId="0" borderId="5" xfId="2" applyFont="1" applyBorder="1"/>
    <xf numFmtId="0" fontId="2" fillId="2" borderId="0" xfId="2" applyFont="1" applyFill="1"/>
    <xf numFmtId="0" fontId="10" fillId="2" borderId="0" xfId="2" applyFont="1" applyFill="1"/>
    <xf numFmtId="0" fontId="2" fillId="0" borderId="0" xfId="2" applyFont="1"/>
    <xf numFmtId="0" fontId="12" fillId="0" borderId="0" xfId="3" applyFont="1" applyFill="1" applyBorder="1"/>
    <xf numFmtId="165" fontId="13" fillId="0" borderId="0" xfId="3" applyNumberFormat="1" applyFont="1" applyFill="1" applyBorder="1"/>
    <xf numFmtId="165" fontId="12" fillId="0" borderId="0" xfId="2" applyNumberFormat="1" applyFont="1"/>
    <xf numFmtId="0" fontId="14" fillId="0" borderId="0" xfId="3" applyFont="1" applyFill="1" applyBorder="1" applyProtection="1">
      <protection locked="0"/>
    </xf>
    <xf numFmtId="166" fontId="15" fillId="0" borderId="0" xfId="3" applyNumberFormat="1" applyFont="1" applyFill="1" applyBorder="1" applyAlignment="1" applyProtection="1">
      <alignment horizontal="center"/>
      <protection locked="0"/>
    </xf>
    <xf numFmtId="165" fontId="15" fillId="0" borderId="0" xfId="3" applyNumberFormat="1" applyFont="1" applyFill="1" applyBorder="1" applyAlignment="1" applyProtection="1">
      <alignment horizontal="left"/>
      <protection locked="0"/>
    </xf>
    <xf numFmtId="0" fontId="12" fillId="0" borderId="0" xfId="0" applyFont="1"/>
    <xf numFmtId="165" fontId="13" fillId="0" borderId="0" xfId="4" applyNumberFormat="1" applyFont="1" applyFill="1" applyBorder="1" applyProtection="1">
      <protection locked="0"/>
    </xf>
    <xf numFmtId="0" fontId="17" fillId="0" borderId="6" xfId="2" applyFont="1" applyBorder="1" applyAlignment="1" applyProtection="1">
      <alignment horizontal="centerContinuous"/>
      <protection locked="0"/>
    </xf>
    <xf numFmtId="0" fontId="8" fillId="0" borderId="6" xfId="2" applyFont="1" applyBorder="1" applyAlignment="1">
      <alignment horizontal="centerContinuous"/>
    </xf>
    <xf numFmtId="0" fontId="2" fillId="0" borderId="6" xfId="2" applyFont="1" applyBorder="1" applyAlignment="1">
      <alignment horizontal="centerContinuous"/>
    </xf>
    <xf numFmtId="0" fontId="17" fillId="0" borderId="6" xfId="2" applyFont="1" applyBorder="1" applyAlignment="1" applyProtection="1">
      <alignment horizontal="left"/>
      <protection locked="0"/>
    </xf>
    <xf numFmtId="0" fontId="17" fillId="0" borderId="7" xfId="2" applyFont="1" applyBorder="1" applyProtection="1">
      <protection locked="0"/>
    </xf>
    <xf numFmtId="0" fontId="18" fillId="0" borderId="0" xfId="2" applyFont="1"/>
    <xf numFmtId="0" fontId="8" fillId="0" borderId="0" xfId="2" applyFont="1" applyProtection="1">
      <protection locked="0"/>
    </xf>
    <xf numFmtId="0" fontId="17" fillId="0" borderId="0" xfId="2" applyFont="1" applyAlignment="1">
      <alignment horizontal="right"/>
    </xf>
    <xf numFmtId="0" fontId="19" fillId="0" borderId="0" xfId="2" applyFont="1" applyProtection="1">
      <protection locked="0"/>
    </xf>
    <xf numFmtId="0" fontId="8" fillId="3" borderId="4" xfId="2" applyFont="1" applyFill="1" applyBorder="1"/>
    <xf numFmtId="0" fontId="8" fillId="3" borderId="0" xfId="2" applyFont="1" applyFill="1"/>
    <xf numFmtId="0" fontId="8" fillId="3" borderId="8" xfId="2" applyFont="1" applyFill="1" applyBorder="1"/>
    <xf numFmtId="0" fontId="8" fillId="3" borderId="9" xfId="2" applyFont="1" applyFill="1" applyBorder="1"/>
    <xf numFmtId="0" fontId="8" fillId="4" borderId="0" xfId="2" applyFont="1" applyFill="1"/>
    <xf numFmtId="0" fontId="8" fillId="0" borderId="0" xfId="0" applyFont="1"/>
    <xf numFmtId="0" fontId="8" fillId="0" borderId="10" xfId="0" applyFont="1" applyBorder="1"/>
    <xf numFmtId="167" fontId="20" fillId="0" borderId="0" xfId="1" applyNumberFormat="1" applyFont="1" applyFill="1" applyBorder="1" applyAlignment="1">
      <alignment horizontal="right" vertical="center"/>
    </xf>
    <xf numFmtId="0" fontId="21" fillId="0" borderId="0" xfId="0" applyFont="1"/>
    <xf numFmtId="168" fontId="22" fillId="0" borderId="0" xfId="0" quotePrefix="1" applyNumberFormat="1" applyFont="1" applyAlignment="1">
      <alignment horizontal="right"/>
    </xf>
    <xf numFmtId="167" fontId="20" fillId="0" borderId="0" xfId="5" applyNumberFormat="1" applyFont="1" applyBorder="1" applyAlignment="1">
      <alignment horizontal="right" vertical="center"/>
    </xf>
    <xf numFmtId="167" fontId="23" fillId="0" borderId="0" xfId="1" applyNumberFormat="1" applyFont="1" applyFill="1" applyBorder="1" applyAlignment="1">
      <alignment horizontal="right" vertical="center"/>
    </xf>
    <xf numFmtId="0" fontId="20" fillId="0" borderId="0" xfId="0" applyFont="1" applyAlignment="1">
      <alignment horizontal="center" vertical="center" textRotation="90"/>
    </xf>
    <xf numFmtId="169" fontId="20" fillId="0" borderId="0" xfId="5" applyNumberFormat="1" applyFont="1" applyBorder="1" applyAlignment="1">
      <alignment vertical="center"/>
    </xf>
    <xf numFmtId="167" fontId="20" fillId="0" borderId="11" xfId="5" applyNumberFormat="1" applyFont="1" applyFill="1" applyBorder="1" applyAlignment="1">
      <alignment horizontal="right" vertical="center"/>
    </xf>
    <xf numFmtId="167" fontId="20" fillId="0" borderId="10" xfId="5" applyNumberFormat="1" applyFont="1" applyFill="1" applyBorder="1" applyAlignment="1">
      <alignment horizontal="right" vertical="center"/>
    </xf>
    <xf numFmtId="167" fontId="20" fillId="0" borderId="12" xfId="5" applyNumberFormat="1" applyFont="1" applyFill="1" applyBorder="1" applyAlignment="1">
      <alignment horizontal="right" vertical="center"/>
    </xf>
    <xf numFmtId="169" fontId="20" fillId="0" borderId="11" xfId="5" applyNumberFormat="1" applyFont="1" applyFill="1" applyBorder="1" applyAlignment="1">
      <alignment vertical="center"/>
    </xf>
    <xf numFmtId="169" fontId="20" fillId="0" borderId="10" xfId="5" applyNumberFormat="1" applyFont="1" applyFill="1" applyBorder="1" applyAlignment="1">
      <alignment vertical="center"/>
    </xf>
    <xf numFmtId="169" fontId="20" fillId="0" borderId="12" xfId="5" applyNumberFormat="1" applyFont="1" applyFill="1" applyBorder="1" applyAlignment="1">
      <alignment vertical="center"/>
    </xf>
    <xf numFmtId="167" fontId="20" fillId="0" borderId="13" xfId="5" applyNumberFormat="1" applyFont="1" applyFill="1" applyBorder="1" applyAlignment="1">
      <alignment horizontal="right" vertical="center"/>
    </xf>
    <xf numFmtId="167" fontId="20" fillId="0" borderId="0" xfId="5" applyNumberFormat="1" applyFont="1" applyFill="1" applyAlignment="1">
      <alignment horizontal="right" vertical="center"/>
    </xf>
    <xf numFmtId="167" fontId="20" fillId="0" borderId="14" xfId="5" applyNumberFormat="1" applyFont="1" applyFill="1" applyBorder="1" applyAlignment="1">
      <alignment horizontal="right" vertical="center"/>
    </xf>
    <xf numFmtId="169" fontId="20" fillId="0" borderId="13" xfId="5" applyNumberFormat="1" applyFont="1" applyFill="1" applyBorder="1" applyAlignment="1">
      <alignment vertical="center"/>
    </xf>
    <xf numFmtId="169" fontId="20" fillId="0" borderId="0" xfId="5" applyNumberFormat="1" applyFont="1" applyFill="1" applyAlignment="1">
      <alignment vertical="center"/>
    </xf>
    <xf numFmtId="169" fontId="20" fillId="0" borderId="14" xfId="5" applyNumberFormat="1" applyFont="1" applyFill="1" applyBorder="1" applyAlignment="1">
      <alignment vertical="center"/>
    </xf>
    <xf numFmtId="167" fontId="24" fillId="0" borderId="15" xfId="5" applyNumberFormat="1" applyFont="1" applyFill="1" applyBorder="1" applyAlignment="1">
      <alignment horizontal="right" vertical="center"/>
    </xf>
    <xf numFmtId="169" fontId="24" fillId="0" borderId="15" xfId="5" applyNumberFormat="1" applyFont="1" applyFill="1" applyBorder="1" applyAlignment="1">
      <alignment vertical="center"/>
    </xf>
    <xf numFmtId="167" fontId="20" fillId="0" borderId="16" xfId="5" applyNumberFormat="1" applyFont="1" applyFill="1" applyBorder="1" applyAlignment="1">
      <alignment horizontal="right" vertical="center"/>
    </xf>
    <xf numFmtId="167" fontId="20" fillId="0" borderId="17" xfId="5" applyNumberFormat="1" applyFont="1" applyFill="1" applyBorder="1" applyAlignment="1">
      <alignment horizontal="right" vertical="center"/>
    </xf>
    <xf numFmtId="167" fontId="20" fillId="0" borderId="18" xfId="5" applyNumberFormat="1" applyFont="1" applyFill="1" applyBorder="1" applyAlignment="1">
      <alignment horizontal="right" vertical="center"/>
    </xf>
    <xf numFmtId="169" fontId="20" fillId="0" borderId="16" xfId="5" applyNumberFormat="1" applyFont="1" applyFill="1" applyBorder="1" applyAlignment="1">
      <alignment vertical="center"/>
    </xf>
    <xf numFmtId="169" fontId="20" fillId="0" borderId="17" xfId="5" applyNumberFormat="1" applyFont="1" applyFill="1" applyBorder="1" applyAlignment="1">
      <alignment vertical="center"/>
    </xf>
    <xf numFmtId="169" fontId="20" fillId="0" borderId="18" xfId="5" applyNumberFormat="1" applyFont="1" applyFill="1" applyBorder="1" applyAlignment="1">
      <alignment vertical="center"/>
    </xf>
    <xf numFmtId="170" fontId="23" fillId="0" borderId="0" xfId="1" applyNumberFormat="1" applyFont="1" applyFill="1" applyBorder="1" applyAlignment="1">
      <alignment horizontal="right" vertical="center"/>
    </xf>
    <xf numFmtId="171" fontId="20" fillId="0" borderId="0" xfId="0" applyNumberFormat="1" applyFont="1" applyAlignment="1">
      <alignment horizontal="right"/>
    </xf>
    <xf numFmtId="0" fontId="21" fillId="0" borderId="0" xfId="0" applyFont="1" applyAlignment="1">
      <alignment horizontal="centerContinuous"/>
    </xf>
    <xf numFmtId="0" fontId="20" fillId="0" borderId="0" xfId="0" applyFont="1" applyAlignment="1">
      <alignment horizontal="centerContinuous" vertical="center"/>
    </xf>
    <xf numFmtId="0" fontId="21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Continuous"/>
    </xf>
    <xf numFmtId="0" fontId="2" fillId="0" borderId="0" xfId="0" applyFont="1" applyAlignment="1">
      <alignment horizontal="centerContinuous" vertical="center"/>
    </xf>
    <xf numFmtId="0" fontId="21" fillId="0" borderId="19" xfId="0" applyFont="1" applyBorder="1"/>
    <xf numFmtId="0" fontId="8" fillId="0" borderId="19" xfId="0" applyFont="1" applyBorder="1"/>
    <xf numFmtId="0" fontId="24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 vertical="center"/>
    </xf>
    <xf numFmtId="172" fontId="20" fillId="0" borderId="11" xfId="5" applyNumberFormat="1" applyFont="1" applyFill="1" applyBorder="1" applyAlignment="1">
      <alignment vertical="center"/>
    </xf>
    <xf numFmtId="172" fontId="20" fillId="0" borderId="10" xfId="5" applyNumberFormat="1" applyFont="1" applyFill="1" applyBorder="1" applyAlignment="1">
      <alignment vertical="center"/>
    </xf>
    <xf numFmtId="172" fontId="20" fillId="0" borderId="12" xfId="5" applyNumberFormat="1" applyFont="1" applyFill="1" applyBorder="1" applyAlignment="1">
      <alignment vertical="center"/>
    </xf>
    <xf numFmtId="169" fontId="20" fillId="5" borderId="11" xfId="5" applyNumberFormat="1" applyFont="1" applyFill="1" applyBorder="1" applyAlignment="1">
      <alignment vertical="center"/>
    </xf>
    <xf numFmtId="169" fontId="20" fillId="5" borderId="10" xfId="5" applyNumberFormat="1" applyFont="1" applyFill="1" applyBorder="1" applyAlignment="1">
      <alignment vertical="center"/>
    </xf>
    <xf numFmtId="169" fontId="20" fillId="5" borderId="12" xfId="5" applyNumberFormat="1" applyFont="1" applyFill="1" applyBorder="1" applyAlignment="1">
      <alignment vertical="center"/>
    </xf>
    <xf numFmtId="172" fontId="20" fillId="0" borderId="13" xfId="5" applyNumberFormat="1" applyFont="1" applyFill="1" applyBorder="1" applyAlignment="1">
      <alignment vertical="center"/>
    </xf>
    <xf numFmtId="172" fontId="20" fillId="0" borderId="0" xfId="5" applyNumberFormat="1" applyFont="1" applyFill="1" applyAlignment="1">
      <alignment vertical="center"/>
    </xf>
    <xf numFmtId="172" fontId="20" fillId="0" borderId="14" xfId="5" applyNumberFormat="1" applyFont="1" applyFill="1" applyBorder="1" applyAlignment="1">
      <alignment vertical="center"/>
    </xf>
    <xf numFmtId="169" fontId="20" fillId="5" borderId="13" xfId="5" applyNumberFormat="1" applyFont="1" applyFill="1" applyBorder="1" applyAlignment="1">
      <alignment vertical="center"/>
    </xf>
    <xf numFmtId="169" fontId="20" fillId="5" borderId="0" xfId="5" applyNumberFormat="1" applyFont="1" applyFill="1" applyAlignment="1">
      <alignment vertical="center"/>
    </xf>
    <xf numFmtId="169" fontId="20" fillId="5" borderId="14" xfId="5" applyNumberFormat="1" applyFont="1" applyFill="1" applyBorder="1" applyAlignment="1">
      <alignment vertical="center"/>
    </xf>
    <xf numFmtId="172" fontId="24" fillId="0" borderId="15" xfId="5" applyNumberFormat="1" applyFont="1" applyFill="1" applyBorder="1" applyAlignment="1">
      <alignment vertical="center"/>
    </xf>
    <xf numFmtId="169" fontId="24" fillId="5" borderId="15" xfId="5" applyNumberFormat="1" applyFont="1" applyFill="1" applyBorder="1" applyAlignment="1">
      <alignment vertical="center"/>
    </xf>
    <xf numFmtId="172" fontId="20" fillId="0" borderId="16" xfId="5" applyNumberFormat="1" applyFont="1" applyFill="1" applyBorder="1" applyAlignment="1">
      <alignment vertical="center"/>
    </xf>
    <xf numFmtId="172" fontId="20" fillId="0" borderId="17" xfId="5" applyNumberFormat="1" applyFont="1" applyFill="1" applyBorder="1" applyAlignment="1">
      <alignment vertical="center"/>
    </xf>
    <xf numFmtId="172" fontId="20" fillId="0" borderId="18" xfId="5" applyNumberFormat="1" applyFont="1" applyFill="1" applyBorder="1" applyAlignment="1">
      <alignment vertical="center"/>
    </xf>
    <xf numFmtId="169" fontId="20" fillId="5" borderId="16" xfId="5" applyNumberFormat="1" applyFont="1" applyFill="1" applyBorder="1" applyAlignment="1">
      <alignment vertical="center"/>
    </xf>
    <xf numFmtId="169" fontId="20" fillId="5" borderId="17" xfId="5" applyNumberFormat="1" applyFont="1" applyFill="1" applyBorder="1" applyAlignment="1">
      <alignment vertical="center"/>
    </xf>
    <xf numFmtId="169" fontId="20" fillId="5" borderId="18" xfId="5" applyNumberFormat="1" applyFont="1" applyFill="1" applyBorder="1" applyAlignment="1">
      <alignment vertical="center"/>
    </xf>
    <xf numFmtId="173" fontId="20" fillId="0" borderId="0" xfId="0" applyNumberFormat="1" applyFont="1" applyAlignment="1">
      <alignment horizontal="right"/>
    </xf>
    <xf numFmtId="171" fontId="25" fillId="5" borderId="0" xfId="0" applyNumberFormat="1" applyFont="1" applyFill="1" applyAlignment="1">
      <alignment horizontal="right"/>
    </xf>
    <xf numFmtId="0" fontId="9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74" fontId="20" fillId="0" borderId="0" xfId="1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8" fillId="0" borderId="0" xfId="0" applyFont="1"/>
    <xf numFmtId="0" fontId="29" fillId="0" borderId="0" xfId="0" applyFont="1"/>
    <xf numFmtId="0" fontId="20" fillId="0" borderId="0" xfId="0" applyFont="1" applyAlignment="1">
      <alignment horizontal="left"/>
    </xf>
    <xf numFmtId="0" fontId="30" fillId="0" borderId="0" xfId="0" applyFont="1"/>
    <xf numFmtId="172" fontId="20" fillId="0" borderId="0" xfId="0" applyNumberFormat="1" applyFont="1" applyAlignment="1">
      <alignment horizontal="right"/>
    </xf>
    <xf numFmtId="0" fontId="31" fillId="0" borderId="0" xfId="0" quotePrefix="1" applyFont="1" applyAlignment="1">
      <alignment horizontal="center" vertical="center"/>
    </xf>
    <xf numFmtId="0" fontId="20" fillId="0" borderId="0" xfId="0" applyFont="1"/>
    <xf numFmtId="0" fontId="20" fillId="0" borderId="0" xfId="0" applyFont="1" applyAlignment="1">
      <alignment vertical="center"/>
    </xf>
    <xf numFmtId="173" fontId="20" fillId="0" borderId="11" xfId="0" applyNumberFormat="1" applyFont="1" applyBorder="1" applyAlignment="1">
      <alignment horizontal="center"/>
    </xf>
    <xf numFmtId="171" fontId="20" fillId="0" borderId="10" xfId="0" applyNumberFormat="1" applyFont="1" applyBorder="1" applyAlignment="1">
      <alignment horizontal="center"/>
    </xf>
    <xf numFmtId="171" fontId="20" fillId="5" borderId="12" xfId="0" applyNumberFormat="1" applyFont="1" applyFill="1" applyBorder="1" applyAlignment="1">
      <alignment horizontal="center"/>
    </xf>
    <xf numFmtId="0" fontId="32" fillId="5" borderId="0" xfId="0" applyFont="1" applyFill="1" applyAlignment="1">
      <alignment horizontal="center" vertical="center"/>
    </xf>
    <xf numFmtId="0" fontId="24" fillId="0" borderId="0" xfId="0" applyFont="1" applyAlignment="1">
      <alignment horizontal="left"/>
    </xf>
    <xf numFmtId="169" fontId="20" fillId="0" borderId="0" xfId="5" applyNumberFormat="1" applyFont="1" applyFill="1" applyBorder="1" applyAlignment="1">
      <alignment horizontal="right" vertical="center"/>
    </xf>
    <xf numFmtId="0" fontId="33" fillId="0" borderId="0" xfId="0" quotePrefix="1" applyFont="1" applyAlignment="1">
      <alignment horizontal="center" vertical="center"/>
    </xf>
    <xf numFmtId="37" fontId="34" fillId="0" borderId="0" xfId="0" applyNumberFormat="1" applyFont="1" applyAlignment="1">
      <alignment vertical="center"/>
    </xf>
    <xf numFmtId="175" fontId="35" fillId="0" borderId="0" xfId="0" applyNumberFormat="1" applyFont="1" applyAlignment="1">
      <alignment horizontal="right"/>
    </xf>
    <xf numFmtId="173" fontId="20" fillId="0" borderId="13" xfId="0" applyNumberFormat="1" applyFont="1" applyBorder="1" applyAlignment="1">
      <alignment horizontal="center"/>
    </xf>
    <xf numFmtId="171" fontId="20" fillId="0" borderId="0" xfId="0" applyNumberFormat="1" applyFont="1" applyAlignment="1">
      <alignment horizontal="center"/>
    </xf>
    <xf numFmtId="171" fontId="20" fillId="5" borderId="14" xfId="0" applyNumberFormat="1" applyFont="1" applyFill="1" applyBorder="1" applyAlignment="1">
      <alignment horizontal="center"/>
    </xf>
    <xf numFmtId="165" fontId="36" fillId="0" borderId="0" xfId="0" applyNumberFormat="1" applyFont="1" applyAlignment="1">
      <alignment vertical="center"/>
    </xf>
    <xf numFmtId="173" fontId="20" fillId="0" borderId="16" xfId="0" applyNumberFormat="1" applyFont="1" applyBorder="1" applyAlignment="1">
      <alignment horizontal="center"/>
    </xf>
    <xf numFmtId="171" fontId="20" fillId="0" borderId="17" xfId="0" applyNumberFormat="1" applyFont="1" applyBorder="1" applyAlignment="1">
      <alignment horizontal="center"/>
    </xf>
    <xf numFmtId="171" fontId="20" fillId="5" borderId="18" xfId="0" applyNumberFormat="1" applyFont="1" applyFill="1" applyBorder="1" applyAlignment="1">
      <alignment horizontal="center"/>
    </xf>
    <xf numFmtId="169" fontId="20" fillId="0" borderId="0" xfId="0" applyNumberFormat="1" applyFont="1"/>
    <xf numFmtId="0" fontId="8" fillId="0" borderId="0" xfId="0" applyFont="1" applyAlignment="1">
      <alignment horizontal="center"/>
    </xf>
    <xf numFmtId="171" fontId="20" fillId="5" borderId="0" xfId="0" applyNumberFormat="1" applyFont="1" applyFill="1" applyAlignment="1">
      <alignment horizontal="center"/>
    </xf>
    <xf numFmtId="170" fontId="20" fillId="0" borderId="0" xfId="1" applyNumberFormat="1" applyFont="1" applyFill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37" fontId="37" fillId="0" borderId="0" xfId="0" applyNumberFormat="1" applyFont="1" applyAlignment="1">
      <alignment vertical="center"/>
    </xf>
    <xf numFmtId="175" fontId="38" fillId="0" borderId="0" xfId="0" applyNumberFormat="1" applyFont="1" applyAlignment="1">
      <alignment horizontal="right"/>
    </xf>
    <xf numFmtId="0" fontId="28" fillId="0" borderId="19" xfId="0" applyFont="1" applyBorder="1"/>
    <xf numFmtId="0" fontId="6" fillId="0" borderId="0" xfId="0" applyFont="1" applyAlignment="1">
      <alignment horizontal="left" vertical="center"/>
    </xf>
    <xf numFmtId="165" fontId="31" fillId="0" borderId="0" xfId="0" applyNumberFormat="1" applyFont="1" applyAlignment="1">
      <alignment horizontal="left" vertical="center"/>
    </xf>
    <xf numFmtId="176" fontId="38" fillId="0" borderId="0" xfId="0" applyNumberFormat="1" applyFont="1" applyAlignment="1">
      <alignment horizontal="right"/>
    </xf>
    <xf numFmtId="175" fontId="39" fillId="0" borderId="0" xfId="0" applyNumberFormat="1" applyFont="1" applyAlignment="1">
      <alignment horizontal="right"/>
    </xf>
    <xf numFmtId="175" fontId="4" fillId="0" borderId="0" xfId="0" applyNumberFormat="1" applyFont="1" applyAlignment="1">
      <alignment horizontal="right"/>
    </xf>
    <xf numFmtId="37" fontId="7" fillId="0" borderId="0" xfId="0" applyNumberFormat="1" applyFont="1" applyAlignment="1">
      <alignment vertical="center"/>
    </xf>
    <xf numFmtId="37" fontId="4" fillId="0" borderId="0" xfId="0" applyNumberFormat="1" applyFont="1" applyAlignment="1">
      <alignment vertical="center"/>
    </xf>
    <xf numFmtId="175" fontId="4" fillId="6" borderId="0" xfId="0" applyNumberFormat="1" applyFont="1" applyFill="1" applyAlignment="1">
      <alignment horizontal="right"/>
    </xf>
    <xf numFmtId="37" fontId="7" fillId="6" borderId="0" xfId="0" applyNumberFormat="1" applyFont="1" applyFill="1" applyAlignment="1">
      <alignment vertical="center"/>
    </xf>
    <xf numFmtId="37" fontId="4" fillId="6" borderId="0" xfId="0" applyNumberFormat="1" applyFont="1" applyFill="1" applyAlignment="1">
      <alignment vertical="center"/>
    </xf>
    <xf numFmtId="37" fontId="40" fillId="6" borderId="0" xfId="0" applyNumberFormat="1" applyFont="1" applyFill="1" applyAlignment="1">
      <alignment vertical="center"/>
    </xf>
    <xf numFmtId="167" fontId="20" fillId="5" borderId="11" xfId="5" applyNumberFormat="1" applyFont="1" applyFill="1" applyBorder="1" applyAlignment="1">
      <alignment horizontal="right" vertical="center"/>
    </xf>
    <xf numFmtId="167" fontId="20" fillId="5" borderId="10" xfId="5" applyNumberFormat="1" applyFont="1" applyFill="1" applyBorder="1" applyAlignment="1">
      <alignment horizontal="right" vertical="center"/>
    </xf>
    <xf numFmtId="167" fontId="20" fillId="5" borderId="12" xfId="5" applyNumberFormat="1" applyFont="1" applyFill="1" applyBorder="1" applyAlignment="1">
      <alignment horizontal="right" vertical="center"/>
    </xf>
    <xf numFmtId="167" fontId="20" fillId="5" borderId="13" xfId="5" applyNumberFormat="1" applyFont="1" applyFill="1" applyBorder="1" applyAlignment="1">
      <alignment horizontal="right" vertical="center"/>
    </xf>
    <xf numFmtId="167" fontId="20" fillId="5" borderId="0" xfId="5" applyNumberFormat="1" applyFont="1" applyFill="1" applyAlignment="1">
      <alignment horizontal="right" vertical="center"/>
    </xf>
    <xf numFmtId="167" fontId="20" fillId="5" borderId="14" xfId="5" applyNumberFormat="1" applyFont="1" applyFill="1" applyBorder="1" applyAlignment="1">
      <alignment horizontal="right" vertical="center"/>
    </xf>
    <xf numFmtId="167" fontId="24" fillId="5" borderId="15" xfId="5" applyNumberFormat="1" applyFont="1" applyFill="1" applyBorder="1" applyAlignment="1">
      <alignment horizontal="right" vertical="center"/>
    </xf>
    <xf numFmtId="167" fontId="20" fillId="5" borderId="16" xfId="5" applyNumberFormat="1" applyFont="1" applyFill="1" applyBorder="1" applyAlignment="1">
      <alignment horizontal="right" vertical="center"/>
    </xf>
    <xf numFmtId="167" fontId="20" fillId="5" borderId="17" xfId="5" applyNumberFormat="1" applyFont="1" applyFill="1" applyBorder="1" applyAlignment="1">
      <alignment horizontal="right" vertical="center"/>
    </xf>
    <xf numFmtId="167" fontId="20" fillId="5" borderId="18" xfId="5" applyNumberFormat="1" applyFont="1" applyFill="1" applyBorder="1" applyAlignment="1">
      <alignment horizontal="right" vertical="center"/>
    </xf>
    <xf numFmtId="169" fontId="20" fillId="5" borderId="0" xfId="5" applyNumberFormat="1" applyFont="1" applyFill="1" applyBorder="1" applyAlignment="1">
      <alignment vertical="center"/>
    </xf>
    <xf numFmtId="167" fontId="23" fillId="0" borderId="10" xfId="1" applyNumberFormat="1" applyFont="1" applyFill="1" applyBorder="1" applyAlignment="1">
      <alignment horizontal="right" vertical="center"/>
    </xf>
    <xf numFmtId="172" fontId="20" fillId="5" borderId="11" xfId="5" applyNumberFormat="1" applyFont="1" applyFill="1" applyBorder="1" applyAlignment="1">
      <alignment vertical="center"/>
    </xf>
    <xf numFmtId="172" fontId="20" fillId="5" borderId="10" xfId="5" applyNumberFormat="1" applyFont="1" applyFill="1" applyBorder="1" applyAlignment="1">
      <alignment vertical="center"/>
    </xf>
    <xf numFmtId="172" fontId="20" fillId="5" borderId="12" xfId="5" applyNumberFormat="1" applyFont="1" applyFill="1" applyBorder="1" applyAlignment="1">
      <alignment vertical="center"/>
    </xf>
    <xf numFmtId="172" fontId="20" fillId="5" borderId="13" xfId="5" applyNumberFormat="1" applyFont="1" applyFill="1" applyBorder="1" applyAlignment="1">
      <alignment vertical="center"/>
    </xf>
    <xf numFmtId="172" fontId="20" fillId="5" borderId="0" xfId="5" applyNumberFormat="1" applyFont="1" applyFill="1" applyAlignment="1">
      <alignment vertical="center"/>
    </xf>
    <xf numFmtId="172" fontId="20" fillId="5" borderId="14" xfId="5" applyNumberFormat="1" applyFont="1" applyFill="1" applyBorder="1" applyAlignment="1">
      <alignment vertical="center"/>
    </xf>
    <xf numFmtId="172" fontId="24" fillId="5" borderId="15" xfId="5" applyNumberFormat="1" applyFont="1" applyFill="1" applyBorder="1" applyAlignment="1">
      <alignment vertical="center"/>
    </xf>
    <xf numFmtId="172" fontId="20" fillId="5" borderId="16" xfId="5" applyNumberFormat="1" applyFont="1" applyFill="1" applyBorder="1" applyAlignment="1">
      <alignment vertical="center"/>
    </xf>
    <xf numFmtId="172" fontId="20" fillId="5" borderId="17" xfId="5" applyNumberFormat="1" applyFont="1" applyFill="1" applyBorder="1" applyAlignment="1">
      <alignment vertical="center"/>
    </xf>
    <xf numFmtId="172" fontId="20" fillId="5" borderId="18" xfId="5" applyNumberFormat="1" applyFont="1" applyFill="1" applyBorder="1" applyAlignment="1">
      <alignment vertical="center"/>
    </xf>
    <xf numFmtId="173" fontId="20" fillId="5" borderId="11" xfId="0" applyNumberFormat="1" applyFont="1" applyFill="1" applyBorder="1" applyAlignment="1">
      <alignment horizontal="center"/>
    </xf>
    <xf numFmtId="171" fontId="20" fillId="5" borderId="10" xfId="0" applyNumberFormat="1" applyFont="1" applyFill="1" applyBorder="1" applyAlignment="1">
      <alignment horizontal="center"/>
    </xf>
    <xf numFmtId="0" fontId="32" fillId="0" borderId="0" xfId="0" applyFont="1" applyAlignment="1">
      <alignment vertical="center"/>
    </xf>
    <xf numFmtId="169" fontId="20" fillId="0" borderId="0" xfId="5" applyNumberFormat="1" applyFont="1" applyBorder="1" applyAlignment="1">
      <alignment horizontal="right" vertical="center"/>
    </xf>
    <xf numFmtId="173" fontId="20" fillId="5" borderId="13" xfId="0" applyNumberFormat="1" applyFont="1" applyFill="1" applyBorder="1" applyAlignment="1">
      <alignment horizontal="center"/>
    </xf>
    <xf numFmtId="173" fontId="20" fillId="5" borderId="16" xfId="0" applyNumberFormat="1" applyFont="1" applyFill="1" applyBorder="1" applyAlignment="1">
      <alignment horizontal="center"/>
    </xf>
    <xf numFmtId="171" fontId="20" fillId="5" borderId="17" xfId="0" applyNumberFormat="1" applyFont="1" applyFill="1" applyBorder="1" applyAlignment="1">
      <alignment horizontal="center"/>
    </xf>
    <xf numFmtId="0" fontId="24" fillId="0" borderId="0" xfId="0" applyFont="1" applyAlignment="1">
      <alignment horizontal="left" vertical="center"/>
    </xf>
    <xf numFmtId="171" fontId="32" fillId="5" borderId="0" xfId="0" applyNumberFormat="1" applyFont="1" applyFill="1" applyAlignment="1">
      <alignment horizontal="center"/>
    </xf>
    <xf numFmtId="177" fontId="8" fillId="0" borderId="0" xfId="6" applyNumberFormat="1" applyFont="1" applyProtection="1">
      <protection locked="0"/>
    </xf>
    <xf numFmtId="177" fontId="8" fillId="0" borderId="0" xfId="6" applyNumberFormat="1" applyFont="1" applyFill="1" applyProtection="1">
      <protection locked="0"/>
    </xf>
    <xf numFmtId="0" fontId="28" fillId="3" borderId="0" xfId="0" applyFont="1" applyFill="1"/>
    <xf numFmtId="0" fontId="42" fillId="3" borderId="0" xfId="3" applyFont="1" applyFill="1" applyAlignment="1">
      <alignment horizontal="center" vertical="center"/>
    </xf>
    <xf numFmtId="175" fontId="43" fillId="0" borderId="0" xfId="0" applyNumberFormat="1" applyFont="1" applyAlignment="1">
      <alignment horizontal="right" vertical="center"/>
    </xf>
    <xf numFmtId="170" fontId="32" fillId="0" borderId="0" xfId="5" applyNumberFormat="1" applyFont="1" applyFill="1" applyBorder="1" applyAlignment="1">
      <alignment vertical="center"/>
    </xf>
    <xf numFmtId="0" fontId="44" fillId="0" borderId="0" xfId="0" applyFont="1" applyAlignment="1">
      <alignment horizontal="center" vertical="center"/>
    </xf>
    <xf numFmtId="177" fontId="45" fillId="0" borderId="0" xfId="6" applyNumberFormat="1" applyFont="1" applyAlignment="1" applyProtection="1">
      <alignment horizontal="center"/>
      <protection locked="0"/>
    </xf>
    <xf numFmtId="172" fontId="32" fillId="0" borderId="0" xfId="5" applyNumberFormat="1" applyFont="1" applyFill="1" applyBorder="1" applyAlignment="1">
      <alignment vertical="center"/>
    </xf>
    <xf numFmtId="172" fontId="32" fillId="0" borderId="0" xfId="1" applyNumberFormat="1" applyFont="1" applyFill="1" applyBorder="1" applyAlignment="1">
      <alignment horizontal="right" vertical="center"/>
    </xf>
    <xf numFmtId="0" fontId="46" fillId="0" borderId="0" xfId="0" quotePrefix="1" applyFont="1" applyAlignment="1">
      <alignment horizontal="center" vertical="center"/>
    </xf>
    <xf numFmtId="169" fontId="2" fillId="5" borderId="0" xfId="3" applyNumberFormat="1" applyFont="1" applyFill="1" applyBorder="1" applyAlignment="1" applyProtection="1">
      <alignment horizontal="right" vertical="center"/>
      <protection locked="0"/>
    </xf>
    <xf numFmtId="177" fontId="47" fillId="0" borderId="0" xfId="6" applyNumberFormat="1" applyFont="1" applyFill="1" applyBorder="1" applyAlignment="1" applyProtection="1">
      <alignment vertical="center"/>
      <protection locked="0"/>
    </xf>
    <xf numFmtId="0" fontId="21" fillId="0" borderId="0" xfId="0" applyFont="1" applyAlignment="1">
      <alignment vertical="center"/>
    </xf>
    <xf numFmtId="177" fontId="23" fillId="0" borderId="0" xfId="6" applyNumberFormat="1" applyFont="1" applyFill="1" applyBorder="1" applyAlignment="1">
      <alignment horizontal="right" vertical="center"/>
    </xf>
    <xf numFmtId="49" fontId="2" fillId="0" borderId="0" xfId="0" applyNumberFormat="1" applyFont="1" applyAlignment="1">
      <alignment vertical="center"/>
    </xf>
    <xf numFmtId="167" fontId="20" fillId="5" borderId="0" xfId="1" applyNumberFormat="1" applyFont="1" applyFill="1" applyBorder="1" applyAlignment="1">
      <alignment vertical="center"/>
    </xf>
    <xf numFmtId="0" fontId="8" fillId="0" borderId="0" xfId="0" applyFont="1" applyAlignment="1">
      <alignment vertical="center"/>
    </xf>
    <xf numFmtId="178" fontId="32" fillId="0" borderId="0" xfId="1" applyNumberFormat="1" applyFont="1" applyFill="1" applyBorder="1" applyAlignment="1">
      <alignment vertical="center"/>
    </xf>
    <xf numFmtId="167" fontId="32" fillId="0" borderId="0" xfId="1" applyNumberFormat="1" applyFont="1" applyFill="1" applyBorder="1" applyAlignment="1">
      <alignment horizontal="right" vertical="center"/>
    </xf>
    <xf numFmtId="177" fontId="27" fillId="0" borderId="0" xfId="6" applyNumberFormat="1" applyFont="1" applyAlignment="1" applyProtection="1">
      <alignment horizontal="center"/>
      <protection locked="0"/>
    </xf>
    <xf numFmtId="167" fontId="32" fillId="0" borderId="0" xfId="1" applyNumberFormat="1" applyFont="1" applyFill="1" applyBorder="1" applyAlignment="1">
      <alignment vertical="center"/>
    </xf>
    <xf numFmtId="169" fontId="32" fillId="0" borderId="0" xfId="5" applyNumberFormat="1" applyFont="1" applyFill="1" applyBorder="1" applyAlignment="1">
      <alignment vertical="center"/>
    </xf>
    <xf numFmtId="177" fontId="27" fillId="0" borderId="0" xfId="6" applyNumberFormat="1" applyFont="1" applyBorder="1" applyAlignment="1" applyProtection="1">
      <alignment vertical="center"/>
      <protection locked="0"/>
    </xf>
    <xf numFmtId="177" fontId="2" fillId="0" borderId="0" xfId="6" applyNumberFormat="1" applyFont="1" applyBorder="1" applyAlignment="1" applyProtection="1">
      <alignment vertical="center"/>
      <protection locked="0"/>
    </xf>
    <xf numFmtId="169" fontId="32" fillId="0" borderId="19" xfId="5" applyNumberFormat="1" applyFont="1" applyFill="1" applyBorder="1" applyAlignment="1">
      <alignment vertical="center"/>
    </xf>
    <xf numFmtId="0" fontId="44" fillId="0" borderId="19" xfId="0" quotePrefix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0" xfId="0" applyFont="1"/>
    <xf numFmtId="0" fontId="6" fillId="0" borderId="0" xfId="0" applyFont="1"/>
    <xf numFmtId="0" fontId="8" fillId="0" borderId="20" xfId="0" applyFont="1" applyBorder="1"/>
    <xf numFmtId="0" fontId="6" fillId="0" borderId="20" xfId="0" applyFont="1" applyBorder="1"/>
    <xf numFmtId="169" fontId="32" fillId="0" borderId="0" xfId="0" applyNumberFormat="1" applyFont="1" applyAlignment="1">
      <alignment vertical="center"/>
    </xf>
    <xf numFmtId="177" fontId="27" fillId="0" borderId="0" xfId="6" applyNumberFormat="1" applyFont="1" applyAlignment="1" applyProtection="1">
      <alignment vertical="center"/>
      <protection locked="0"/>
    </xf>
    <xf numFmtId="179" fontId="20" fillId="0" borderId="0" xfId="3" applyNumberFormat="1" applyFont="1" applyFill="1" applyBorder="1" applyAlignment="1" applyProtection="1">
      <alignment horizontal="right" vertical="center"/>
      <protection locked="0"/>
    </xf>
    <xf numFmtId="169" fontId="32" fillId="0" borderId="0" xfId="5" applyNumberFormat="1" applyFont="1"/>
    <xf numFmtId="180" fontId="20" fillId="0" borderId="0" xfId="0" applyNumberFormat="1" applyFont="1" applyAlignment="1">
      <alignment horizontal="right" vertical="center"/>
    </xf>
    <xf numFmtId="0" fontId="44" fillId="0" borderId="0" xfId="0" quotePrefix="1" applyFont="1" applyAlignment="1">
      <alignment horizontal="center" vertical="center"/>
    </xf>
    <xf numFmtId="177" fontId="27" fillId="0" borderId="0" xfId="6" applyNumberFormat="1" applyFont="1" applyAlignment="1">
      <alignment horizontal="right"/>
    </xf>
    <xf numFmtId="181" fontId="32" fillId="0" borderId="0" xfId="0" applyNumberFormat="1" applyFont="1" applyAlignment="1">
      <alignment horizontal="right" vertical="center"/>
    </xf>
    <xf numFmtId="0" fontId="2" fillId="0" borderId="19" xfId="0" applyFont="1" applyBorder="1"/>
    <xf numFmtId="181" fontId="32" fillId="0" borderId="19" xfId="0" applyNumberFormat="1" applyFont="1" applyBorder="1" applyAlignment="1">
      <alignment horizontal="right" vertical="center"/>
    </xf>
    <xf numFmtId="0" fontId="8" fillId="0" borderId="19" xfId="0" applyFont="1" applyBorder="1" applyAlignment="1">
      <alignment vertical="center"/>
    </xf>
    <xf numFmtId="49" fontId="2" fillId="0" borderId="19" xfId="0" applyNumberFormat="1" applyFont="1" applyBorder="1" applyAlignment="1">
      <alignment vertical="center"/>
    </xf>
    <xf numFmtId="167" fontId="49" fillId="0" borderId="0" xfId="0" applyNumberFormat="1" applyFont="1"/>
    <xf numFmtId="167" fontId="20" fillId="0" borderId="0" xfId="0" applyNumberFormat="1" applyFont="1"/>
    <xf numFmtId="177" fontId="8" fillId="0" borderId="0" xfId="6" applyNumberFormat="1" applyFont="1" applyFill="1" applyBorder="1" applyProtection="1">
      <protection locked="0"/>
    </xf>
    <xf numFmtId="177" fontId="45" fillId="0" borderId="0" xfId="6" applyNumberFormat="1" applyFont="1" applyAlignment="1">
      <alignment horizontal="right"/>
    </xf>
    <xf numFmtId="177" fontId="45" fillId="0" borderId="0" xfId="6" applyNumberFormat="1" applyFont="1" applyProtection="1">
      <protection locked="0"/>
    </xf>
    <xf numFmtId="174" fontId="32" fillId="0" borderId="0" xfId="0" applyNumberFormat="1" applyFont="1" applyAlignment="1">
      <alignment vertical="center"/>
    </xf>
    <xf numFmtId="174" fontId="32" fillId="0" borderId="10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7" fontId="20" fillId="5" borderId="21" xfId="0" applyNumberFormat="1" applyFont="1" applyFill="1" applyBorder="1" applyAlignment="1">
      <alignment vertical="center"/>
    </xf>
    <xf numFmtId="0" fontId="20" fillId="0" borderId="0" xfId="0" applyFont="1" applyAlignment="1">
      <alignment horizontal="left" indent="1"/>
    </xf>
    <xf numFmtId="0" fontId="49" fillId="0" borderId="0" xfId="0" applyFont="1"/>
    <xf numFmtId="0" fontId="28" fillId="0" borderId="20" xfId="0" applyFont="1" applyBorder="1"/>
    <xf numFmtId="182" fontId="25" fillId="0" borderId="0" xfId="0" applyNumberFormat="1" applyFont="1" applyAlignment="1">
      <alignment horizontal="left" indent="1"/>
    </xf>
    <xf numFmtId="183" fontId="25" fillId="0" borderId="0" xfId="0" applyNumberFormat="1" applyFont="1" applyAlignment="1">
      <alignment horizontal="left" indent="1"/>
    </xf>
    <xf numFmtId="167" fontId="20" fillId="5" borderId="0" xfId="0" applyNumberFormat="1" applyFont="1" applyFill="1" applyAlignment="1">
      <alignment vertical="center"/>
    </xf>
    <xf numFmtId="0" fontId="31" fillId="0" borderId="0" xfId="0" applyFont="1"/>
    <xf numFmtId="184" fontId="25" fillId="0" borderId="0" xfId="0" applyNumberFormat="1" applyFont="1" applyAlignment="1">
      <alignment horizontal="left" indent="1"/>
    </xf>
    <xf numFmtId="168" fontId="25" fillId="0" borderId="0" xfId="0" applyNumberFormat="1" applyFont="1" applyAlignment="1">
      <alignment horizontal="left" indent="1"/>
    </xf>
    <xf numFmtId="169" fontId="6" fillId="0" borderId="22" xfId="0" applyNumberFormat="1" applyFont="1" applyBorder="1" applyAlignment="1">
      <alignment horizontal="right" vertical="center"/>
    </xf>
    <xf numFmtId="0" fontId="27" fillId="0" borderId="19" xfId="0" applyFont="1" applyBorder="1" applyAlignment="1">
      <alignment vertical="center"/>
    </xf>
    <xf numFmtId="37" fontId="4" fillId="0" borderId="10" xfId="0" applyNumberFormat="1" applyFont="1" applyBorder="1" applyAlignment="1">
      <alignment vertical="center"/>
    </xf>
    <xf numFmtId="0" fontId="28" fillId="0" borderId="10" xfId="0" applyFont="1" applyBorder="1"/>
    <xf numFmtId="0" fontId="24" fillId="0" borderId="10" xfId="0" applyFont="1" applyBorder="1" applyAlignment="1">
      <alignment horizontal="left"/>
    </xf>
    <xf numFmtId="174" fontId="23" fillId="5" borderId="0" xfId="1" applyNumberFormat="1" applyFont="1" applyFill="1" applyBorder="1" applyAlignment="1">
      <alignment vertical="center"/>
    </xf>
    <xf numFmtId="0" fontId="45" fillId="0" borderId="0" xfId="0" applyFont="1"/>
    <xf numFmtId="0" fontId="23" fillId="0" borderId="0" xfId="0" applyFont="1" applyAlignment="1">
      <alignment horizontal="left" indent="1"/>
    </xf>
    <xf numFmtId="169" fontId="20" fillId="0" borderId="0" xfId="0" applyNumberFormat="1" applyFont="1" applyAlignment="1">
      <alignment vertical="center"/>
    </xf>
    <xf numFmtId="167" fontId="20" fillId="5" borderId="10" xfId="0" applyNumberFormat="1" applyFont="1" applyFill="1" applyBorder="1" applyAlignment="1">
      <alignment vertical="center"/>
    </xf>
    <xf numFmtId="169" fontId="32" fillId="0" borderId="10" xfId="0" applyNumberFormat="1" applyFont="1" applyBorder="1" applyAlignment="1">
      <alignment vertical="center"/>
    </xf>
    <xf numFmtId="167" fontId="32" fillId="0" borderId="10" xfId="0" applyNumberFormat="1" applyFont="1" applyBorder="1" applyAlignment="1">
      <alignment vertical="center"/>
    </xf>
    <xf numFmtId="167" fontId="32" fillId="0" borderId="0" xfId="0" applyNumberFormat="1" applyFont="1" applyAlignment="1">
      <alignment vertical="center"/>
    </xf>
    <xf numFmtId="169" fontId="24" fillId="0" borderId="10" xfId="0" applyNumberFormat="1" applyFont="1" applyBorder="1" applyAlignment="1">
      <alignment horizontal="right"/>
    </xf>
    <xf numFmtId="171" fontId="20" fillId="0" borderId="0" xfId="0" applyNumberFormat="1" applyFont="1"/>
    <xf numFmtId="172" fontId="20" fillId="5" borderId="10" xfId="0" applyNumberFormat="1" applyFont="1" applyFill="1" applyBorder="1" applyAlignment="1">
      <alignment horizontal="right" vertical="center"/>
    </xf>
    <xf numFmtId="49" fontId="20" fillId="0" borderId="0" xfId="0" applyNumberFormat="1" applyFont="1" applyAlignment="1">
      <alignment horizontal="left" indent="1"/>
    </xf>
    <xf numFmtId="172" fontId="20" fillId="5" borderId="0" xfId="0" applyNumberFormat="1" applyFont="1" applyFill="1"/>
    <xf numFmtId="172" fontId="49" fillId="0" borderId="0" xfId="0" applyNumberFormat="1" applyFont="1"/>
    <xf numFmtId="172" fontId="32" fillId="0" borderId="0" xfId="0" applyNumberFormat="1" applyFont="1"/>
    <xf numFmtId="0" fontId="24" fillId="0" borderId="0" xfId="0" applyFont="1" applyAlignment="1">
      <alignment horizontal="center"/>
    </xf>
    <xf numFmtId="172" fontId="20" fillId="0" borderId="0" xfId="0" applyNumberFormat="1" applyFont="1" applyAlignment="1">
      <alignment horizontal="right" vertical="center"/>
    </xf>
    <xf numFmtId="174" fontId="20" fillId="0" borderId="0" xfId="1" applyNumberFormat="1" applyFont="1" applyBorder="1" applyAlignment="1">
      <alignment vertical="center"/>
    </xf>
    <xf numFmtId="167" fontId="20" fillId="0" borderId="0" xfId="0" applyNumberFormat="1" applyFont="1" applyAlignment="1">
      <alignment vertical="center"/>
    </xf>
    <xf numFmtId="172" fontId="20" fillId="0" borderId="20" xfId="0" applyNumberFormat="1" applyFont="1" applyBorder="1" applyAlignment="1">
      <alignment horizontal="center" vertical="center"/>
    </xf>
    <xf numFmtId="167" fontId="20" fillId="0" borderId="20" xfId="1" applyNumberFormat="1" applyFont="1" applyFill="1" applyBorder="1" applyAlignment="1">
      <alignment horizontal="center" vertical="center"/>
    </xf>
    <xf numFmtId="167" fontId="20" fillId="0" borderId="20" xfId="0" applyNumberFormat="1" applyFont="1" applyBorder="1" applyAlignment="1">
      <alignment horizontal="center" vertical="center"/>
    </xf>
    <xf numFmtId="175" fontId="38" fillId="0" borderId="20" xfId="0" applyNumberFormat="1" applyFont="1" applyBorder="1" applyAlignment="1">
      <alignment horizontal="left"/>
    </xf>
    <xf numFmtId="172" fontId="20" fillId="0" borderId="19" xfId="0" applyNumberFormat="1" applyFont="1" applyBorder="1" applyAlignment="1">
      <alignment horizontal="center" vertical="center"/>
    </xf>
    <xf numFmtId="167" fontId="20" fillId="0" borderId="19" xfId="1" applyNumberFormat="1" applyFont="1" applyFill="1" applyBorder="1" applyAlignment="1">
      <alignment horizontal="center" vertical="center"/>
    </xf>
    <xf numFmtId="167" fontId="20" fillId="0" borderId="19" xfId="0" applyNumberFormat="1" applyFont="1" applyBorder="1" applyAlignment="1">
      <alignment horizontal="center" vertical="center"/>
    </xf>
    <xf numFmtId="175" fontId="38" fillId="0" borderId="19" xfId="0" applyNumberFormat="1" applyFont="1" applyBorder="1" applyAlignment="1">
      <alignment horizontal="left"/>
    </xf>
    <xf numFmtId="172" fontId="20" fillId="0" borderId="0" xfId="0" applyNumberFormat="1" applyFont="1" applyAlignment="1">
      <alignment horizontal="center" vertical="center"/>
    </xf>
    <xf numFmtId="172" fontId="32" fillId="0" borderId="0" xfId="0" applyNumberFormat="1" applyFont="1" applyAlignment="1">
      <alignment horizontal="right" vertical="center"/>
    </xf>
    <xf numFmtId="185" fontId="20" fillId="0" borderId="0" xfId="0" applyNumberFormat="1" applyFont="1" applyAlignment="1">
      <alignment horizontal="center" vertical="center"/>
    </xf>
    <xf numFmtId="169" fontId="32" fillId="0" borderId="0" xfId="0" applyNumberFormat="1" applyFont="1" applyAlignment="1">
      <alignment horizontal="right" vertical="center"/>
    </xf>
    <xf numFmtId="0" fontId="49" fillId="0" borderId="0" xfId="0" applyFont="1" applyAlignment="1">
      <alignment horizontal="left"/>
    </xf>
    <xf numFmtId="172" fontId="20" fillId="5" borderId="20" xfId="0" applyNumberFormat="1" applyFont="1" applyFill="1" applyBorder="1" applyAlignment="1">
      <alignment horizontal="center" vertical="center"/>
    </xf>
    <xf numFmtId="172" fontId="32" fillId="0" borderId="20" xfId="0" applyNumberFormat="1" applyFont="1" applyBorder="1" applyAlignment="1">
      <alignment horizontal="center" vertical="center"/>
    </xf>
    <xf numFmtId="174" fontId="20" fillId="5" borderId="20" xfId="1" applyNumberFormat="1" applyFont="1" applyFill="1" applyBorder="1" applyAlignment="1">
      <alignment horizontal="center" vertical="center"/>
    </xf>
    <xf numFmtId="167" fontId="32" fillId="0" borderId="20" xfId="0" applyNumberFormat="1" applyFont="1" applyBorder="1" applyAlignment="1">
      <alignment horizontal="center" vertical="center"/>
    </xf>
    <xf numFmtId="169" fontId="32" fillId="0" borderId="20" xfId="0" applyNumberFormat="1" applyFont="1" applyBorder="1" applyAlignment="1">
      <alignment horizontal="right" vertical="center"/>
    </xf>
    <xf numFmtId="37" fontId="32" fillId="0" borderId="20" xfId="0" applyNumberFormat="1" applyFont="1" applyBorder="1" applyAlignment="1">
      <alignment horizontal="left" vertical="center"/>
    </xf>
    <xf numFmtId="0" fontId="20" fillId="0" borderId="20" xfId="0" applyFont="1" applyBorder="1" applyAlignment="1">
      <alignment horizontal="left" vertical="center"/>
    </xf>
    <xf numFmtId="172" fontId="20" fillId="5" borderId="0" xfId="0" applyNumberFormat="1" applyFont="1" applyFill="1" applyAlignment="1">
      <alignment horizontal="center" vertical="center"/>
    </xf>
    <xf numFmtId="172" fontId="32" fillId="0" borderId="0" xfId="0" applyNumberFormat="1" applyFont="1" applyAlignment="1">
      <alignment horizontal="center" vertical="center"/>
    </xf>
    <xf numFmtId="174" fontId="20" fillId="5" borderId="0" xfId="1" applyNumberFormat="1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37" fontId="32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9" fontId="24" fillId="0" borderId="23" xfId="0" applyNumberFormat="1" applyFont="1" applyBorder="1" applyAlignment="1">
      <alignment horizontal="right"/>
    </xf>
    <xf numFmtId="186" fontId="24" fillId="0" borderId="23" xfId="0" applyNumberFormat="1" applyFont="1" applyBorder="1" applyAlignment="1">
      <alignment horizontal="center"/>
    </xf>
    <xf numFmtId="169" fontId="24" fillId="0" borderId="23" xfId="0" applyNumberFormat="1" applyFont="1" applyBorder="1" applyAlignment="1">
      <alignment horizontal="center"/>
    </xf>
    <xf numFmtId="187" fontId="24" fillId="0" borderId="23" xfId="0" applyNumberFormat="1" applyFont="1" applyBorder="1" applyAlignment="1">
      <alignment horizontal="right"/>
    </xf>
    <xf numFmtId="0" fontId="24" fillId="0" borderId="23" xfId="0" applyFont="1" applyBorder="1" applyAlignment="1">
      <alignment horizontal="left"/>
    </xf>
    <xf numFmtId="0" fontId="6" fillId="0" borderId="0" xfId="0" applyFont="1" applyAlignment="1">
      <alignment horizontal="center"/>
    </xf>
    <xf numFmtId="169" fontId="24" fillId="0" borderId="0" xfId="0" applyNumberFormat="1" applyFont="1" applyAlignment="1">
      <alignment horizontal="center"/>
    </xf>
    <xf numFmtId="169" fontId="24" fillId="0" borderId="0" xfId="0" applyNumberFormat="1" applyFont="1" applyAlignment="1">
      <alignment horizontal="right"/>
    </xf>
    <xf numFmtId="49" fontId="24" fillId="0" borderId="0" xfId="0" applyNumberFormat="1" applyFont="1" applyAlignment="1">
      <alignment horizontal="left"/>
    </xf>
    <xf numFmtId="169" fontId="38" fillId="0" borderId="19" xfId="0" applyNumberFormat="1" applyFont="1" applyBorder="1" applyAlignment="1">
      <alignment horizontal="right"/>
    </xf>
    <xf numFmtId="169" fontId="38" fillId="0" borderId="19" xfId="0" applyNumberFormat="1" applyFont="1" applyBorder="1" applyAlignment="1">
      <alignment horizontal="center"/>
    </xf>
    <xf numFmtId="169" fontId="24" fillId="0" borderId="19" xfId="0" applyNumberFormat="1" applyFont="1" applyBorder="1" applyAlignment="1">
      <alignment horizontal="center"/>
    </xf>
    <xf numFmtId="0" fontId="39" fillId="0" borderId="0" xfId="0" applyFont="1" applyAlignment="1">
      <alignment horizontal="right"/>
    </xf>
    <xf numFmtId="0" fontId="51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 applyAlignment="1">
      <alignment horizontal="right"/>
    </xf>
    <xf numFmtId="37" fontId="52" fillId="0" borderId="0" xfId="0" applyNumberFormat="1" applyFont="1" applyAlignment="1">
      <alignment vertical="center"/>
    </xf>
    <xf numFmtId="37" fontId="40" fillId="0" borderId="0" xfId="0" applyNumberFormat="1" applyFont="1" applyAlignment="1">
      <alignment vertical="center"/>
    </xf>
    <xf numFmtId="169" fontId="20" fillId="5" borderId="11" xfId="0" applyNumberFormat="1" applyFont="1" applyFill="1" applyBorder="1" applyAlignment="1">
      <alignment horizontal="right" vertical="center"/>
    </xf>
    <xf numFmtId="169" fontId="32" fillId="0" borderId="10" xfId="0" applyNumberFormat="1" applyFont="1" applyBorder="1" applyAlignment="1">
      <alignment horizontal="right" vertical="center"/>
    </xf>
    <xf numFmtId="169" fontId="32" fillId="0" borderId="12" xfId="0" applyNumberFormat="1" applyFont="1" applyBorder="1" applyAlignment="1">
      <alignment horizontal="right" vertical="center"/>
    </xf>
    <xf numFmtId="0" fontId="20" fillId="0" borderId="0" xfId="0" applyFont="1" applyAlignment="1">
      <alignment horizontal="left" indent="2"/>
    </xf>
    <xf numFmtId="169" fontId="20" fillId="5" borderId="13" xfId="0" applyNumberFormat="1" applyFont="1" applyFill="1" applyBorder="1" applyAlignment="1">
      <alignment horizontal="right" vertical="center"/>
    </xf>
    <xf numFmtId="169" fontId="32" fillId="0" borderId="14" xfId="0" applyNumberFormat="1" applyFont="1" applyBorder="1" applyAlignment="1">
      <alignment horizontal="right" vertical="center"/>
    </xf>
    <xf numFmtId="169" fontId="20" fillId="5" borderId="16" xfId="0" applyNumberFormat="1" applyFont="1" applyFill="1" applyBorder="1" applyAlignment="1">
      <alignment horizontal="right" vertical="center"/>
    </xf>
    <xf numFmtId="169" fontId="32" fillId="0" borderId="17" xfId="0" applyNumberFormat="1" applyFont="1" applyBorder="1" applyAlignment="1">
      <alignment horizontal="right" vertical="center"/>
    </xf>
    <xf numFmtId="169" fontId="32" fillId="0" borderId="18" xfId="0" applyNumberFormat="1" applyFont="1" applyBorder="1" applyAlignment="1">
      <alignment horizontal="right" vertical="center"/>
    </xf>
    <xf numFmtId="0" fontId="24" fillId="0" borderId="0" xfId="0" applyFont="1" applyAlignment="1">
      <alignment horizontal="left" indent="1"/>
    </xf>
    <xf numFmtId="167" fontId="32" fillId="0" borderId="0" xfId="0" applyNumberFormat="1" applyFont="1" applyAlignment="1">
      <alignment horizontal="right" vertical="center"/>
    </xf>
    <xf numFmtId="0" fontId="49" fillId="0" borderId="0" xfId="0" applyFont="1" applyAlignment="1">
      <alignment horizontal="right" vertical="center"/>
    </xf>
    <xf numFmtId="167" fontId="32" fillId="0" borderId="24" xfId="0" applyNumberFormat="1" applyFont="1" applyBorder="1" applyAlignment="1">
      <alignment horizontal="right" vertical="center"/>
    </xf>
    <xf numFmtId="167" fontId="32" fillId="0" borderId="25" xfId="0" applyNumberFormat="1" applyFont="1" applyBorder="1" applyAlignment="1">
      <alignment horizontal="right" vertical="center"/>
    </xf>
    <xf numFmtId="167" fontId="32" fillId="0" borderId="26" xfId="0" applyNumberFormat="1" applyFont="1" applyBorder="1" applyAlignment="1">
      <alignment horizontal="right" vertical="center"/>
    </xf>
    <xf numFmtId="169" fontId="32" fillId="0" borderId="11" xfId="0" applyNumberFormat="1" applyFont="1" applyBorder="1" applyAlignment="1">
      <alignment horizontal="right" vertical="center"/>
    </xf>
    <xf numFmtId="0" fontId="2" fillId="0" borderId="0" xfId="0" applyFont="1" applyAlignment="1">
      <alignment horizontal="left" vertical="center" indent="2"/>
    </xf>
    <xf numFmtId="169" fontId="32" fillId="0" borderId="13" xfId="0" applyNumberFormat="1" applyFont="1" applyBorder="1" applyAlignment="1">
      <alignment horizontal="right" vertical="center"/>
    </xf>
    <xf numFmtId="169" fontId="32" fillId="0" borderId="16" xfId="0" applyNumberFormat="1" applyFont="1" applyBorder="1" applyAlignment="1">
      <alignment horizontal="right" vertical="center"/>
    </xf>
    <xf numFmtId="169" fontId="12" fillId="0" borderId="0" xfId="0" applyNumberFormat="1" applyFont="1" applyAlignment="1">
      <alignment horizontal="right"/>
    </xf>
    <xf numFmtId="169" fontId="54" fillId="0" borderId="0" xfId="0" applyNumberFormat="1" applyFont="1" applyAlignment="1">
      <alignment horizontal="right" vertical="center"/>
    </xf>
    <xf numFmtId="169" fontId="55" fillId="0" borderId="0" xfId="0" applyNumberFormat="1" applyFont="1" applyAlignment="1">
      <alignment horizontal="right" vertical="center"/>
    </xf>
    <xf numFmtId="169" fontId="2" fillId="0" borderId="0" xfId="0" applyNumberFormat="1" applyFont="1" applyAlignment="1">
      <alignment horizontal="right" vertical="center"/>
    </xf>
    <xf numFmtId="169" fontId="24" fillId="5" borderId="27" xfId="1" applyNumberFormat="1" applyFont="1" applyFill="1" applyBorder="1" applyAlignment="1">
      <alignment horizontal="right" vertical="center"/>
    </xf>
    <xf numFmtId="169" fontId="24" fillId="5" borderId="28" xfId="1" applyNumberFormat="1" applyFont="1" applyFill="1" applyBorder="1" applyAlignment="1">
      <alignment horizontal="right" vertical="center"/>
    </xf>
    <xf numFmtId="169" fontId="24" fillId="5" borderId="29" xfId="1" applyNumberFormat="1" applyFont="1" applyFill="1" applyBorder="1" applyAlignment="1">
      <alignment horizontal="right" vertical="center"/>
    </xf>
    <xf numFmtId="167" fontId="32" fillId="0" borderId="11" xfId="0" applyNumberFormat="1" applyFont="1" applyBorder="1" applyAlignment="1">
      <alignment vertical="center"/>
    </xf>
    <xf numFmtId="167" fontId="32" fillId="0" borderId="12" xfId="0" applyNumberFormat="1" applyFont="1" applyBorder="1" applyAlignment="1">
      <alignment vertical="center"/>
    </xf>
    <xf numFmtId="167" fontId="32" fillId="0" borderId="13" xfId="0" applyNumberFormat="1" applyFont="1" applyBorder="1" applyAlignment="1">
      <alignment vertical="center"/>
    </xf>
    <xf numFmtId="167" fontId="32" fillId="0" borderId="14" xfId="0" applyNumberFormat="1" applyFont="1" applyBorder="1" applyAlignment="1">
      <alignment vertical="center"/>
    </xf>
    <xf numFmtId="167" fontId="32" fillId="0" borderId="16" xfId="0" applyNumberFormat="1" applyFont="1" applyBorder="1" applyAlignment="1">
      <alignment vertical="center"/>
    </xf>
    <xf numFmtId="167" fontId="32" fillId="0" borderId="17" xfId="0" applyNumberFormat="1" applyFont="1" applyBorder="1" applyAlignment="1">
      <alignment vertical="center"/>
    </xf>
    <xf numFmtId="167" fontId="32" fillId="0" borderId="18" xfId="0" applyNumberFormat="1" applyFont="1" applyBorder="1" applyAlignment="1">
      <alignment vertical="center"/>
    </xf>
    <xf numFmtId="167" fontId="12" fillId="0" borderId="0" xfId="0" applyNumberFormat="1" applyFont="1"/>
    <xf numFmtId="167" fontId="54" fillId="0" borderId="0" xfId="0" applyNumberFormat="1" applyFont="1" applyAlignment="1">
      <alignment horizontal="right" vertical="center"/>
    </xf>
    <xf numFmtId="167" fontId="55" fillId="0" borderId="0" xfId="0" applyNumberFormat="1" applyFont="1" applyAlignment="1">
      <alignment horizontal="right" vertical="center"/>
    </xf>
    <xf numFmtId="167" fontId="2" fillId="0" borderId="0" xfId="0" applyNumberFormat="1" applyFont="1" applyAlignment="1">
      <alignment vertical="center"/>
    </xf>
    <xf numFmtId="167" fontId="24" fillId="5" borderId="27" xfId="1" applyNumberFormat="1" applyFont="1" applyFill="1" applyBorder="1" applyAlignment="1">
      <alignment vertical="center"/>
    </xf>
    <xf numFmtId="167" fontId="24" fillId="5" borderId="28" xfId="1" applyNumberFormat="1" applyFont="1" applyFill="1" applyBorder="1" applyAlignment="1">
      <alignment vertical="center"/>
    </xf>
    <xf numFmtId="167" fontId="24" fillId="5" borderId="29" xfId="1" applyNumberFormat="1" applyFont="1" applyFill="1" applyBorder="1" applyAlignment="1">
      <alignment vertical="center"/>
    </xf>
    <xf numFmtId="174" fontId="12" fillId="0" borderId="0" xfId="0" applyNumberFormat="1" applyFont="1"/>
    <xf numFmtId="174" fontId="54" fillId="0" borderId="0" xfId="0" applyNumberFormat="1" applyFont="1" applyAlignment="1">
      <alignment horizontal="right" vertical="center"/>
    </xf>
    <xf numFmtId="174" fontId="55" fillId="0" borderId="0" xfId="0" applyNumberFormat="1" applyFont="1" applyAlignment="1">
      <alignment horizontal="right" vertical="center"/>
    </xf>
    <xf numFmtId="174" fontId="2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174" fontId="27" fillId="0" borderId="0" xfId="0" applyNumberFormat="1" applyFont="1" applyAlignment="1">
      <alignment horizontal="right" vertical="center"/>
    </xf>
    <xf numFmtId="188" fontId="54" fillId="0" borderId="0" xfId="0" applyNumberFormat="1" applyFont="1" applyAlignment="1">
      <alignment horizontal="right" vertical="center"/>
    </xf>
    <xf numFmtId="0" fontId="27" fillId="0" borderId="0" xfId="0" applyFont="1" applyAlignment="1">
      <alignment horizontal="right" vertical="center"/>
    </xf>
    <xf numFmtId="176" fontId="38" fillId="0" borderId="21" xfId="0" applyNumberFormat="1" applyFont="1" applyBorder="1" applyAlignment="1">
      <alignment horizontal="right"/>
    </xf>
    <xf numFmtId="176" fontId="38" fillId="0" borderId="10" xfId="0" applyNumberFormat="1" applyFont="1" applyBorder="1" applyAlignment="1">
      <alignment horizontal="right"/>
    </xf>
    <xf numFmtId="175" fontId="38" fillId="0" borderId="10" xfId="0" applyNumberFormat="1" applyFont="1" applyBorder="1" applyAlignment="1">
      <alignment horizontal="right"/>
    </xf>
    <xf numFmtId="165" fontId="36" fillId="0" borderId="10" xfId="0" applyNumberFormat="1" applyFont="1" applyBorder="1" applyAlignment="1">
      <alignment vertical="center"/>
    </xf>
    <xf numFmtId="184" fontId="22" fillId="0" borderId="0" xfId="0" quotePrefix="1" applyNumberFormat="1" applyFont="1" applyAlignment="1">
      <alignment horizontal="right"/>
    </xf>
    <xf numFmtId="172" fontId="20" fillId="0" borderId="11" xfId="0" applyNumberFormat="1" applyFont="1" applyBorder="1"/>
    <xf numFmtId="0" fontId="56" fillId="0" borderId="10" xfId="0" applyFont="1" applyBorder="1" applyAlignment="1">
      <alignment horizontal="right"/>
    </xf>
    <xf numFmtId="0" fontId="49" fillId="0" borderId="12" xfId="0" applyFont="1" applyBorder="1" applyAlignment="1">
      <alignment horizontal="left" indent="1"/>
    </xf>
    <xf numFmtId="169" fontId="20" fillId="0" borderId="11" xfId="0" applyNumberFormat="1" applyFont="1" applyBorder="1"/>
    <xf numFmtId="169" fontId="49" fillId="0" borderId="11" xfId="0" applyNumberFormat="1" applyFont="1" applyBorder="1"/>
    <xf numFmtId="0" fontId="56" fillId="0" borderId="0" xfId="0" quotePrefix="1" applyFont="1" applyAlignment="1">
      <alignment horizontal="right"/>
    </xf>
    <xf numFmtId="0" fontId="49" fillId="0" borderId="14" xfId="0" applyFont="1" applyBorder="1" applyAlignment="1">
      <alignment horizontal="left" indent="1"/>
    </xf>
    <xf numFmtId="0" fontId="20" fillId="0" borderId="14" xfId="0" applyFont="1" applyBorder="1" applyAlignment="1">
      <alignment horizontal="left" indent="1"/>
    </xf>
    <xf numFmtId="169" fontId="20" fillId="0" borderId="16" xfId="0" applyNumberFormat="1" applyFont="1" applyBorder="1"/>
    <xf numFmtId="0" fontId="8" fillId="0" borderId="17" xfId="0" applyFont="1" applyBorder="1"/>
    <xf numFmtId="0" fontId="49" fillId="0" borderId="18" xfId="0" applyFont="1" applyBorder="1" applyAlignment="1">
      <alignment horizontal="left" indent="1"/>
    </xf>
    <xf numFmtId="0" fontId="38" fillId="0" borderId="0" xfId="0" applyFont="1" applyAlignment="1">
      <alignment horizontal="left"/>
    </xf>
    <xf numFmtId="178" fontId="23" fillId="0" borderId="10" xfId="0" applyNumberFormat="1" applyFont="1" applyBorder="1" applyAlignment="1">
      <alignment horizontal="right"/>
    </xf>
    <xf numFmtId="0" fontId="21" fillId="0" borderId="10" xfId="0" applyFont="1" applyBorder="1"/>
    <xf numFmtId="0" fontId="20" fillId="0" borderId="12" xfId="0" applyFont="1" applyBorder="1" applyAlignment="1">
      <alignment horizontal="left" indent="1"/>
    </xf>
    <xf numFmtId="169" fontId="20" fillId="5" borderId="11" xfId="0" applyNumberFormat="1" applyFont="1" applyFill="1" applyBorder="1"/>
    <xf numFmtId="175" fontId="49" fillId="0" borderId="0" xfId="0" applyNumberFormat="1" applyFont="1" applyAlignment="1">
      <alignment horizontal="right"/>
    </xf>
    <xf numFmtId="0" fontId="49" fillId="0" borderId="0" xfId="0" applyFont="1" applyAlignment="1">
      <alignment horizontal="left" indent="1"/>
    </xf>
    <xf numFmtId="189" fontId="49" fillId="0" borderId="0" xfId="0" applyNumberFormat="1" applyFont="1"/>
    <xf numFmtId="178" fontId="23" fillId="0" borderId="17" xfId="0" applyNumberFormat="1" applyFont="1" applyBorder="1" applyAlignment="1">
      <alignment horizontal="right"/>
    </xf>
    <xf numFmtId="0" fontId="21" fillId="0" borderId="17" xfId="0" applyFont="1" applyBorder="1"/>
    <xf numFmtId="0" fontId="20" fillId="0" borderId="18" xfId="0" applyFont="1" applyBorder="1" applyAlignment="1">
      <alignment horizontal="left" indent="1"/>
    </xf>
    <xf numFmtId="169" fontId="20" fillId="5" borderId="16" xfId="0" applyNumberFormat="1" applyFont="1" applyFill="1" applyBorder="1"/>
    <xf numFmtId="37" fontId="37" fillId="0" borderId="17" xfId="0" applyNumberFormat="1" applyFont="1" applyBorder="1" applyAlignment="1">
      <alignment vertical="center"/>
    </xf>
    <xf numFmtId="0" fontId="21" fillId="0" borderId="0" xfId="0" applyFont="1" applyAlignment="1">
      <alignment horizontal="center"/>
    </xf>
    <xf numFmtId="171" fontId="32" fillId="0" borderId="0" xfId="0" applyNumberFormat="1" applyFont="1"/>
    <xf numFmtId="169" fontId="20" fillId="0" borderId="0" xfId="0" applyNumberFormat="1" applyFont="1" applyAlignment="1">
      <alignment horizontal="right"/>
    </xf>
    <xf numFmtId="167" fontId="20" fillId="0" borderId="0" xfId="5" applyNumberFormat="1" applyFont="1" applyFill="1" applyBorder="1" applyAlignment="1">
      <alignment horizontal="right"/>
    </xf>
    <xf numFmtId="169" fontId="32" fillId="0" borderId="0" xfId="0" applyNumberFormat="1" applyFont="1" applyAlignment="1">
      <alignment horizontal="right"/>
    </xf>
    <xf numFmtId="171" fontId="24" fillId="0" borderId="0" xfId="0" applyNumberFormat="1" applyFont="1"/>
    <xf numFmtId="169" fontId="20" fillId="0" borderId="10" xfId="0" applyNumberFormat="1" applyFont="1" applyBorder="1"/>
    <xf numFmtId="169" fontId="32" fillId="0" borderId="10" xfId="0" applyNumberFormat="1" applyFont="1" applyBorder="1"/>
    <xf numFmtId="169" fontId="32" fillId="0" borderId="0" xfId="0" applyNumberFormat="1" applyFont="1"/>
    <xf numFmtId="172" fontId="20" fillId="0" borderId="0" xfId="0" applyNumberFormat="1" applyFont="1"/>
    <xf numFmtId="169" fontId="20" fillId="0" borderId="10" xfId="0" applyNumberFormat="1" applyFont="1" applyBorder="1" applyAlignment="1">
      <alignment horizontal="right"/>
    </xf>
    <xf numFmtId="169" fontId="32" fillId="0" borderId="10" xfId="0" applyNumberFormat="1" applyFont="1" applyBorder="1" applyAlignment="1">
      <alignment horizontal="right"/>
    </xf>
    <xf numFmtId="169" fontId="20" fillId="5" borderId="0" xfId="0" applyNumberFormat="1" applyFont="1" applyFill="1" applyAlignment="1">
      <alignment horizontal="right"/>
    </xf>
    <xf numFmtId="172" fontId="20" fillId="5" borderId="30" xfId="5" applyNumberFormat="1" applyFont="1" applyFill="1" applyBorder="1" applyAlignment="1">
      <alignment horizontal="center"/>
    </xf>
    <xf numFmtId="169" fontId="20" fillId="5" borderId="10" xfId="0" applyNumberFormat="1" applyFont="1" applyFill="1" applyBorder="1" applyAlignment="1">
      <alignment horizontal="right"/>
    </xf>
    <xf numFmtId="169" fontId="58" fillId="0" borderId="31" xfId="0" applyNumberFormat="1" applyFont="1" applyBorder="1" applyAlignment="1">
      <alignment horizontal="center"/>
    </xf>
    <xf numFmtId="169" fontId="58" fillId="0" borderId="32" xfId="0" applyNumberFormat="1" applyFont="1" applyBorder="1" applyAlignment="1">
      <alignment horizontal="center"/>
    </xf>
    <xf numFmtId="190" fontId="60" fillId="0" borderId="0" xfId="1" applyNumberFormat="1" applyFont="1" applyFill="1" applyBorder="1" applyAlignment="1">
      <alignment horizontal="right"/>
    </xf>
    <xf numFmtId="189" fontId="61" fillId="0" borderId="0" xfId="0" applyNumberFormat="1" applyFont="1"/>
    <xf numFmtId="169" fontId="20" fillId="5" borderId="33" xfId="0" applyNumberFormat="1" applyFont="1" applyFill="1" applyBorder="1"/>
    <xf numFmtId="169" fontId="32" fillId="0" borderId="12" xfId="0" applyNumberFormat="1" applyFont="1" applyBorder="1"/>
    <xf numFmtId="175" fontId="24" fillId="0" borderId="0" xfId="0" applyNumberFormat="1" applyFont="1" applyAlignment="1">
      <alignment horizontal="right"/>
    </xf>
    <xf numFmtId="37" fontId="62" fillId="0" borderId="0" xfId="0" applyNumberFormat="1" applyFont="1" applyAlignment="1">
      <alignment vertical="center"/>
    </xf>
    <xf numFmtId="169" fontId="20" fillId="0" borderId="32" xfId="0" applyNumberFormat="1" applyFont="1" applyBorder="1"/>
    <xf numFmtId="169" fontId="20" fillId="0" borderId="17" xfId="0" applyNumberFormat="1" applyFont="1" applyBorder="1"/>
    <xf numFmtId="169" fontId="32" fillId="0" borderId="18" xfId="0" applyNumberFormat="1" applyFont="1" applyBorder="1"/>
    <xf numFmtId="175" fontId="4" fillId="0" borderId="23" xfId="0" applyNumberFormat="1" applyFont="1" applyBorder="1" applyAlignment="1">
      <alignment horizontal="right"/>
    </xf>
    <xf numFmtId="189" fontId="61" fillId="0" borderId="34" xfId="0" applyNumberFormat="1" applyFont="1" applyBorder="1"/>
    <xf numFmtId="191" fontId="20" fillId="5" borderId="35" xfId="0" applyNumberFormat="1" applyFont="1" applyFill="1" applyBorder="1" applyAlignment="1">
      <alignment horizontal="center"/>
    </xf>
    <xf numFmtId="191" fontId="20" fillId="5" borderId="0" xfId="0" applyNumberFormat="1" applyFont="1" applyFill="1" applyAlignment="1">
      <alignment horizontal="center"/>
    </xf>
    <xf numFmtId="191" fontId="20" fillId="0" borderId="34" xfId="0" applyNumberFormat="1" applyFont="1" applyBorder="1" applyAlignment="1">
      <alignment horizontal="center"/>
    </xf>
    <xf numFmtId="169" fontId="58" fillId="0" borderId="0" xfId="0" applyNumberFormat="1" applyFont="1" applyAlignment="1">
      <alignment horizontal="left"/>
    </xf>
    <xf numFmtId="167" fontId="20" fillId="0" borderId="11" xfId="1" applyNumberFormat="1" applyFont="1" applyFill="1" applyBorder="1" applyAlignment="1">
      <alignment horizontal="right"/>
    </xf>
    <xf numFmtId="0" fontId="49" fillId="0" borderId="12" xfId="0" applyFont="1" applyBorder="1" applyAlignment="1">
      <alignment horizontal="left"/>
    </xf>
    <xf numFmtId="191" fontId="20" fillId="5" borderId="36" xfId="0" applyNumberFormat="1" applyFont="1" applyFill="1" applyBorder="1" applyAlignment="1">
      <alignment horizontal="center"/>
    </xf>
    <xf numFmtId="170" fontId="20" fillId="0" borderId="16" xfId="1" applyNumberFormat="1" applyFont="1" applyFill="1" applyBorder="1" applyAlignment="1">
      <alignment horizontal="right"/>
    </xf>
    <xf numFmtId="0" fontId="49" fillId="0" borderId="18" xfId="0" applyFont="1" applyBorder="1" applyAlignment="1">
      <alignment horizontal="left"/>
    </xf>
    <xf numFmtId="0" fontId="63" fillId="0" borderId="37" xfId="0" applyFont="1" applyBorder="1" applyAlignment="1">
      <alignment horizontal="center"/>
    </xf>
    <xf numFmtId="0" fontId="63" fillId="0" borderId="19" xfId="0" applyFont="1" applyBorder="1" applyAlignment="1">
      <alignment horizontal="center"/>
    </xf>
    <xf numFmtId="0" fontId="63" fillId="0" borderId="38" xfId="0" applyFont="1" applyBorder="1" applyAlignment="1">
      <alignment horizontal="center"/>
    </xf>
    <xf numFmtId="169" fontId="58" fillId="0" borderId="37" xfId="0" applyNumberFormat="1" applyFont="1" applyBorder="1" applyAlignment="1">
      <alignment horizontal="center"/>
    </xf>
    <xf numFmtId="175" fontId="58" fillId="0" borderId="19" xfId="0" applyNumberFormat="1" applyFont="1" applyBorder="1" applyAlignment="1">
      <alignment horizontal="centerContinuous"/>
    </xf>
    <xf numFmtId="169" fontId="58" fillId="0" borderId="38" xfId="0" applyNumberFormat="1" applyFont="1" applyBorder="1" applyAlignment="1">
      <alignment horizontal="centerContinuous"/>
    </xf>
    <xf numFmtId="169" fontId="58" fillId="0" borderId="38" xfId="0" applyNumberFormat="1" applyFont="1" applyBorder="1" applyAlignment="1">
      <alignment horizontal="center"/>
    </xf>
    <xf numFmtId="192" fontId="38" fillId="6" borderId="0" xfId="0" applyNumberFormat="1" applyFont="1" applyFill="1" applyAlignment="1">
      <alignment horizontal="centerContinuous"/>
    </xf>
    <xf numFmtId="192" fontId="36" fillId="6" borderId="0" xfId="0" applyNumberFormat="1" applyFont="1" applyFill="1" applyAlignment="1">
      <alignment horizontal="centerContinuous"/>
    </xf>
    <xf numFmtId="37" fontId="2" fillId="6" borderId="0" xfId="0" applyNumberFormat="1" applyFont="1" applyFill="1" applyAlignment="1">
      <alignment vertical="center"/>
    </xf>
    <xf numFmtId="168" fontId="49" fillId="0" borderId="0" xfId="0" quotePrefix="1" applyNumberFormat="1" applyFont="1" applyAlignment="1">
      <alignment horizontal="right"/>
    </xf>
    <xf numFmtId="168" fontId="25" fillId="0" borderId="0" xfId="0" quotePrefix="1" applyNumberFormat="1" applyFont="1" applyAlignment="1">
      <alignment horizontal="right"/>
    </xf>
    <xf numFmtId="176" fontId="24" fillId="0" borderId="0" xfId="0" applyNumberFormat="1" applyFont="1" applyAlignment="1">
      <alignment horizontal="right"/>
    </xf>
    <xf numFmtId="172" fontId="20" fillId="5" borderId="16" xfId="0" applyNumberFormat="1" applyFont="1" applyFill="1" applyBorder="1"/>
    <xf numFmtId="0" fontId="46" fillId="0" borderId="0" xfId="0" applyFont="1" applyAlignment="1">
      <alignment horizontal="right"/>
    </xf>
    <xf numFmtId="0" fontId="21" fillId="0" borderId="14" xfId="0" applyFont="1" applyBorder="1"/>
    <xf numFmtId="169" fontId="20" fillId="5" borderId="17" xfId="0" applyNumberFormat="1" applyFont="1" applyFill="1" applyBorder="1"/>
    <xf numFmtId="169" fontId="20" fillId="0" borderId="13" xfId="0" applyNumberFormat="1" applyFont="1" applyBorder="1"/>
    <xf numFmtId="0" fontId="46" fillId="0" borderId="0" xfId="0" quotePrefix="1" applyFont="1" applyAlignment="1">
      <alignment horizontal="right"/>
    </xf>
    <xf numFmtId="178" fontId="23" fillId="5" borderId="17" xfId="0" applyNumberFormat="1" applyFont="1" applyFill="1" applyBorder="1" applyAlignment="1">
      <alignment horizontal="right"/>
    </xf>
    <xf numFmtId="169" fontId="20" fillId="5" borderId="13" xfId="0" applyNumberFormat="1" applyFont="1" applyFill="1" applyBorder="1"/>
    <xf numFmtId="178" fontId="23" fillId="5" borderId="0" xfId="0" applyNumberFormat="1" applyFont="1" applyFill="1" applyAlignment="1">
      <alignment horizontal="right"/>
    </xf>
    <xf numFmtId="167" fontId="20" fillId="5" borderId="0" xfId="5" applyNumberFormat="1" applyFont="1" applyFill="1" applyBorder="1" applyAlignment="1">
      <alignment horizontal="right"/>
    </xf>
    <xf numFmtId="169" fontId="20" fillId="5" borderId="30" xfId="0" applyNumberFormat="1" applyFont="1" applyFill="1" applyBorder="1"/>
    <xf numFmtId="169" fontId="20" fillId="5" borderId="25" xfId="0" applyNumberFormat="1" applyFont="1" applyFill="1" applyBorder="1"/>
    <xf numFmtId="169" fontId="20" fillId="0" borderId="26" xfId="0" applyNumberFormat="1" applyFont="1" applyBorder="1"/>
    <xf numFmtId="167" fontId="2" fillId="0" borderId="16" xfId="1" applyNumberFormat="1" applyFont="1" applyFill="1" applyBorder="1" applyAlignment="1">
      <alignment horizontal="right"/>
    </xf>
    <xf numFmtId="0" fontId="65" fillId="6" borderId="0" xfId="0" applyFont="1" applyFill="1" applyAlignment="1">
      <alignment horizontal="right" vertical="center"/>
    </xf>
    <xf numFmtId="174" fontId="49" fillId="0" borderId="10" xfId="1" applyNumberFormat="1" applyFont="1" applyFill="1" applyBorder="1"/>
    <xf numFmtId="0" fontId="49" fillId="0" borderId="10" xfId="0" applyFont="1" applyBorder="1"/>
    <xf numFmtId="0" fontId="38" fillId="0" borderId="10" xfId="0" applyFont="1" applyBorder="1"/>
    <xf numFmtId="171" fontId="23" fillId="0" borderId="0" xfId="0" applyNumberFormat="1" applyFont="1"/>
    <xf numFmtId="175" fontId="66" fillId="0" borderId="0" xfId="0" applyNumberFormat="1" applyFont="1" applyAlignment="1">
      <alignment horizontal="right"/>
    </xf>
    <xf numFmtId="37" fontId="67" fillId="0" borderId="0" xfId="0" applyNumberFormat="1" applyFont="1" applyAlignment="1">
      <alignment vertical="center"/>
    </xf>
    <xf numFmtId="166" fontId="20" fillId="0" borderId="39" xfId="0" applyNumberFormat="1" applyFont="1" applyBorder="1" applyAlignment="1">
      <alignment horizontal="right"/>
    </xf>
    <xf numFmtId="166" fontId="20" fillId="0" borderId="40" xfId="0" applyNumberFormat="1" applyFont="1" applyBorder="1" applyAlignment="1">
      <alignment horizontal="right"/>
    </xf>
    <xf numFmtId="166" fontId="20" fillId="0" borderId="41" xfId="0" applyNumberFormat="1" applyFont="1" applyBorder="1" applyAlignment="1">
      <alignment horizontal="right"/>
    </xf>
    <xf numFmtId="0" fontId="55" fillId="0" borderId="0" xfId="0" applyFont="1" applyAlignment="1">
      <alignment horizontal="left" indent="1"/>
    </xf>
    <xf numFmtId="169" fontId="20" fillId="5" borderId="42" xfId="0" applyNumberFormat="1" applyFont="1" applyFill="1" applyBorder="1" applyAlignment="1">
      <alignment vertical="center"/>
    </xf>
    <xf numFmtId="169" fontId="20" fillId="5" borderId="43" xfId="0" applyNumberFormat="1" applyFont="1" applyFill="1" applyBorder="1" applyAlignment="1">
      <alignment vertical="center"/>
    </xf>
    <xf numFmtId="169" fontId="20" fillId="5" borderId="31" xfId="0" applyNumberFormat="1" applyFont="1" applyFill="1" applyBorder="1"/>
    <xf numFmtId="169" fontId="20" fillId="5" borderId="0" xfId="0" applyNumberFormat="1" applyFont="1" applyFill="1"/>
    <xf numFmtId="169" fontId="20" fillId="5" borderId="32" xfId="0" applyNumberFormat="1" applyFont="1" applyFill="1" applyBorder="1"/>
    <xf numFmtId="173" fontId="32" fillId="0" borderId="0" xfId="0" applyNumberFormat="1" applyFont="1" applyAlignment="1">
      <alignment horizontal="right"/>
    </xf>
    <xf numFmtId="169" fontId="24" fillId="0" borderId="0" xfId="0" applyNumberFormat="1" applyFont="1"/>
    <xf numFmtId="178" fontId="20" fillId="0" borderId="11" xfId="0" applyNumberFormat="1" applyFont="1" applyBorder="1" applyAlignment="1">
      <alignment horizontal="right"/>
    </xf>
    <xf numFmtId="0" fontId="20" fillId="0" borderId="12" xfId="0" applyFont="1" applyBorder="1" applyAlignment="1">
      <alignment horizontal="left"/>
    </xf>
    <xf numFmtId="0" fontId="20" fillId="0" borderId="14" xfId="0" applyFont="1" applyBorder="1" applyAlignment="1">
      <alignment horizontal="left"/>
    </xf>
    <xf numFmtId="0" fontId="20" fillId="0" borderId="18" xfId="0" applyFont="1" applyBorder="1" applyAlignment="1">
      <alignment horizontal="left"/>
    </xf>
    <xf numFmtId="169" fontId="38" fillId="0" borderId="0" xfId="0" applyNumberFormat="1" applyFont="1" applyAlignment="1">
      <alignment horizontal="right"/>
    </xf>
    <xf numFmtId="169" fontId="49" fillId="0" borderId="0" xfId="0" applyNumberFormat="1" applyFont="1" applyAlignment="1">
      <alignment horizontal="right"/>
    </xf>
    <xf numFmtId="184" fontId="49" fillId="0" borderId="0" xfId="0" quotePrefix="1" applyNumberFormat="1" applyFont="1" applyAlignment="1">
      <alignment horizontal="right"/>
    </xf>
    <xf numFmtId="169" fontId="20" fillId="0" borderId="43" xfId="0" applyNumberFormat="1" applyFont="1" applyBorder="1" applyAlignment="1">
      <alignment vertical="center"/>
    </xf>
    <xf numFmtId="175" fontId="24" fillId="0" borderId="10" xfId="0" applyNumberFormat="1" applyFont="1" applyBorder="1" applyAlignment="1">
      <alignment horizontal="right"/>
    </xf>
    <xf numFmtId="37" fontId="68" fillId="0" borderId="10" xfId="0" applyNumberFormat="1" applyFont="1" applyBorder="1" applyAlignment="1">
      <alignment vertical="center"/>
    </xf>
    <xf numFmtId="165" fontId="31" fillId="0" borderId="10" xfId="0" applyNumberFormat="1" applyFont="1" applyBorder="1" applyAlignment="1">
      <alignment vertical="center"/>
    </xf>
    <xf numFmtId="169" fontId="38" fillId="0" borderId="10" xfId="0" applyNumberFormat="1" applyFont="1" applyBorder="1" applyAlignment="1">
      <alignment horizontal="right"/>
    </xf>
    <xf numFmtId="49" fontId="49" fillId="0" borderId="0" xfId="0" applyNumberFormat="1" applyFont="1" applyAlignment="1">
      <alignment horizontal="left" indent="1"/>
    </xf>
    <xf numFmtId="49" fontId="38" fillId="0" borderId="0" xfId="0" applyNumberFormat="1" applyFont="1" applyAlignment="1">
      <alignment horizontal="left"/>
    </xf>
    <xf numFmtId="169" fontId="20" fillId="5" borderId="10" xfId="0" applyNumberFormat="1" applyFont="1" applyFill="1" applyBorder="1"/>
    <xf numFmtId="174" fontId="70" fillId="0" borderId="0" xfId="1" applyNumberFormat="1" applyFont="1" applyBorder="1"/>
    <xf numFmtId="166" fontId="20" fillId="0" borderId="11" xfId="0" applyNumberFormat="1" applyFont="1" applyBorder="1" applyAlignment="1">
      <alignment horizontal="right"/>
    </xf>
    <xf numFmtId="49" fontId="20" fillId="0" borderId="12" xfId="0" applyNumberFormat="1" applyFont="1" applyBorder="1" applyAlignment="1">
      <alignment horizontal="left"/>
    </xf>
    <xf numFmtId="174" fontId="20" fillId="0" borderId="16" xfId="1" applyNumberFormat="1" applyFont="1" applyFill="1" applyBorder="1" applyAlignment="1"/>
    <xf numFmtId="37" fontId="68" fillId="0" borderId="17" xfId="0" applyNumberFormat="1" applyFont="1" applyBorder="1" applyAlignment="1">
      <alignment vertical="center"/>
    </xf>
    <xf numFmtId="193" fontId="20" fillId="0" borderId="0" xfId="0" applyNumberFormat="1" applyFont="1"/>
    <xf numFmtId="193" fontId="20" fillId="0" borderId="11" xfId="0" applyNumberFormat="1" applyFont="1" applyBorder="1"/>
    <xf numFmtId="193" fontId="20" fillId="0" borderId="10" xfId="0" applyNumberFormat="1" applyFont="1" applyBorder="1"/>
    <xf numFmtId="193" fontId="20" fillId="0" borderId="12" xfId="0" applyNumberFormat="1" applyFont="1" applyBorder="1"/>
    <xf numFmtId="169" fontId="20" fillId="5" borderId="18" xfId="0" applyNumberFormat="1" applyFont="1" applyFill="1" applyBorder="1"/>
    <xf numFmtId="175" fontId="38" fillId="0" borderId="22" xfId="0" applyNumberFormat="1" applyFont="1" applyBorder="1" applyAlignment="1">
      <alignment horizontal="right"/>
    </xf>
    <xf numFmtId="167" fontId="20" fillId="0" borderId="0" xfId="1" applyNumberFormat="1" applyFont="1" applyFill="1" applyBorder="1" applyAlignment="1">
      <alignment horizontal="right"/>
    </xf>
    <xf numFmtId="167" fontId="49" fillId="0" borderId="0" xfId="1" applyNumberFormat="1" applyFont="1" applyFill="1" applyBorder="1" applyAlignment="1">
      <alignment horizontal="right"/>
    </xf>
    <xf numFmtId="0" fontId="38" fillId="0" borderId="0" xfId="0" applyFont="1"/>
    <xf numFmtId="169" fontId="49" fillId="0" borderId="0" xfId="0" applyNumberFormat="1" applyFont="1"/>
    <xf numFmtId="169" fontId="71" fillId="0" borderId="0" xfId="0" applyNumberFormat="1" applyFont="1"/>
    <xf numFmtId="37" fontId="37" fillId="0" borderId="10" xfId="0" applyNumberFormat="1" applyFont="1" applyBorder="1" applyAlignment="1">
      <alignment vertical="center"/>
    </xf>
    <xf numFmtId="173" fontId="20" fillId="0" borderId="0" xfId="0" applyNumberFormat="1" applyFont="1"/>
    <xf numFmtId="169" fontId="20" fillId="0" borderId="0" xfId="1" applyNumberFormat="1" applyFont="1"/>
    <xf numFmtId="194" fontId="20" fillId="0" borderId="0" xfId="0" applyNumberFormat="1" applyFont="1" applyAlignment="1">
      <alignment horizontal="left"/>
    </xf>
    <xf numFmtId="167" fontId="32" fillId="0" borderId="0" xfId="0" applyNumberFormat="1" applyFont="1" applyAlignment="1">
      <alignment horizontal="right"/>
    </xf>
    <xf numFmtId="167" fontId="49" fillId="0" borderId="11" xfId="1" applyNumberFormat="1" applyFont="1" applyFill="1" applyBorder="1"/>
    <xf numFmtId="37" fontId="62" fillId="0" borderId="10" xfId="0" applyNumberFormat="1" applyFont="1" applyBorder="1" applyAlignment="1">
      <alignment vertical="center"/>
    </xf>
    <xf numFmtId="178" fontId="49" fillId="0" borderId="16" xfId="0" applyNumberFormat="1" applyFont="1" applyBorder="1" applyAlignment="1">
      <alignment horizontal="right"/>
    </xf>
    <xf numFmtId="37" fontId="62" fillId="0" borderId="17" xfId="0" applyNumberFormat="1" applyFont="1" applyBorder="1" applyAlignment="1">
      <alignment vertical="center"/>
    </xf>
    <xf numFmtId="169" fontId="20" fillId="5" borderId="24" xfId="0" applyNumberFormat="1" applyFont="1" applyFill="1" applyBorder="1"/>
    <xf numFmtId="169" fontId="20" fillId="5" borderId="26" xfId="0" applyNumberFormat="1" applyFont="1" applyFill="1" applyBorder="1"/>
    <xf numFmtId="169" fontId="20" fillId="0" borderId="11" xfId="0" applyNumberFormat="1" applyFont="1" applyBorder="1" applyAlignment="1">
      <alignment horizontal="right"/>
    </xf>
    <xf numFmtId="171" fontId="20" fillId="0" borderId="11" xfId="0" applyNumberFormat="1" applyFont="1" applyBorder="1" applyAlignment="1">
      <alignment horizontal="left"/>
    </xf>
    <xf numFmtId="171" fontId="20" fillId="0" borderId="10" xfId="0" applyNumberFormat="1" applyFont="1" applyBorder="1" applyAlignment="1">
      <alignment horizontal="left"/>
    </xf>
    <xf numFmtId="176" fontId="38" fillId="0" borderId="12" xfId="0" applyNumberFormat="1" applyFont="1" applyBorder="1" applyAlignment="1">
      <alignment horizontal="left"/>
    </xf>
    <xf numFmtId="169" fontId="20" fillId="0" borderId="13" xfId="0" applyNumberFormat="1" applyFont="1" applyBorder="1" applyAlignment="1">
      <alignment horizontal="right"/>
    </xf>
    <xf numFmtId="171" fontId="20" fillId="0" borderId="13" xfId="0" applyNumberFormat="1" applyFont="1" applyBorder="1" applyAlignment="1">
      <alignment horizontal="left"/>
    </xf>
    <xf numFmtId="171" fontId="20" fillId="0" borderId="0" xfId="0" applyNumberFormat="1" applyFont="1" applyAlignment="1">
      <alignment horizontal="left"/>
    </xf>
    <xf numFmtId="176" fontId="38" fillId="0" borderId="14" xfId="0" applyNumberFormat="1" applyFont="1" applyBorder="1" applyAlignment="1">
      <alignment horizontal="left"/>
    </xf>
    <xf numFmtId="169" fontId="20" fillId="0" borderId="16" xfId="0" applyNumberFormat="1" applyFont="1" applyBorder="1" applyAlignment="1">
      <alignment horizontal="right"/>
    </xf>
    <xf numFmtId="169" fontId="20" fillId="0" borderId="17" xfId="0" applyNumberFormat="1" applyFont="1" applyBorder="1" applyAlignment="1">
      <alignment horizontal="right"/>
    </xf>
    <xf numFmtId="171" fontId="20" fillId="0" borderId="16" xfId="0" applyNumberFormat="1" applyFont="1" applyBorder="1" applyAlignment="1">
      <alignment horizontal="left"/>
    </xf>
    <xf numFmtId="171" fontId="20" fillId="0" borderId="17" xfId="0" applyNumberFormat="1" applyFont="1" applyBorder="1" applyAlignment="1">
      <alignment horizontal="left"/>
    </xf>
    <xf numFmtId="176" fontId="38" fillId="0" borderId="18" xfId="0" applyNumberFormat="1" applyFont="1" applyBorder="1" applyAlignment="1">
      <alignment horizontal="left"/>
    </xf>
    <xf numFmtId="195" fontId="38" fillId="0" borderId="0" xfId="0" applyNumberFormat="1" applyFont="1" applyAlignment="1">
      <alignment horizontal="right"/>
    </xf>
    <xf numFmtId="37" fontId="37" fillId="0" borderId="0" xfId="0" applyNumberFormat="1" applyFont="1" applyAlignment="1">
      <alignment horizontal="centerContinuous" vertical="center"/>
    </xf>
    <xf numFmtId="176" fontId="38" fillId="0" borderId="0" xfId="0" applyNumberFormat="1" applyFont="1" applyAlignment="1">
      <alignment horizontal="centerContinuous"/>
    </xf>
    <xf numFmtId="0" fontId="38" fillId="0" borderId="0" xfId="0" applyFont="1" applyAlignment="1">
      <alignment horizontal="centerContinuous"/>
    </xf>
    <xf numFmtId="167" fontId="20" fillId="0" borderId="11" xfId="0" applyNumberFormat="1" applyFont="1" applyBorder="1" applyAlignment="1">
      <alignment horizontal="right"/>
    </xf>
    <xf numFmtId="167" fontId="20" fillId="0" borderId="10" xfId="0" applyNumberFormat="1" applyFont="1" applyBorder="1" applyAlignment="1">
      <alignment horizontal="right"/>
    </xf>
    <xf numFmtId="176" fontId="49" fillId="0" borderId="11" xfId="0" applyNumberFormat="1" applyFont="1" applyBorder="1" applyAlignment="1">
      <alignment horizontal="left"/>
    </xf>
    <xf numFmtId="173" fontId="20" fillId="0" borderId="10" xfId="0" applyNumberFormat="1" applyFont="1" applyBorder="1" applyAlignment="1">
      <alignment horizontal="left"/>
    </xf>
    <xf numFmtId="167" fontId="20" fillId="0" borderId="13" xfId="0" applyNumberFormat="1" applyFont="1" applyBorder="1" applyAlignment="1">
      <alignment horizontal="right"/>
    </xf>
    <xf numFmtId="167" fontId="20" fillId="0" borderId="0" xfId="0" applyNumberFormat="1" applyFont="1" applyAlignment="1">
      <alignment horizontal="right"/>
    </xf>
    <xf numFmtId="176" fontId="49" fillId="0" borderId="13" xfId="0" applyNumberFormat="1" applyFont="1" applyBorder="1" applyAlignment="1">
      <alignment horizontal="left"/>
    </xf>
    <xf numFmtId="173" fontId="20" fillId="0" borderId="0" xfId="0" applyNumberFormat="1" applyFont="1" applyAlignment="1">
      <alignment horizontal="left"/>
    </xf>
    <xf numFmtId="167" fontId="20" fillId="0" borderId="16" xfId="0" applyNumberFormat="1" applyFont="1" applyBorder="1" applyAlignment="1">
      <alignment horizontal="right"/>
    </xf>
    <xf numFmtId="167" fontId="20" fillId="0" borderId="17" xfId="0" applyNumberFormat="1" applyFont="1" applyBorder="1" applyAlignment="1">
      <alignment horizontal="right"/>
    </xf>
    <xf numFmtId="176" fontId="49" fillId="0" borderId="16" xfId="0" applyNumberFormat="1" applyFont="1" applyBorder="1" applyAlignment="1">
      <alignment horizontal="left"/>
    </xf>
    <xf numFmtId="173" fontId="20" fillId="0" borderId="17" xfId="0" applyNumberFormat="1" applyFont="1" applyBorder="1" applyAlignment="1">
      <alignment horizontal="left"/>
    </xf>
    <xf numFmtId="0" fontId="61" fillId="0" borderId="0" xfId="0" applyFont="1" applyAlignment="1">
      <alignment horizontal="left"/>
    </xf>
    <xf numFmtId="178" fontId="20" fillId="0" borderId="0" xfId="0" applyNumberFormat="1" applyFont="1" applyAlignment="1">
      <alignment horizontal="right"/>
    </xf>
    <xf numFmtId="172" fontId="32" fillId="0" borderId="0" xfId="1" applyNumberFormat="1" applyFont="1" applyBorder="1" applyAlignment="1">
      <alignment horizontal="right"/>
    </xf>
    <xf numFmtId="178" fontId="20" fillId="0" borderId="10" xfId="0" applyNumberFormat="1" applyFont="1" applyBorder="1" applyAlignment="1">
      <alignment horizontal="right"/>
    </xf>
    <xf numFmtId="178" fontId="20" fillId="0" borderId="12" xfId="0" applyNumberFormat="1" applyFont="1" applyBorder="1" applyAlignment="1">
      <alignment horizontal="right"/>
    </xf>
    <xf numFmtId="178" fontId="49" fillId="0" borderId="11" xfId="0" applyNumberFormat="1" applyFont="1" applyBorder="1" applyAlignment="1">
      <alignment horizontal="right"/>
    </xf>
    <xf numFmtId="196" fontId="38" fillId="0" borderId="10" xfId="0" applyNumberFormat="1" applyFont="1" applyBorder="1" applyAlignment="1">
      <alignment horizontal="right"/>
    </xf>
    <xf numFmtId="172" fontId="49" fillId="0" borderId="16" xfId="1" applyNumberFormat="1" applyFont="1" applyBorder="1" applyAlignment="1">
      <alignment horizontal="right"/>
    </xf>
    <xf numFmtId="0" fontId="38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72" fontId="70" fillId="0" borderId="0" xfId="1" applyNumberFormat="1" applyFont="1" applyBorder="1" applyAlignment="1">
      <alignment horizontal="right"/>
    </xf>
    <xf numFmtId="0" fontId="73" fillId="0" borderId="0" xfId="0" applyFont="1"/>
    <xf numFmtId="178" fontId="20" fillId="0" borderId="24" xfId="0" applyNumberFormat="1" applyFont="1" applyBorder="1" applyAlignment="1">
      <alignment horizontal="right"/>
    </xf>
    <xf numFmtId="178" fontId="20" fillId="0" borderId="25" xfId="0" applyNumberFormat="1" applyFont="1" applyBorder="1" applyAlignment="1">
      <alignment horizontal="right"/>
    </xf>
    <xf numFmtId="171" fontId="32" fillId="0" borderId="13" xfId="0" applyNumberFormat="1" applyFont="1" applyBorder="1"/>
    <xf numFmtId="175" fontId="38" fillId="0" borderId="0" xfId="0" applyNumberFormat="1" applyFont="1" applyAlignment="1">
      <alignment horizontal="left"/>
    </xf>
    <xf numFmtId="169" fontId="49" fillId="0" borderId="11" xfId="0" applyNumberFormat="1" applyFont="1" applyBorder="1" applyAlignment="1">
      <alignment horizontal="right"/>
    </xf>
    <xf numFmtId="196" fontId="38" fillId="0" borderId="0" xfId="0" applyNumberFormat="1" applyFont="1" applyAlignment="1">
      <alignment horizontal="right"/>
    </xf>
    <xf numFmtId="172" fontId="49" fillId="0" borderId="16" xfId="1" applyNumberFormat="1" applyFont="1" applyFill="1" applyBorder="1" applyAlignment="1">
      <alignment horizontal="right"/>
    </xf>
    <xf numFmtId="168" fontId="49" fillId="0" borderId="0" xfId="0" applyNumberFormat="1" applyFont="1" applyAlignment="1">
      <alignment horizontal="left"/>
    </xf>
    <xf numFmtId="169" fontId="32" fillId="0" borderId="25" xfId="0" applyNumberFormat="1" applyFont="1" applyBorder="1"/>
    <xf numFmtId="169" fontId="32" fillId="0" borderId="26" xfId="0" applyNumberFormat="1" applyFont="1" applyBorder="1"/>
    <xf numFmtId="49" fontId="49" fillId="0" borderId="0" xfId="0" applyNumberFormat="1" applyFont="1" applyAlignment="1">
      <alignment horizontal="left"/>
    </xf>
    <xf numFmtId="9" fontId="38" fillId="0" borderId="0" xfId="1" applyFont="1" applyBorder="1" applyAlignment="1">
      <alignment horizontal="right"/>
    </xf>
    <xf numFmtId="197" fontId="40" fillId="6" borderId="0" xfId="0" applyNumberFormat="1" applyFont="1" applyFill="1" applyAlignment="1">
      <alignment vertical="center"/>
    </xf>
    <xf numFmtId="0" fontId="56" fillId="0" borderId="0" xfId="0" applyFont="1" applyAlignment="1">
      <alignment horizontal="center"/>
    </xf>
    <xf numFmtId="0" fontId="20" fillId="0" borderId="10" xfId="0" applyFont="1" applyBorder="1"/>
    <xf numFmtId="171" fontId="49" fillId="0" borderId="0" xfId="0" applyNumberFormat="1" applyFont="1"/>
    <xf numFmtId="169" fontId="24" fillId="0" borderId="44" xfId="0" applyNumberFormat="1" applyFont="1" applyBorder="1" applyAlignment="1">
      <alignment vertical="center"/>
    </xf>
    <xf numFmtId="169" fontId="24" fillId="0" borderId="43" xfId="0" applyNumberFormat="1" applyFont="1" applyBorder="1" applyAlignment="1">
      <alignment vertical="center"/>
    </xf>
    <xf numFmtId="0" fontId="38" fillId="0" borderId="0" xfId="0" applyFont="1" applyAlignment="1">
      <alignment horizontal="left" indent="1"/>
    </xf>
    <xf numFmtId="169" fontId="20" fillId="0" borderId="12" xfId="0" applyNumberFormat="1" applyFont="1" applyBorder="1"/>
    <xf numFmtId="169" fontId="20" fillId="0" borderId="18" xfId="0" applyNumberFormat="1" applyFont="1" applyBorder="1"/>
    <xf numFmtId="169" fontId="20" fillId="0" borderId="14" xfId="0" applyNumberFormat="1" applyFont="1" applyBorder="1"/>
    <xf numFmtId="171" fontId="54" fillId="0" borderId="0" xfId="0" applyNumberFormat="1" applyFont="1"/>
    <xf numFmtId="38" fontId="49" fillId="0" borderId="0" xfId="0" applyNumberFormat="1" applyFont="1"/>
    <xf numFmtId="40" fontId="49" fillId="0" borderId="0" xfId="0" applyNumberFormat="1" applyFont="1"/>
    <xf numFmtId="0" fontId="36" fillId="0" borderId="0" xfId="0" applyFont="1" applyAlignment="1">
      <alignment horizontal="center"/>
    </xf>
    <xf numFmtId="169" fontId="49" fillId="5" borderId="11" xfId="0" applyNumberFormat="1" applyFont="1" applyFill="1" applyBorder="1"/>
    <xf numFmtId="169" fontId="49" fillId="5" borderId="12" xfId="0" applyNumberFormat="1" applyFont="1" applyFill="1" applyBorder="1"/>
    <xf numFmtId="169" fontId="49" fillId="5" borderId="0" xfId="0" applyNumberFormat="1" applyFont="1" applyFill="1"/>
    <xf numFmtId="169" fontId="49" fillId="5" borderId="13" xfId="0" applyNumberFormat="1" applyFont="1" applyFill="1" applyBorder="1"/>
    <xf numFmtId="169" fontId="49" fillId="5" borderId="14" xfId="0" applyNumberFormat="1" applyFont="1" applyFill="1" applyBorder="1"/>
    <xf numFmtId="169" fontId="49" fillId="5" borderId="16" xfId="0" applyNumberFormat="1" applyFont="1" applyFill="1" applyBorder="1"/>
    <xf numFmtId="169" fontId="49" fillId="5" borderId="18" xfId="0" applyNumberFormat="1" applyFont="1" applyFill="1" applyBorder="1"/>
    <xf numFmtId="176" fontId="24" fillId="0" borderId="21" xfId="0" applyNumberFormat="1" applyFont="1" applyBorder="1" applyAlignment="1">
      <alignment horizontal="right"/>
    </xf>
    <xf numFmtId="189" fontId="38" fillId="0" borderId="10" xfId="0" applyNumberFormat="1" applyFont="1" applyBorder="1"/>
    <xf numFmtId="0" fontId="74" fillId="0" borderId="0" xfId="0" applyFont="1"/>
    <xf numFmtId="189" fontId="38" fillId="0" borderId="0" xfId="0" applyNumberFormat="1" applyFont="1"/>
    <xf numFmtId="169" fontId="38" fillId="0" borderId="42" xfId="0" applyNumberFormat="1" applyFont="1" applyBorder="1" applyAlignment="1">
      <alignment horizontal="right" vertical="center"/>
    </xf>
    <xf numFmtId="169" fontId="38" fillId="0" borderId="43" xfId="0" applyNumberFormat="1" applyFont="1" applyBorder="1" applyAlignment="1">
      <alignment horizontal="right" vertical="center"/>
    </xf>
    <xf numFmtId="169" fontId="49" fillId="0" borderId="31" xfId="0" applyNumberFormat="1" applyFont="1" applyBorder="1" applyAlignment="1">
      <alignment horizontal="right"/>
    </xf>
    <xf numFmtId="169" fontId="49" fillId="0" borderId="7" xfId="0" applyNumberFormat="1" applyFont="1" applyBorder="1" applyAlignment="1">
      <alignment horizontal="right"/>
    </xf>
    <xf numFmtId="169" fontId="32" fillId="0" borderId="7" xfId="0" applyNumberFormat="1" applyFont="1" applyBorder="1" applyAlignment="1">
      <alignment horizontal="right"/>
    </xf>
    <xf numFmtId="169" fontId="20" fillId="0" borderId="31" xfId="0" applyNumberFormat="1" applyFont="1" applyBorder="1" applyAlignment="1">
      <alignment horizontal="right"/>
    </xf>
    <xf numFmtId="169" fontId="32" fillId="5" borderId="33" xfId="0" applyNumberFormat="1" applyFont="1" applyFill="1" applyBorder="1" applyAlignment="1">
      <alignment horizontal="right"/>
    </xf>
    <xf numFmtId="169" fontId="49" fillId="5" borderId="10" xfId="0" applyNumberFormat="1" applyFont="1" applyFill="1" applyBorder="1" applyAlignment="1">
      <alignment horizontal="right"/>
    </xf>
    <xf numFmtId="169" fontId="49" fillId="5" borderId="31" xfId="0" applyNumberFormat="1" applyFont="1" applyFill="1" applyBorder="1" applyAlignment="1">
      <alignment horizontal="right"/>
    </xf>
    <xf numFmtId="169" fontId="49" fillId="5" borderId="0" xfId="0" applyNumberFormat="1" applyFont="1" applyFill="1" applyAlignment="1">
      <alignment horizontal="right"/>
    </xf>
    <xf numFmtId="169" fontId="38" fillId="0" borderId="31" xfId="0" applyNumberFormat="1" applyFont="1" applyBorder="1" applyAlignment="1">
      <alignment horizontal="right"/>
    </xf>
    <xf numFmtId="169" fontId="20" fillId="5" borderId="33" xfId="0" applyNumberFormat="1" applyFont="1" applyFill="1" applyBorder="1" applyAlignment="1">
      <alignment horizontal="right"/>
    </xf>
    <xf numFmtId="169" fontId="38" fillId="0" borderId="0" xfId="1" applyNumberFormat="1" applyFont="1" applyAlignment="1">
      <alignment horizontal="right"/>
    </xf>
    <xf numFmtId="169" fontId="49" fillId="5" borderId="33" xfId="0" applyNumberFormat="1" applyFont="1" applyFill="1" applyBorder="1" applyAlignment="1">
      <alignment horizontal="right"/>
    </xf>
    <xf numFmtId="169" fontId="38" fillId="0" borderId="31" xfId="1" applyNumberFormat="1" applyFont="1" applyBorder="1" applyAlignment="1">
      <alignment horizontal="right"/>
    </xf>
    <xf numFmtId="169" fontId="38" fillId="0" borderId="0" xfId="1" applyNumberFormat="1" applyFont="1" applyBorder="1" applyAlignment="1">
      <alignment horizontal="right"/>
    </xf>
    <xf numFmtId="169" fontId="75" fillId="0" borderId="0" xfId="1" applyNumberFormat="1" applyFont="1" applyAlignment="1">
      <alignment horizontal="right"/>
    </xf>
    <xf numFmtId="169" fontId="49" fillId="5" borderId="32" xfId="0" applyNumberFormat="1" applyFont="1" applyFill="1" applyBorder="1" applyAlignment="1">
      <alignment horizontal="right"/>
    </xf>
    <xf numFmtId="174" fontId="20" fillId="0" borderId="11" xfId="1" applyNumberFormat="1" applyFont="1" applyFill="1" applyBorder="1" applyAlignment="1"/>
    <xf numFmtId="198" fontId="49" fillId="0" borderId="16" xfId="5" applyNumberFormat="1" applyFont="1" applyFill="1" applyBorder="1" applyAlignment="1">
      <alignment horizontal="right"/>
    </xf>
    <xf numFmtId="0" fontId="2" fillId="0" borderId="18" xfId="0" applyFont="1" applyBorder="1" applyAlignment="1">
      <alignment vertical="center"/>
    </xf>
    <xf numFmtId="167" fontId="32" fillId="0" borderId="0" xfId="0" applyNumberFormat="1" applyFont="1"/>
    <xf numFmtId="167" fontId="20" fillId="0" borderId="30" xfId="0" applyNumberFormat="1" applyFont="1" applyBorder="1"/>
    <xf numFmtId="167" fontId="20" fillId="0" borderId="25" xfId="0" applyNumberFormat="1" applyFont="1" applyBorder="1"/>
    <xf numFmtId="167" fontId="20" fillId="0" borderId="26" xfId="0" applyNumberFormat="1" applyFont="1" applyBorder="1"/>
    <xf numFmtId="174" fontId="32" fillId="0" borderId="10" xfId="1" applyNumberFormat="1" applyFont="1" applyFill="1" applyBorder="1"/>
    <xf numFmtId="0" fontId="56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left"/>
    </xf>
    <xf numFmtId="169" fontId="20" fillId="0" borderId="42" xfId="0" applyNumberFormat="1" applyFont="1" applyBorder="1" applyAlignment="1">
      <alignment vertical="center"/>
    </xf>
    <xf numFmtId="169" fontId="20" fillId="0" borderId="31" xfId="0" applyNumberFormat="1" applyFont="1" applyBorder="1"/>
    <xf numFmtId="172" fontId="20" fillId="0" borderId="31" xfId="0" applyNumberFormat="1" applyFont="1" applyBorder="1"/>
    <xf numFmtId="172" fontId="20" fillId="0" borderId="33" xfId="0" applyNumberFormat="1" applyFont="1" applyBorder="1"/>
    <xf numFmtId="172" fontId="20" fillId="0" borderId="10" xfId="0" applyNumberFormat="1" applyFont="1" applyBorder="1"/>
    <xf numFmtId="172" fontId="20" fillId="0" borderId="32" xfId="0" applyNumberFormat="1" applyFont="1" applyBorder="1"/>
    <xf numFmtId="174" fontId="20" fillId="0" borderId="0" xfId="1" applyNumberFormat="1" applyFont="1" applyFill="1" applyBorder="1"/>
    <xf numFmtId="171" fontId="20" fillId="0" borderId="10" xfId="0" applyNumberFormat="1" applyFont="1" applyBorder="1"/>
    <xf numFmtId="174" fontId="20" fillId="0" borderId="10" xfId="1" applyNumberFormat="1" applyFont="1" applyFill="1" applyBorder="1"/>
    <xf numFmtId="169" fontId="20" fillId="0" borderId="30" xfId="0" applyNumberFormat="1" applyFont="1" applyBorder="1"/>
    <xf numFmtId="169" fontId="49" fillId="0" borderId="31" xfId="0" applyNumberFormat="1" applyFont="1" applyBorder="1"/>
    <xf numFmtId="169" fontId="49" fillId="0" borderId="10" xfId="0" applyNumberFormat="1" applyFont="1" applyBorder="1"/>
    <xf numFmtId="0" fontId="74" fillId="0" borderId="31" xfId="0" applyFont="1" applyBorder="1"/>
    <xf numFmtId="0" fontId="23" fillId="0" borderId="0" xfId="0" applyFont="1" applyAlignment="1">
      <alignment horizontal="left"/>
    </xf>
    <xf numFmtId="172" fontId="49" fillId="0" borderId="33" xfId="0" applyNumberFormat="1" applyFont="1" applyBorder="1"/>
    <xf numFmtId="172" fontId="49" fillId="0" borderId="10" xfId="0" applyNumberFormat="1" applyFont="1" applyBorder="1"/>
    <xf numFmtId="172" fontId="32" fillId="0" borderId="10" xfId="0" applyNumberFormat="1" applyFont="1" applyBorder="1"/>
    <xf numFmtId="172" fontId="49" fillId="0" borderId="31" xfId="0" applyNumberFormat="1" applyFont="1" applyBorder="1"/>
    <xf numFmtId="172" fontId="49" fillId="0" borderId="32" xfId="0" applyNumberFormat="1" applyFont="1" applyBorder="1"/>
    <xf numFmtId="171" fontId="76" fillId="0" borderId="0" xfId="0" applyNumberFormat="1" applyFont="1" applyAlignment="1">
      <alignment horizontal="centerContinuous"/>
    </xf>
    <xf numFmtId="167" fontId="20" fillId="5" borderId="33" xfId="0" applyNumberFormat="1" applyFont="1" applyFill="1" applyBorder="1"/>
    <xf numFmtId="167" fontId="20" fillId="5" borderId="10" xfId="0" applyNumberFormat="1" applyFont="1" applyFill="1" applyBorder="1"/>
    <xf numFmtId="167" fontId="32" fillId="0" borderId="10" xfId="0" applyNumberFormat="1" applyFont="1" applyBorder="1"/>
    <xf numFmtId="167" fontId="32" fillId="0" borderId="12" xfId="0" applyNumberFormat="1" applyFont="1" applyBorder="1"/>
    <xf numFmtId="166" fontId="20" fillId="0" borderId="39" xfId="0" applyNumberFormat="1" applyFont="1" applyBorder="1"/>
    <xf numFmtId="166" fontId="20" fillId="0" borderId="40" xfId="0" applyNumberFormat="1" applyFont="1" applyBorder="1"/>
    <xf numFmtId="166" fontId="20" fillId="0" borderId="41" xfId="0" applyNumberFormat="1" applyFont="1" applyBorder="1"/>
    <xf numFmtId="199" fontId="56" fillId="0" borderId="0" xfId="0" applyNumberFormat="1" applyFont="1" applyAlignment="1">
      <alignment horizontal="left" indent="1"/>
    </xf>
    <xf numFmtId="169" fontId="20" fillId="0" borderId="45" xfId="0" applyNumberFormat="1" applyFont="1" applyBorder="1" applyAlignment="1">
      <alignment vertical="center"/>
    </xf>
    <xf numFmtId="169" fontId="20" fillId="0" borderId="46" xfId="0" applyNumberFormat="1" applyFont="1" applyBorder="1" applyAlignment="1">
      <alignment vertical="center"/>
    </xf>
    <xf numFmtId="171" fontId="20" fillId="0" borderId="31" xfId="0" applyNumberFormat="1" applyFont="1" applyBorder="1"/>
    <xf numFmtId="167" fontId="20" fillId="0" borderId="10" xfId="0" applyNumberFormat="1" applyFont="1" applyBorder="1"/>
    <xf numFmtId="174" fontId="20" fillId="0" borderId="31" xfId="1" applyNumberFormat="1" applyFont="1" applyFill="1" applyBorder="1" applyAlignment="1"/>
    <xf numFmtId="174" fontId="20" fillId="0" borderId="30" xfId="1" quotePrefix="1" applyNumberFormat="1" applyFont="1" applyFill="1" applyBorder="1" applyAlignment="1">
      <alignment horizontal="right"/>
    </xf>
    <xf numFmtId="167" fontId="20" fillId="0" borderId="17" xfId="0" applyNumberFormat="1" applyFont="1" applyBorder="1"/>
    <xf numFmtId="169" fontId="20" fillId="0" borderId="31" xfId="0" quotePrefix="1" applyNumberFormat="1" applyFont="1" applyBorder="1" applyAlignment="1">
      <alignment horizontal="right"/>
    </xf>
    <xf numFmtId="167" fontId="20" fillId="0" borderId="31" xfId="0" applyNumberFormat="1" applyFont="1" applyBorder="1"/>
    <xf numFmtId="167" fontId="20" fillId="5" borderId="32" xfId="0" applyNumberFormat="1" applyFont="1" applyFill="1" applyBorder="1"/>
    <xf numFmtId="167" fontId="20" fillId="5" borderId="0" xfId="0" applyNumberFormat="1" applyFont="1" applyFill="1"/>
    <xf numFmtId="200" fontId="32" fillId="0" borderId="0" xfId="0" applyNumberFormat="1" applyFont="1"/>
    <xf numFmtId="169" fontId="49" fillId="0" borderId="24" xfId="0" applyNumberFormat="1" applyFont="1" applyBorder="1"/>
    <xf numFmtId="169" fontId="49" fillId="0" borderId="25" xfId="0" applyNumberFormat="1" applyFont="1" applyBorder="1"/>
    <xf numFmtId="169" fontId="49" fillId="0" borderId="16" xfId="0" applyNumberFormat="1" applyFont="1" applyBorder="1"/>
    <xf numFmtId="0" fontId="65" fillId="0" borderId="0" xfId="0" applyFont="1" applyAlignment="1">
      <alignment horizontal="right" vertical="center"/>
    </xf>
    <xf numFmtId="201" fontId="77" fillId="0" borderId="0" xfId="6" applyNumberFormat="1" applyFont="1" applyAlignment="1" applyProtection="1">
      <alignment horizontal="center"/>
      <protection locked="0"/>
    </xf>
    <xf numFmtId="177" fontId="77" fillId="0" borderId="0" xfId="6" applyNumberFormat="1" applyFont="1" applyProtection="1">
      <protection locked="0"/>
    </xf>
    <xf numFmtId="177" fontId="78" fillId="0" borderId="0" xfId="6" applyNumberFormat="1" applyFont="1" applyAlignment="1" applyProtection="1">
      <protection locked="0"/>
    </xf>
    <xf numFmtId="177" fontId="78" fillId="0" borderId="0" xfId="6" applyNumberFormat="1" applyFont="1" applyAlignment="1" applyProtection="1">
      <alignment horizontal="center"/>
      <protection locked="0"/>
    </xf>
    <xf numFmtId="0" fontId="20" fillId="5" borderId="0" xfId="0" applyFont="1" applyFill="1" applyAlignment="1">
      <alignment horizontal="center" vertical="center"/>
    </xf>
    <xf numFmtId="169" fontId="79" fillId="5" borderId="47" xfId="0" applyNumberFormat="1" applyFont="1" applyFill="1" applyBorder="1" applyAlignment="1">
      <alignment horizontal="center"/>
    </xf>
    <xf numFmtId="169" fontId="79" fillId="5" borderId="46" xfId="0" applyNumberFormat="1" applyFont="1" applyFill="1" applyBorder="1" applyAlignment="1">
      <alignment horizontal="center"/>
    </xf>
    <xf numFmtId="169" fontId="79" fillId="5" borderId="48" xfId="0" applyNumberFormat="1" applyFont="1" applyFill="1" applyBorder="1" applyAlignment="1">
      <alignment horizontal="center"/>
    </xf>
    <xf numFmtId="169" fontId="0" fillId="5" borderId="49" xfId="0" applyNumberFormat="1" applyFill="1" applyBorder="1" applyAlignment="1">
      <alignment horizontal="center"/>
    </xf>
    <xf numFmtId="204" fontId="0" fillId="5" borderId="49" xfId="0" applyNumberFormat="1" applyFill="1" applyBorder="1" applyAlignment="1">
      <alignment horizontal="right"/>
    </xf>
    <xf numFmtId="204" fontId="0" fillId="5" borderId="51" xfId="0" applyNumberFormat="1" applyFill="1" applyBorder="1" applyAlignment="1">
      <alignment horizontal="center"/>
    </xf>
    <xf numFmtId="169" fontId="79" fillId="5" borderId="52" xfId="0" applyNumberFormat="1" applyFont="1" applyFill="1" applyBorder="1" applyAlignment="1">
      <alignment horizontal="center"/>
    </xf>
    <xf numFmtId="169" fontId="79" fillId="5" borderId="53" xfId="0" applyNumberFormat="1" applyFont="1" applyFill="1" applyBorder="1" applyAlignment="1">
      <alignment horizontal="center"/>
    </xf>
    <xf numFmtId="204" fontId="0" fillId="5" borderId="54" xfId="0" applyNumberFormat="1" applyFill="1" applyBorder="1" applyAlignment="1">
      <alignment horizontal="center"/>
    </xf>
    <xf numFmtId="169" fontId="79" fillId="5" borderId="55" xfId="0" applyNumberFormat="1" applyFont="1" applyFill="1" applyBorder="1" applyAlignment="1">
      <alignment horizontal="center"/>
    </xf>
    <xf numFmtId="169" fontId="0" fillId="5" borderId="54" xfId="0" applyNumberFormat="1" applyFill="1" applyBorder="1" applyAlignment="1">
      <alignment horizontal="center"/>
    </xf>
    <xf numFmtId="169" fontId="0" fillId="5" borderId="51" xfId="0" applyNumberFormat="1" applyFill="1" applyBorder="1" applyAlignment="1">
      <alignment horizontal="center"/>
    </xf>
    <xf numFmtId="169" fontId="0" fillId="5" borderId="0" xfId="0" applyNumberFormat="1" applyFill="1" applyAlignment="1">
      <alignment horizontal="center"/>
    </xf>
    <xf numFmtId="169" fontId="0" fillId="5" borderId="6" xfId="0" applyNumberFormat="1" applyFill="1" applyBorder="1" applyAlignment="1">
      <alignment horizontal="center"/>
    </xf>
    <xf numFmtId="169" fontId="0" fillId="5" borderId="57" xfId="0" applyNumberFormat="1" applyFill="1" applyBorder="1" applyAlignment="1">
      <alignment horizontal="center"/>
    </xf>
    <xf numFmtId="203" fontId="0" fillId="5" borderId="51" xfId="0" applyNumberFormat="1" applyFill="1" applyBorder="1" applyAlignment="1">
      <alignment horizontal="center"/>
    </xf>
    <xf numFmtId="203" fontId="0" fillId="5" borderId="54" xfId="0" applyNumberFormat="1" applyFill="1" applyBorder="1" applyAlignment="1">
      <alignment horizontal="center"/>
    </xf>
    <xf numFmtId="172" fontId="0" fillId="5" borderId="54" xfId="0" applyNumberFormat="1" applyFill="1" applyBorder="1" applyAlignment="1">
      <alignment horizontal="center"/>
    </xf>
    <xf numFmtId="172" fontId="0" fillId="5" borderId="51" xfId="0" applyNumberFormat="1" applyFill="1" applyBorder="1" applyAlignment="1">
      <alignment horizontal="center"/>
    </xf>
    <xf numFmtId="0" fontId="8" fillId="5" borderId="0" xfId="0" applyFont="1" applyFill="1"/>
    <xf numFmtId="204" fontId="0" fillId="5" borderId="0" xfId="0" applyNumberFormat="1" applyFill="1" applyAlignment="1">
      <alignment horizontal="right"/>
    </xf>
    <xf numFmtId="204" fontId="0" fillId="5" borderId="6" xfId="0" applyNumberFormat="1" applyFill="1" applyBorder="1" applyAlignment="1">
      <alignment horizontal="right"/>
    </xf>
    <xf numFmtId="0" fontId="8" fillId="5" borderId="49" xfId="0" applyFont="1" applyFill="1" applyBorder="1"/>
    <xf numFmtId="204" fontId="0" fillId="5" borderId="57" xfId="0" applyNumberFormat="1" applyFill="1" applyBorder="1" applyAlignment="1">
      <alignment horizontal="right"/>
    </xf>
    <xf numFmtId="0" fontId="8" fillId="5" borderId="50" xfId="0" applyFont="1" applyFill="1" applyBorder="1"/>
    <xf numFmtId="202" fontId="81" fillId="0" borderId="0" xfId="8" applyNumberFormat="1" applyFont="1" applyAlignment="1" applyProtection="1">
      <alignment horizontal="center" vertical="center"/>
      <protection hidden="1"/>
    </xf>
    <xf numFmtId="0" fontId="82" fillId="0" borderId="0" xfId="0" applyFont="1"/>
    <xf numFmtId="0" fontId="82" fillId="0" borderId="0" xfId="0" applyFont="1" applyAlignment="1">
      <alignment vertical="center"/>
    </xf>
    <xf numFmtId="172" fontId="0" fillId="5" borderId="0" xfId="0" applyNumberFormat="1" applyFill="1" applyAlignment="1">
      <alignment horizontal="right"/>
    </xf>
    <xf numFmtId="172" fontId="0" fillId="5" borderId="49" xfId="0" applyNumberFormat="1" applyFill="1" applyBorder="1" applyAlignment="1">
      <alignment horizontal="right"/>
    </xf>
    <xf numFmtId="167" fontId="32" fillId="0" borderId="19" xfId="0" applyNumberFormat="1" applyFont="1" applyBorder="1" applyAlignment="1">
      <alignment vertical="center"/>
    </xf>
    <xf numFmtId="202" fontId="83" fillId="0" borderId="19" xfId="8" applyNumberFormat="1" applyFont="1" applyBorder="1" applyAlignment="1" applyProtection="1">
      <alignment horizontal="center" vertical="center"/>
      <protection hidden="1"/>
    </xf>
    <xf numFmtId="187" fontId="24" fillId="0" borderId="0" xfId="0" applyNumberFormat="1" applyFont="1" applyAlignment="1">
      <alignment horizontal="right"/>
    </xf>
    <xf numFmtId="0" fontId="6" fillId="0" borderId="22" xfId="0" applyFont="1" applyBorder="1" applyAlignment="1">
      <alignment horizontal="center"/>
    </xf>
    <xf numFmtId="169" fontId="24" fillId="0" borderId="22" xfId="0" applyNumberFormat="1" applyFont="1" applyBorder="1" applyAlignment="1">
      <alignment horizontal="center"/>
    </xf>
    <xf numFmtId="203" fontId="0" fillId="5" borderId="49" xfId="0" applyNumberFormat="1" applyFill="1" applyBorder="1" applyAlignment="1">
      <alignment horizontal="right"/>
    </xf>
    <xf numFmtId="204" fontId="0" fillId="5" borderId="51" xfId="0" applyNumberFormat="1" applyFill="1" applyBorder="1" applyAlignment="1">
      <alignment horizontal="right"/>
    </xf>
    <xf numFmtId="204" fontId="0" fillId="5" borderId="54" xfId="0" applyNumberFormat="1" applyFill="1" applyBorder="1" applyAlignment="1">
      <alignment horizontal="right"/>
    </xf>
    <xf numFmtId="169" fontId="0" fillId="5" borderId="51" xfId="0" applyNumberFormat="1" applyFill="1" applyBorder="1" applyAlignment="1">
      <alignment horizontal="right"/>
    </xf>
    <xf numFmtId="169" fontId="0" fillId="5" borderId="54" xfId="0" applyNumberFormat="1" applyFill="1" applyBorder="1" applyAlignment="1">
      <alignment horizontal="right"/>
    </xf>
    <xf numFmtId="169" fontId="0" fillId="5" borderId="0" xfId="0" applyNumberFormat="1" applyFill="1" applyAlignment="1">
      <alignment horizontal="right"/>
    </xf>
    <xf numFmtId="169" fontId="0" fillId="5" borderId="6" xfId="0" applyNumberFormat="1" applyFill="1" applyBorder="1" applyAlignment="1">
      <alignment horizontal="right"/>
    </xf>
    <xf numFmtId="169" fontId="0" fillId="5" borderId="49" xfId="0" applyNumberFormat="1" applyFill="1" applyBorder="1" applyAlignment="1">
      <alignment horizontal="right"/>
    </xf>
    <xf numFmtId="169" fontId="0" fillId="5" borderId="57" xfId="0" applyNumberFormat="1" applyFill="1" applyBorder="1" applyAlignment="1">
      <alignment horizontal="right"/>
    </xf>
    <xf numFmtId="169" fontId="0" fillId="0" borderId="0" xfId="0" applyNumberFormat="1" applyAlignment="1">
      <alignment horizontal="right"/>
    </xf>
    <xf numFmtId="169" fontId="0" fillId="5" borderId="28" xfId="0" applyNumberFormat="1" applyFill="1" applyBorder="1" applyAlignment="1">
      <alignment horizontal="right"/>
    </xf>
    <xf numFmtId="169" fontId="0" fillId="5" borderId="29" xfId="0" applyNumberFormat="1" applyFill="1" applyBorder="1" applyAlignment="1">
      <alignment horizontal="right"/>
    </xf>
    <xf numFmtId="203" fontId="0" fillId="5" borderId="0" xfId="0" applyNumberFormat="1" applyFill="1" applyAlignment="1">
      <alignment horizontal="right"/>
    </xf>
    <xf numFmtId="37" fontId="37" fillId="5" borderId="49" xfId="0" applyNumberFormat="1" applyFont="1" applyFill="1" applyBorder="1" applyAlignment="1">
      <alignment vertical="center"/>
    </xf>
    <xf numFmtId="37" fontId="37" fillId="5" borderId="0" xfId="0" applyNumberFormat="1" applyFont="1" applyFill="1" applyAlignment="1">
      <alignment vertical="center"/>
    </xf>
    <xf numFmtId="172" fontId="0" fillId="5" borderId="6" xfId="0" applyNumberFormat="1" applyFill="1" applyBorder="1" applyAlignment="1">
      <alignment horizontal="right"/>
    </xf>
    <xf numFmtId="172" fontId="0" fillId="5" borderId="57" xfId="0" applyNumberFormat="1" applyFill="1" applyBorder="1" applyAlignment="1">
      <alignment horizontal="right"/>
    </xf>
    <xf numFmtId="172" fontId="0" fillId="5" borderId="51" xfId="0" applyNumberFormat="1" applyFill="1" applyBorder="1" applyAlignment="1">
      <alignment horizontal="right"/>
    </xf>
    <xf numFmtId="172" fontId="0" fillId="5" borderId="54" xfId="0" applyNumberFormat="1" applyFill="1" applyBorder="1" applyAlignment="1">
      <alignment horizontal="right"/>
    </xf>
    <xf numFmtId="0" fontId="84" fillId="0" borderId="0" xfId="0" applyFont="1" applyAlignment="1">
      <alignment horizontal="right"/>
    </xf>
    <xf numFmtId="0" fontId="84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177" fontId="8" fillId="0" borderId="0" xfId="7" applyNumberFormat="1" applyFont="1" applyProtection="1">
      <protection locked="0"/>
    </xf>
    <xf numFmtId="177" fontId="8" fillId="0" borderId="0" xfId="7" applyNumberFormat="1" applyFont="1" applyFill="1" applyProtection="1">
      <protection locked="0"/>
    </xf>
    <xf numFmtId="0" fontId="1" fillId="0" borderId="0" xfId="0" applyFont="1" applyAlignment="1">
      <alignment vertical="center"/>
    </xf>
    <xf numFmtId="169" fontId="20" fillId="0" borderId="0" xfId="9" applyNumberFormat="1" applyFont="1" applyBorder="1" applyAlignment="1">
      <alignment horizontal="right" vertical="center"/>
    </xf>
    <xf numFmtId="0" fontId="1" fillId="0" borderId="0" xfId="0" applyFont="1" applyAlignment="1">
      <alignment horizontal="centerContinuous" vertical="center"/>
    </xf>
    <xf numFmtId="169" fontId="20" fillId="0" borderId="18" xfId="9" applyNumberFormat="1" applyFont="1" applyFill="1" applyBorder="1" applyAlignment="1">
      <alignment vertical="center"/>
    </xf>
    <xf numFmtId="169" fontId="20" fillId="0" borderId="17" xfId="9" applyNumberFormat="1" applyFont="1" applyFill="1" applyBorder="1" applyAlignment="1">
      <alignment vertical="center"/>
    </xf>
    <xf numFmtId="169" fontId="20" fillId="0" borderId="16" xfId="9" applyNumberFormat="1" applyFont="1" applyFill="1" applyBorder="1" applyAlignment="1">
      <alignment vertical="center"/>
    </xf>
    <xf numFmtId="172" fontId="20" fillId="0" borderId="18" xfId="9" applyNumberFormat="1" applyFont="1" applyFill="1" applyBorder="1" applyAlignment="1">
      <alignment vertical="center"/>
    </xf>
    <xf numFmtId="172" fontId="20" fillId="0" borderId="17" xfId="9" applyNumberFormat="1" applyFont="1" applyFill="1" applyBorder="1" applyAlignment="1">
      <alignment vertical="center"/>
    </xf>
    <xf numFmtId="172" fontId="20" fillId="0" borderId="16" xfId="9" applyNumberFormat="1" applyFont="1" applyFill="1" applyBorder="1" applyAlignment="1">
      <alignment vertical="center"/>
    </xf>
    <xf numFmtId="169" fontId="20" fillId="0" borderId="14" xfId="9" applyNumberFormat="1" applyFont="1" applyFill="1" applyBorder="1" applyAlignment="1">
      <alignment vertical="center"/>
    </xf>
    <xf numFmtId="169" fontId="20" fillId="0" borderId="0" xfId="9" applyNumberFormat="1" applyFont="1" applyFill="1" applyAlignment="1">
      <alignment vertical="center"/>
    </xf>
    <xf numFmtId="169" fontId="20" fillId="0" borderId="13" xfId="9" applyNumberFormat="1" applyFont="1" applyFill="1" applyBorder="1" applyAlignment="1">
      <alignment vertical="center"/>
    </xf>
    <xf numFmtId="172" fontId="20" fillId="0" borderId="14" xfId="9" applyNumberFormat="1" applyFont="1" applyFill="1" applyBorder="1" applyAlignment="1">
      <alignment vertical="center"/>
    </xf>
    <xf numFmtId="172" fontId="20" fillId="0" borderId="0" xfId="9" applyNumberFormat="1" applyFont="1" applyFill="1" applyAlignment="1">
      <alignment vertical="center"/>
    </xf>
    <xf numFmtId="172" fontId="20" fillId="0" borderId="13" xfId="9" applyNumberFormat="1" applyFont="1" applyFill="1" applyBorder="1" applyAlignment="1">
      <alignment vertical="center"/>
    </xf>
    <xf numFmtId="169" fontId="24" fillId="0" borderId="15" xfId="9" applyNumberFormat="1" applyFont="1" applyFill="1" applyBorder="1" applyAlignment="1">
      <alignment vertical="center"/>
    </xf>
    <xf numFmtId="172" fontId="24" fillId="0" borderId="15" xfId="9" applyNumberFormat="1" applyFont="1" applyFill="1" applyBorder="1" applyAlignment="1">
      <alignment vertical="center"/>
    </xf>
    <xf numFmtId="169" fontId="20" fillId="0" borderId="12" xfId="9" applyNumberFormat="1" applyFont="1" applyFill="1" applyBorder="1" applyAlignment="1">
      <alignment vertical="center"/>
    </xf>
    <xf numFmtId="169" fontId="20" fillId="0" borderId="10" xfId="9" applyNumberFormat="1" applyFont="1" applyFill="1" applyBorder="1" applyAlignment="1">
      <alignment vertical="center"/>
    </xf>
    <xf numFmtId="169" fontId="20" fillId="0" borderId="11" xfId="9" applyNumberFormat="1" applyFont="1" applyFill="1" applyBorder="1" applyAlignment="1">
      <alignment vertical="center"/>
    </xf>
    <xf numFmtId="172" fontId="20" fillId="0" borderId="12" xfId="9" applyNumberFormat="1" applyFont="1" applyFill="1" applyBorder="1" applyAlignment="1">
      <alignment vertical="center"/>
    </xf>
    <xf numFmtId="172" fontId="20" fillId="0" borderId="10" xfId="9" applyNumberFormat="1" applyFont="1" applyFill="1" applyBorder="1" applyAlignment="1">
      <alignment vertical="center"/>
    </xf>
    <xf numFmtId="172" fontId="20" fillId="0" borderId="11" xfId="9" applyNumberFormat="1" applyFont="1" applyFill="1" applyBorder="1" applyAlignment="1">
      <alignment vertical="center"/>
    </xf>
    <xf numFmtId="167" fontId="20" fillId="0" borderId="18" xfId="9" applyNumberFormat="1" applyFont="1" applyFill="1" applyBorder="1" applyAlignment="1">
      <alignment horizontal="right" vertical="center"/>
    </xf>
    <xf numFmtId="167" fontId="20" fillId="0" borderId="17" xfId="9" applyNumberFormat="1" applyFont="1" applyFill="1" applyBorder="1" applyAlignment="1">
      <alignment horizontal="right" vertical="center"/>
    </xf>
    <xf numFmtId="167" fontId="20" fillId="0" borderId="16" xfId="9" applyNumberFormat="1" applyFont="1" applyFill="1" applyBorder="1" applyAlignment="1">
      <alignment horizontal="right" vertical="center"/>
    </xf>
    <xf numFmtId="167" fontId="20" fillId="0" borderId="14" xfId="9" applyNumberFormat="1" applyFont="1" applyFill="1" applyBorder="1" applyAlignment="1">
      <alignment horizontal="right" vertical="center"/>
    </xf>
    <xf numFmtId="167" fontId="20" fillId="0" borderId="0" xfId="9" applyNumberFormat="1" applyFont="1" applyFill="1" applyAlignment="1">
      <alignment horizontal="right" vertical="center"/>
    </xf>
    <xf numFmtId="167" fontId="20" fillId="0" borderId="13" xfId="9" applyNumberFormat="1" applyFont="1" applyFill="1" applyBorder="1" applyAlignment="1">
      <alignment horizontal="right" vertical="center"/>
    </xf>
    <xf numFmtId="167" fontId="24" fillId="0" borderId="15" xfId="9" applyNumberFormat="1" applyFont="1" applyFill="1" applyBorder="1" applyAlignment="1">
      <alignment horizontal="right" vertical="center"/>
    </xf>
    <xf numFmtId="167" fontId="20" fillId="0" borderId="12" xfId="9" applyNumberFormat="1" applyFont="1" applyFill="1" applyBorder="1" applyAlignment="1">
      <alignment horizontal="right" vertical="center"/>
    </xf>
    <xf numFmtId="167" fontId="20" fillId="0" borderId="10" xfId="9" applyNumberFormat="1" applyFont="1" applyFill="1" applyBorder="1" applyAlignment="1">
      <alignment horizontal="right" vertical="center"/>
    </xf>
    <xf numFmtId="167" fontId="20" fillId="0" borderId="11" xfId="9" applyNumberFormat="1" applyFont="1" applyFill="1" applyBorder="1" applyAlignment="1">
      <alignment horizontal="right" vertical="center"/>
    </xf>
    <xf numFmtId="169" fontId="20" fillId="0" borderId="0" xfId="9" applyNumberFormat="1" applyFont="1" applyBorder="1" applyAlignment="1">
      <alignment vertical="center"/>
    </xf>
    <xf numFmtId="167" fontId="20" fillId="0" borderId="0" xfId="9" applyNumberFormat="1" applyFont="1" applyBorder="1" applyAlignment="1">
      <alignment horizontal="right" vertical="center"/>
    </xf>
    <xf numFmtId="169" fontId="20" fillId="0" borderId="0" xfId="9" applyNumberFormat="1" applyFont="1" applyFill="1" applyBorder="1" applyAlignment="1">
      <alignment horizontal="right" vertical="center"/>
    </xf>
    <xf numFmtId="169" fontId="20" fillId="5" borderId="18" xfId="9" applyNumberFormat="1" applyFont="1" applyFill="1" applyBorder="1" applyAlignment="1">
      <alignment vertical="center"/>
    </xf>
    <xf numFmtId="169" fontId="20" fillId="5" borderId="17" xfId="9" applyNumberFormat="1" applyFont="1" applyFill="1" applyBorder="1" applyAlignment="1">
      <alignment vertical="center"/>
    </xf>
    <xf numFmtId="169" fontId="20" fillId="5" borderId="16" xfId="9" applyNumberFormat="1" applyFont="1" applyFill="1" applyBorder="1" applyAlignment="1">
      <alignment vertical="center"/>
    </xf>
    <xf numFmtId="169" fontId="20" fillId="5" borderId="14" xfId="9" applyNumberFormat="1" applyFont="1" applyFill="1" applyBorder="1" applyAlignment="1">
      <alignment vertical="center"/>
    </xf>
    <xf numFmtId="169" fontId="20" fillId="5" borderId="0" xfId="9" applyNumberFormat="1" applyFont="1" applyFill="1" applyAlignment="1">
      <alignment vertical="center"/>
    </xf>
    <xf numFmtId="169" fontId="20" fillId="5" borderId="13" xfId="9" applyNumberFormat="1" applyFont="1" applyFill="1" applyBorder="1" applyAlignment="1">
      <alignment vertical="center"/>
    </xf>
    <xf numFmtId="169" fontId="24" fillId="5" borderId="15" xfId="9" applyNumberFormat="1" applyFont="1" applyFill="1" applyBorder="1" applyAlignment="1">
      <alignment vertical="center"/>
    </xf>
    <xf numFmtId="169" fontId="20" fillId="5" borderId="12" xfId="9" applyNumberFormat="1" applyFont="1" applyFill="1" applyBorder="1" applyAlignment="1">
      <alignment vertical="center"/>
    </xf>
    <xf numFmtId="169" fontId="20" fillId="5" borderId="10" xfId="9" applyNumberFormat="1" applyFont="1" applyFill="1" applyBorder="1" applyAlignment="1">
      <alignment vertical="center"/>
    </xf>
    <xf numFmtId="169" fontId="20" fillId="5" borderId="11" xfId="9" applyNumberFormat="1" applyFont="1" applyFill="1" applyBorder="1" applyAlignment="1">
      <alignment vertical="center"/>
    </xf>
    <xf numFmtId="172" fontId="20" fillId="5" borderId="18" xfId="9" applyNumberFormat="1" applyFont="1" applyFill="1" applyBorder="1" applyAlignment="1">
      <alignment vertical="center"/>
    </xf>
    <xf numFmtId="172" fontId="20" fillId="5" borderId="17" xfId="9" applyNumberFormat="1" applyFont="1" applyFill="1" applyBorder="1" applyAlignment="1">
      <alignment vertical="center"/>
    </xf>
    <xf numFmtId="172" fontId="20" fillId="5" borderId="16" xfId="9" applyNumberFormat="1" applyFont="1" applyFill="1" applyBorder="1" applyAlignment="1">
      <alignment vertical="center"/>
    </xf>
    <xf numFmtId="172" fontId="20" fillId="5" borderId="14" xfId="9" applyNumberFormat="1" applyFont="1" applyFill="1" applyBorder="1" applyAlignment="1">
      <alignment vertical="center"/>
    </xf>
    <xf numFmtId="172" fontId="20" fillId="5" borderId="0" xfId="9" applyNumberFormat="1" applyFont="1" applyFill="1" applyAlignment="1">
      <alignment vertical="center"/>
    </xf>
    <xf numFmtId="172" fontId="20" fillId="5" borderId="13" xfId="9" applyNumberFormat="1" applyFont="1" applyFill="1" applyBorder="1" applyAlignment="1">
      <alignment vertical="center"/>
    </xf>
    <xf numFmtId="172" fontId="24" fillId="5" borderId="15" xfId="9" applyNumberFormat="1" applyFont="1" applyFill="1" applyBorder="1" applyAlignment="1">
      <alignment vertical="center"/>
    </xf>
    <xf numFmtId="172" fontId="20" fillId="5" borderId="12" xfId="9" applyNumberFormat="1" applyFont="1" applyFill="1" applyBorder="1" applyAlignment="1">
      <alignment vertical="center"/>
    </xf>
    <xf numFmtId="172" fontId="20" fillId="5" borderId="10" xfId="9" applyNumberFormat="1" applyFont="1" applyFill="1" applyBorder="1" applyAlignment="1">
      <alignment vertical="center"/>
    </xf>
    <xf numFmtId="172" fontId="20" fillId="5" borderId="11" xfId="9" applyNumberFormat="1" applyFont="1" applyFill="1" applyBorder="1" applyAlignment="1">
      <alignment vertical="center"/>
    </xf>
    <xf numFmtId="167" fontId="20" fillId="5" borderId="18" xfId="9" applyNumberFormat="1" applyFont="1" applyFill="1" applyBorder="1" applyAlignment="1">
      <alignment horizontal="right" vertical="center"/>
    </xf>
    <xf numFmtId="167" fontId="20" fillId="5" borderId="17" xfId="9" applyNumberFormat="1" applyFont="1" applyFill="1" applyBorder="1" applyAlignment="1">
      <alignment horizontal="right" vertical="center"/>
    </xf>
    <xf numFmtId="167" fontId="20" fillId="5" borderId="16" xfId="9" applyNumberFormat="1" applyFont="1" applyFill="1" applyBorder="1" applyAlignment="1">
      <alignment horizontal="right" vertical="center"/>
    </xf>
    <xf numFmtId="167" fontId="20" fillId="5" borderId="14" xfId="9" applyNumberFormat="1" applyFont="1" applyFill="1" applyBorder="1" applyAlignment="1">
      <alignment horizontal="right" vertical="center"/>
    </xf>
    <xf numFmtId="167" fontId="20" fillId="5" borderId="0" xfId="9" applyNumberFormat="1" applyFont="1" applyFill="1" applyAlignment="1">
      <alignment horizontal="right" vertical="center"/>
    </xf>
    <xf numFmtId="167" fontId="20" fillId="5" borderId="13" xfId="9" applyNumberFormat="1" applyFont="1" applyFill="1" applyBorder="1" applyAlignment="1">
      <alignment horizontal="right" vertical="center"/>
    </xf>
    <xf numFmtId="167" fontId="24" fillId="5" borderId="15" xfId="9" applyNumberFormat="1" applyFont="1" applyFill="1" applyBorder="1" applyAlignment="1">
      <alignment horizontal="right" vertical="center"/>
    </xf>
    <xf numFmtId="167" fontId="20" fillId="5" borderId="12" xfId="9" applyNumberFormat="1" applyFont="1" applyFill="1" applyBorder="1" applyAlignment="1">
      <alignment horizontal="right" vertical="center"/>
    </xf>
    <xf numFmtId="167" fontId="20" fillId="5" borderId="10" xfId="9" applyNumberFormat="1" applyFont="1" applyFill="1" applyBorder="1" applyAlignment="1">
      <alignment horizontal="right" vertical="center"/>
    </xf>
    <xf numFmtId="167" fontId="20" fillId="5" borderId="11" xfId="9" applyNumberFormat="1" applyFont="1" applyFill="1" applyBorder="1" applyAlignment="1">
      <alignment horizontal="right" vertical="center"/>
    </xf>
    <xf numFmtId="169" fontId="20" fillId="5" borderId="0" xfId="9" applyNumberFormat="1" applyFont="1" applyFill="1" applyBorder="1" applyAlignment="1">
      <alignment vertical="center"/>
    </xf>
    <xf numFmtId="175" fontId="38" fillId="5" borderId="0" xfId="0" applyNumberFormat="1" applyFont="1" applyFill="1" applyAlignment="1">
      <alignment horizontal="right"/>
    </xf>
    <xf numFmtId="172" fontId="0" fillId="5" borderId="49" xfId="0" applyNumberFormat="1" applyFill="1" applyBorder="1" applyAlignment="1">
      <alignment horizontal="center"/>
    </xf>
    <xf numFmtId="172" fontId="0" fillId="5" borderId="0" xfId="0" applyNumberFormat="1" applyFill="1" applyAlignment="1">
      <alignment horizontal="center"/>
    </xf>
    <xf numFmtId="169" fontId="0" fillId="5" borderId="50" xfId="0" applyNumberFormat="1" applyFill="1" applyBorder="1" applyAlignment="1">
      <alignment horizontal="right"/>
    </xf>
    <xf numFmtId="169" fontId="0" fillId="5" borderId="58" xfId="0" applyNumberFormat="1" applyFill="1" applyBorder="1" applyAlignment="1">
      <alignment horizontal="right"/>
    </xf>
    <xf numFmtId="0" fontId="8" fillId="5" borderId="46" xfId="0" applyFont="1" applyFill="1" applyBorder="1"/>
    <xf numFmtId="0" fontId="8" fillId="5" borderId="48" xfId="0" applyFont="1" applyFill="1" applyBorder="1"/>
    <xf numFmtId="0" fontId="28" fillId="7" borderId="59" xfId="0" applyFont="1" applyFill="1" applyBorder="1"/>
    <xf numFmtId="0" fontId="28" fillId="7" borderId="60" xfId="0" applyFont="1" applyFill="1" applyBorder="1"/>
    <xf numFmtId="0" fontId="28" fillId="7" borderId="61" xfId="0" applyFont="1" applyFill="1" applyBorder="1"/>
    <xf numFmtId="0" fontId="28" fillId="7" borderId="0" xfId="0" applyFont="1" applyFill="1"/>
    <xf numFmtId="0" fontId="85" fillId="0" borderId="0" xfId="0" applyFont="1"/>
    <xf numFmtId="202" fontId="83" fillId="0" borderId="0" xfId="8" applyNumberFormat="1" applyFont="1" applyAlignment="1" applyProtection="1">
      <alignment horizontal="center" vertical="center"/>
      <protection hidden="1"/>
    </xf>
    <xf numFmtId="202" fontId="83" fillId="0" borderId="0" xfId="8" applyNumberFormat="1" applyFont="1" applyAlignment="1" applyProtection="1">
      <alignment horizontal="right" vertical="center"/>
      <protection hidden="1"/>
    </xf>
    <xf numFmtId="169" fontId="86" fillId="0" borderId="0" xfId="5" applyNumberFormat="1" applyFont="1" applyBorder="1" applyAlignment="1">
      <alignment vertical="center"/>
    </xf>
    <xf numFmtId="0" fontId="86" fillId="0" borderId="0" xfId="0" applyFont="1" applyAlignment="1">
      <alignment horizontal="center" vertical="center" textRotation="90"/>
    </xf>
    <xf numFmtId="167" fontId="87" fillId="0" borderId="0" xfId="1" applyNumberFormat="1" applyFont="1" applyFill="1" applyBorder="1" applyAlignment="1">
      <alignment horizontal="right" vertical="center"/>
    </xf>
    <xf numFmtId="167" fontId="86" fillId="0" borderId="0" xfId="5" applyNumberFormat="1" applyFont="1" applyBorder="1" applyAlignment="1">
      <alignment horizontal="right" vertical="center"/>
    </xf>
    <xf numFmtId="202" fontId="83" fillId="5" borderId="56" xfId="8" applyNumberFormat="1" applyFont="1" applyFill="1" applyBorder="1" applyAlignment="1" applyProtection="1">
      <alignment horizontal="center" vertical="center"/>
      <protection hidden="1"/>
    </xf>
    <xf numFmtId="202" fontId="83" fillId="5" borderId="15" xfId="8" applyNumberFormat="1" applyFont="1" applyFill="1" applyBorder="1" applyAlignment="1" applyProtection="1">
      <alignment horizontal="center" vertical="center"/>
      <protection hidden="1"/>
    </xf>
    <xf numFmtId="202" fontId="83" fillId="5" borderId="50" xfId="8" applyNumberFormat="1" applyFont="1" applyFill="1" applyBorder="1" applyAlignment="1" applyProtection="1">
      <alignment horizontal="center" vertical="center"/>
      <protection hidden="1"/>
    </xf>
    <xf numFmtId="202" fontId="83" fillId="5" borderId="58" xfId="8" applyNumberFormat="1" applyFont="1" applyFill="1" applyBorder="1" applyAlignment="1" applyProtection="1">
      <alignment horizontal="center" vertical="center"/>
      <protection hidden="1"/>
    </xf>
    <xf numFmtId="202" fontId="83" fillId="5" borderId="49" xfId="8" applyNumberFormat="1" applyFont="1" applyFill="1" applyBorder="1" applyAlignment="1" applyProtection="1">
      <alignment horizontal="center" vertical="center"/>
      <protection hidden="1"/>
    </xf>
    <xf numFmtId="202" fontId="83" fillId="5" borderId="0" xfId="8" applyNumberFormat="1" applyFont="1" applyFill="1" applyAlignment="1" applyProtection="1">
      <alignment horizontal="center" vertical="center"/>
      <protection hidden="1"/>
    </xf>
    <xf numFmtId="202" fontId="83" fillId="5" borderId="57" xfId="8" applyNumberFormat="1" applyFont="1" applyFill="1" applyBorder="1" applyAlignment="1" applyProtection="1">
      <alignment horizontal="center" vertical="center"/>
      <protection hidden="1"/>
    </xf>
    <xf numFmtId="202" fontId="83" fillId="5" borderId="6" xfId="8" applyNumberFormat="1" applyFont="1" applyFill="1" applyBorder="1" applyAlignment="1" applyProtection="1">
      <alignment horizontal="center" vertical="center"/>
      <protection hidden="1"/>
    </xf>
    <xf numFmtId="0" fontId="88" fillId="0" borderId="0" xfId="0" applyFont="1"/>
    <xf numFmtId="186" fontId="89" fillId="0" borderId="19" xfId="0" applyNumberFormat="1" applyFont="1" applyBorder="1" applyAlignment="1">
      <alignment horizontal="center"/>
    </xf>
    <xf numFmtId="0" fontId="85" fillId="5" borderId="50" xfId="0" applyFont="1" applyFill="1" applyBorder="1"/>
    <xf numFmtId="37" fontId="90" fillId="0" borderId="0" xfId="0" applyNumberFormat="1" applyFont="1" applyAlignment="1">
      <alignment vertical="center"/>
    </xf>
    <xf numFmtId="202" fontId="83" fillId="5" borderId="27" xfId="8" applyNumberFormat="1" applyFont="1" applyFill="1" applyBorder="1" applyAlignment="1" applyProtection="1">
      <alignment horizontal="center" vertical="center"/>
      <protection hidden="1"/>
    </xf>
    <xf numFmtId="37" fontId="90" fillId="5" borderId="50" xfId="0" applyNumberFormat="1" applyFont="1" applyFill="1" applyBorder="1" applyAlignment="1">
      <alignment vertical="center"/>
    </xf>
    <xf numFmtId="0" fontId="2" fillId="0" borderId="0" xfId="0" applyFont="1" applyAlignment="1">
      <alignment horizontal="center" vertical="center" textRotation="90"/>
    </xf>
    <xf numFmtId="0" fontId="20" fillId="0" borderId="0" xfId="0" applyFont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</cellXfs>
  <cellStyles count="10">
    <cellStyle name="Comma" xfId="9" builtinId="3"/>
    <cellStyle name="Comma 2" xfId="5" xr:uid="{032677EB-871D-4AB4-8E7D-F0399628B166}"/>
    <cellStyle name="Comma 2 2" xfId="6" xr:uid="{F1BA9173-6B3E-434F-BD2B-4A6E752C6A70}"/>
    <cellStyle name="Comma 2 3" xfId="7" xr:uid="{4C0EEEB3-F914-483F-9E0E-5623CE76E9C8}"/>
    <cellStyle name="Hyperlink" xfId="4" builtinId="8"/>
    <cellStyle name="Hyperlink 2 2" xfId="3" xr:uid="{837BFA78-E941-4E61-ACCB-61D2666396EB}"/>
    <cellStyle name="Normal" xfId="0" builtinId="0"/>
    <cellStyle name="Normal 2" xfId="8" xr:uid="{DA9127E8-DDE3-4056-9936-6C4592665911}"/>
    <cellStyle name="Normal 2 2 2" xfId="2" xr:uid="{AE2867F9-3988-4EA8-A95C-E631EB3AA81A}"/>
    <cellStyle name="Percent" xfId="1" builtinId="5"/>
  </cellStyles>
  <dxfs count="11"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>
          <fgColor auto="1"/>
          <bgColor rgb="FF947131"/>
        </patternFill>
      </fill>
    </dxf>
    <dxf>
      <font>
        <b/>
        <i val="0"/>
        <color theme="0"/>
      </font>
      <fill>
        <patternFill>
          <fgColor auto="1"/>
          <bgColor rgb="FF947131"/>
        </patternFill>
      </fill>
    </dxf>
    <dxf>
      <font>
        <b/>
        <i val="0"/>
        <color theme="0"/>
      </font>
      <fill>
        <patternFill>
          <fgColor auto="1"/>
          <bgColor rgb="FF94713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https://corporatefinanceinstitute.com/" TargetMode="Externa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hyperlink" Target="https://corporatefinanceinstitute.com/" TargetMode="Externa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hyperlink" Target="https://corporatefinanceinstitute.com/" TargetMode="Externa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https://corporatefinanceinstitute.com/" TargetMode="Externa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https://corporatefinanceinstitute.com/" TargetMode="Externa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hyperlink" Target="https://corporatefinanceinstitute.com/" TargetMode="Externa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80511</xdr:colOff>
      <xdr:row>3</xdr:row>
      <xdr:rowOff>235857</xdr:rowOff>
    </xdr:from>
    <xdr:to>
      <xdr:col>2</xdr:col>
      <xdr:colOff>2047197</xdr:colOff>
      <xdr:row>6</xdr:row>
      <xdr:rowOff>46788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3F3802-8F75-45F4-A9FF-A4669AB4F7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4411" y="1055007"/>
          <a:ext cx="1966686" cy="5538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130967</xdr:colOff>
      <xdr:row>0</xdr:row>
      <xdr:rowOff>138154</xdr:rowOff>
    </xdr:from>
    <xdr:to>
      <xdr:col>3</xdr:col>
      <xdr:colOff>592704</xdr:colOff>
      <xdr:row>0</xdr:row>
      <xdr:rowOff>492296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20D7AA2-2EAF-4EB4-B274-C55CF9F2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317" y="138154"/>
          <a:ext cx="1211037" cy="3541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130967</xdr:colOff>
      <xdr:row>0</xdr:row>
      <xdr:rowOff>138154</xdr:rowOff>
    </xdr:from>
    <xdr:to>
      <xdr:col>2</xdr:col>
      <xdr:colOff>446654</xdr:colOff>
      <xdr:row>0</xdr:row>
      <xdr:rowOff>492296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3D0BBF-AB79-4A28-8AE8-EC82B4B530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317" y="138154"/>
          <a:ext cx="1211037" cy="3541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130967</xdr:colOff>
      <xdr:row>0</xdr:row>
      <xdr:rowOff>138154</xdr:rowOff>
    </xdr:from>
    <xdr:to>
      <xdr:col>2</xdr:col>
      <xdr:colOff>446654</xdr:colOff>
      <xdr:row>0</xdr:row>
      <xdr:rowOff>492296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4927CD-0712-4FD1-90ED-E2DC47EF5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317" y="138154"/>
          <a:ext cx="1211037" cy="35414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130967</xdr:colOff>
      <xdr:row>0</xdr:row>
      <xdr:rowOff>138154</xdr:rowOff>
    </xdr:from>
    <xdr:to>
      <xdr:col>2</xdr:col>
      <xdr:colOff>103754</xdr:colOff>
      <xdr:row>0</xdr:row>
      <xdr:rowOff>492296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91553C-E6D3-4AFC-9DE1-FFFCE36C65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317" y="138154"/>
          <a:ext cx="1211037" cy="35414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130967</xdr:colOff>
      <xdr:row>0</xdr:row>
      <xdr:rowOff>138154</xdr:rowOff>
    </xdr:from>
    <xdr:to>
      <xdr:col>3</xdr:col>
      <xdr:colOff>535554</xdr:colOff>
      <xdr:row>0</xdr:row>
      <xdr:rowOff>492296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A36CEA1-ECEB-4F96-A2F3-A53B0ABFD2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317" y="138154"/>
          <a:ext cx="1211037" cy="35414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130967</xdr:colOff>
      <xdr:row>0</xdr:row>
      <xdr:rowOff>138154</xdr:rowOff>
    </xdr:from>
    <xdr:to>
      <xdr:col>2</xdr:col>
      <xdr:colOff>103754</xdr:colOff>
      <xdr:row>0</xdr:row>
      <xdr:rowOff>492296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70F36C-AC78-4D58-A31E-5FFEA6679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317" y="138154"/>
          <a:ext cx="1211037" cy="3541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orporatefinanceinstitute.com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37DDA-3608-4744-8A0D-204B26CA3912}">
  <sheetPr>
    <pageSetUpPr fitToPage="1"/>
  </sheetPr>
  <dimension ref="A1:N40"/>
  <sheetViews>
    <sheetView showGridLines="0" zoomScaleNormal="100" zoomScaleSheetLayoutView="85" workbookViewId="0"/>
  </sheetViews>
  <sheetFormatPr baseColWidth="10" defaultColWidth="9.1640625" defaultRowHeight="19.5" customHeight="1"/>
  <cols>
    <col min="1" max="1" width="4.6640625" style="1" customWidth="1"/>
    <col min="2" max="2" width="4.83203125" style="1" customWidth="1"/>
    <col min="3" max="3" width="36.6640625" style="1" customWidth="1"/>
    <col min="4" max="11" width="10.6640625" style="1" customWidth="1"/>
    <col min="12" max="12" width="26.6640625" style="1" customWidth="1"/>
    <col min="13" max="13" width="10.6640625" style="1" customWidth="1"/>
    <col min="14" max="14" width="4.83203125" style="1" customWidth="1"/>
    <col min="15" max="15" width="9.1640625" style="1" customWidth="1"/>
    <col min="16" max="16384" width="9.1640625" style="1"/>
  </cols>
  <sheetData>
    <row r="1" spans="1:14" ht="19.5" customHeight="1" thickBot="1">
      <c r="A1" s="33"/>
    </row>
    <row r="2" spans="1:14" ht="19.5" customHeight="1" thickTop="1">
      <c r="B2" s="795"/>
      <c r="C2" s="796"/>
      <c r="D2" s="796"/>
      <c r="E2" s="796"/>
      <c r="F2" s="32"/>
      <c r="G2" s="32"/>
      <c r="H2" s="32"/>
      <c r="I2" s="32"/>
      <c r="J2" s="32"/>
      <c r="K2" s="32"/>
      <c r="L2" s="32"/>
      <c r="M2" s="32"/>
      <c r="N2" s="31"/>
    </row>
    <row r="3" spans="1:14" ht="19.5" customHeight="1">
      <c r="B3" s="797"/>
      <c r="C3" s="798"/>
      <c r="D3" s="798"/>
      <c r="E3" s="798"/>
      <c r="F3" s="30"/>
      <c r="G3" s="30"/>
      <c r="H3" s="30"/>
      <c r="I3" s="30"/>
      <c r="J3" s="30"/>
      <c r="K3" s="30"/>
      <c r="L3" s="30"/>
      <c r="M3" s="30"/>
      <c r="N3" s="29"/>
    </row>
    <row r="4" spans="1:14" ht="19.5" customHeight="1">
      <c r="B4" s="797"/>
      <c r="C4" s="798"/>
      <c r="D4" s="798"/>
      <c r="E4" s="798"/>
      <c r="F4" s="30"/>
      <c r="G4" s="30"/>
      <c r="H4" s="30"/>
      <c r="I4" s="30"/>
      <c r="J4" s="30"/>
      <c r="K4" s="30"/>
      <c r="L4" s="30"/>
      <c r="M4" s="30"/>
      <c r="N4" s="29"/>
    </row>
    <row r="5" spans="1:14" ht="19.5" customHeight="1">
      <c r="B5" s="797"/>
      <c r="C5" s="798"/>
      <c r="D5" s="798"/>
      <c r="E5" s="798"/>
      <c r="F5" s="30"/>
      <c r="G5" s="30"/>
      <c r="H5" s="30"/>
      <c r="I5" s="30"/>
      <c r="J5" s="30"/>
      <c r="K5" s="30"/>
      <c r="L5" s="30"/>
      <c r="M5" s="30"/>
      <c r="N5" s="29"/>
    </row>
    <row r="6" spans="1:14" ht="19.5" customHeight="1">
      <c r="B6" s="797"/>
      <c r="C6" s="798"/>
      <c r="D6" s="798"/>
      <c r="E6" s="798"/>
      <c r="F6" s="30"/>
      <c r="G6" s="30"/>
      <c r="H6" s="30"/>
      <c r="I6" s="30"/>
      <c r="J6" s="30"/>
      <c r="K6" s="30"/>
      <c r="L6" s="30"/>
      <c r="M6" s="30"/>
      <c r="N6" s="29"/>
    </row>
    <row r="7" spans="1:14" ht="19.5" customHeight="1">
      <c r="B7" s="797"/>
      <c r="C7" s="798"/>
      <c r="D7" s="798"/>
      <c r="E7" s="798"/>
      <c r="F7" s="30"/>
      <c r="G7" s="30"/>
      <c r="H7" s="30"/>
      <c r="I7" s="30"/>
      <c r="J7" s="30"/>
      <c r="K7" s="30"/>
      <c r="L7" s="30"/>
      <c r="M7" s="30"/>
      <c r="N7" s="29"/>
    </row>
    <row r="8" spans="1:14" ht="19.5" customHeight="1">
      <c r="B8" s="797"/>
      <c r="C8" s="798"/>
      <c r="D8" s="798"/>
      <c r="E8" s="798"/>
      <c r="F8" s="30"/>
      <c r="G8" s="30"/>
      <c r="H8" s="30"/>
      <c r="I8" s="30"/>
      <c r="J8" s="30"/>
      <c r="K8" s="30"/>
      <c r="L8" s="30"/>
      <c r="M8" s="30"/>
      <c r="N8" s="29"/>
    </row>
    <row r="9" spans="1:14" ht="19.5" customHeight="1">
      <c r="B9" s="797"/>
      <c r="C9" s="798"/>
      <c r="D9" s="798"/>
      <c r="E9" s="798"/>
      <c r="F9" s="30"/>
      <c r="G9" s="30"/>
      <c r="H9" s="30"/>
      <c r="I9" s="30"/>
      <c r="J9" s="30"/>
      <c r="K9" s="30"/>
      <c r="L9" s="30"/>
      <c r="M9" s="30"/>
      <c r="N9" s="29"/>
    </row>
    <row r="10" spans="1:14" ht="19.5" customHeight="1">
      <c r="B10" s="8"/>
      <c r="N10" s="5"/>
    </row>
    <row r="11" spans="1:14" ht="28.5" customHeight="1">
      <c r="B11" s="8"/>
      <c r="C11" s="28" t="s">
        <v>21</v>
      </c>
      <c r="M11" s="27" t="s">
        <v>20</v>
      </c>
      <c r="N11" s="5"/>
    </row>
    <row r="12" spans="1:14" ht="19.5" customHeight="1">
      <c r="B12" s="8"/>
      <c r="C12" s="26"/>
      <c r="K12" s="25"/>
      <c r="N12" s="5"/>
    </row>
    <row r="13" spans="1:14" ht="19.5" customHeight="1">
      <c r="B13" s="8"/>
      <c r="C13" s="24" t="s">
        <v>19</v>
      </c>
      <c r="D13" s="11"/>
      <c r="E13" s="11"/>
      <c r="F13" s="11"/>
      <c r="G13" s="11"/>
      <c r="H13" s="23" t="s">
        <v>18</v>
      </c>
      <c r="I13" s="22"/>
      <c r="J13" s="22"/>
      <c r="K13" s="22"/>
      <c r="L13" s="21"/>
      <c r="M13" s="20"/>
      <c r="N13" s="5"/>
    </row>
    <row r="14" spans="1:14" ht="19.5" customHeight="1">
      <c r="B14" s="8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5"/>
    </row>
    <row r="15" spans="1:14" ht="19.5" customHeight="1">
      <c r="B15" s="8"/>
      <c r="C15" s="19" t="s">
        <v>17</v>
      </c>
      <c r="D15" s="11"/>
      <c r="E15" s="11"/>
      <c r="F15" s="11"/>
      <c r="G15" s="11"/>
      <c r="H15" s="17" t="s">
        <v>16</v>
      </c>
      <c r="M15" s="16">
        <f>Inputs!$F$98</f>
        <v>0</v>
      </c>
      <c r="N15" s="5"/>
    </row>
    <row r="16" spans="1:14" ht="19.5" customHeight="1">
      <c r="B16" s="8"/>
      <c r="C16" s="19" t="s">
        <v>15</v>
      </c>
      <c r="D16" s="11"/>
      <c r="E16" s="11"/>
      <c r="F16" s="11"/>
      <c r="G16" s="11"/>
      <c r="H16" s="17" t="s">
        <v>14</v>
      </c>
      <c r="M16" s="16">
        <f>Inputs!$F$99</f>
        <v>0</v>
      </c>
      <c r="N16" s="5"/>
    </row>
    <row r="17" spans="2:14" ht="19.5" customHeight="1">
      <c r="B17" s="8"/>
      <c r="C17" s="19" t="s">
        <v>13</v>
      </c>
      <c r="D17" s="11"/>
      <c r="E17" s="11"/>
      <c r="F17" s="11"/>
      <c r="G17" s="11"/>
      <c r="H17" s="17" t="s">
        <v>12</v>
      </c>
      <c r="M17" s="16">
        <f>Inputs!$F$110</f>
        <v>0</v>
      </c>
      <c r="N17" s="5"/>
    </row>
    <row r="18" spans="2:14" ht="19.5" customHeight="1">
      <c r="B18" s="8"/>
      <c r="C18" s="18"/>
      <c r="D18" s="11"/>
      <c r="E18" s="11"/>
      <c r="F18" s="11"/>
      <c r="G18" s="11"/>
      <c r="H18" s="17" t="s">
        <v>11</v>
      </c>
      <c r="L18" s="17"/>
      <c r="M18" s="16">
        <f>IF(SUM(Model!$F$43:$N$43)&gt;0,1,0)</f>
        <v>0</v>
      </c>
      <c r="N18" s="5"/>
    </row>
    <row r="19" spans="2:14" ht="19.5" customHeight="1">
      <c r="B19" s="8"/>
      <c r="C19" s="18"/>
      <c r="D19" s="11"/>
      <c r="E19" s="11"/>
      <c r="F19" s="11"/>
      <c r="G19" s="11"/>
      <c r="H19" s="17" t="s">
        <v>10</v>
      </c>
      <c r="L19" s="17"/>
      <c r="M19" s="16">
        <f>Model!$D$246</f>
        <v>0</v>
      </c>
      <c r="N19" s="5"/>
    </row>
    <row r="20" spans="2:14" ht="19.5" customHeight="1">
      <c r="B20" s="8"/>
      <c r="C20" s="15"/>
      <c r="D20" s="11"/>
      <c r="E20" s="11"/>
      <c r="F20" s="11"/>
      <c r="G20" s="11"/>
      <c r="H20" s="17" t="s">
        <v>9</v>
      </c>
      <c r="L20" s="17"/>
      <c r="M20" s="16">
        <f>Model!$D$288</f>
        <v>0</v>
      </c>
      <c r="N20" s="5"/>
    </row>
    <row r="21" spans="2:14" ht="19.5" customHeight="1">
      <c r="B21" s="8"/>
      <c r="C21" s="15"/>
      <c r="D21" s="11"/>
      <c r="E21" s="11"/>
      <c r="F21" s="11"/>
      <c r="G21" s="11"/>
      <c r="H21" s="17" t="s">
        <v>8</v>
      </c>
      <c r="L21" s="17"/>
      <c r="M21" s="16">
        <f>IF(SUM(Model!$I$353:$N$353)&gt;0,1,0)</f>
        <v>0</v>
      </c>
      <c r="N21" s="5"/>
    </row>
    <row r="22" spans="2:14" ht="19.5" customHeight="1">
      <c r="B22" s="8"/>
      <c r="C22" s="15"/>
      <c r="D22" s="11"/>
      <c r="E22" s="11"/>
      <c r="F22" s="11"/>
      <c r="G22" s="11"/>
      <c r="H22" s="17"/>
      <c r="L22" s="17"/>
      <c r="M22" s="16"/>
      <c r="N22" s="5"/>
    </row>
    <row r="23" spans="2:14" ht="19.5" customHeight="1">
      <c r="B23" s="8"/>
      <c r="C23" s="15"/>
      <c r="D23" s="11"/>
      <c r="E23" s="11"/>
      <c r="F23" s="11"/>
      <c r="G23" s="11"/>
      <c r="N23" s="5"/>
    </row>
    <row r="24" spans="2:14" ht="19.5" customHeight="1">
      <c r="B24" s="8"/>
      <c r="C24" s="15"/>
      <c r="D24" s="11"/>
      <c r="E24" s="11"/>
      <c r="F24" s="11"/>
      <c r="G24" s="11"/>
      <c r="N24" s="5"/>
    </row>
    <row r="25" spans="2:14" ht="19.5" customHeight="1">
      <c r="B25" s="8"/>
      <c r="C25" s="15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5"/>
    </row>
    <row r="26" spans="2:14" ht="19.5" customHeight="1">
      <c r="B26" s="8"/>
      <c r="C26" s="14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5"/>
    </row>
    <row r="27" spans="2:14" ht="19.5" customHeight="1">
      <c r="B27" s="8"/>
      <c r="C27" s="14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5"/>
    </row>
    <row r="28" spans="2:14" ht="19.5" customHeight="1">
      <c r="B28" s="8"/>
      <c r="C28" s="13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5"/>
    </row>
    <row r="29" spans="2:14" ht="19.5" customHeight="1">
      <c r="B29" s="8"/>
      <c r="C29" s="12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5"/>
    </row>
    <row r="30" spans="2:14" ht="19.5" customHeight="1">
      <c r="B30" s="8"/>
      <c r="C30" s="12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5"/>
    </row>
    <row r="31" spans="2:14" ht="19.5" customHeight="1">
      <c r="B31" s="8"/>
      <c r="C31" s="10" t="s">
        <v>7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5"/>
    </row>
    <row r="32" spans="2:14" ht="19.5" customHeight="1">
      <c r="B32" s="8"/>
      <c r="C32" s="7" t="s">
        <v>6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5"/>
    </row>
    <row r="33" spans="2:14" ht="19.5" customHeight="1">
      <c r="B33" s="8"/>
      <c r="C33" s="7" t="s">
        <v>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5"/>
    </row>
    <row r="34" spans="2:14" ht="19.5" customHeight="1">
      <c r="B34" s="8"/>
      <c r="C34" s="7" t="s">
        <v>4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5"/>
    </row>
    <row r="35" spans="2:14" ht="19.5" customHeight="1">
      <c r="B35" s="8"/>
      <c r="C35" s="7" t="s">
        <v>3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5"/>
    </row>
    <row r="36" spans="2:14" ht="19.5" customHeight="1">
      <c r="B36" s="8"/>
      <c r="C36" s="7" t="s">
        <v>2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5"/>
    </row>
    <row r="37" spans="2:14" ht="19.5" customHeight="1">
      <c r="B37" s="8"/>
      <c r="C37" s="7"/>
      <c r="D37" s="6"/>
      <c r="E37" s="6"/>
      <c r="F37" s="6"/>
      <c r="G37" s="6"/>
      <c r="H37" s="6"/>
      <c r="I37" s="6"/>
      <c r="J37" s="6"/>
      <c r="K37" s="6"/>
      <c r="L37" s="6"/>
      <c r="M37" s="6"/>
      <c r="N37" s="5"/>
    </row>
    <row r="38" spans="2:14" ht="19.5" customHeight="1">
      <c r="B38" s="8"/>
      <c r="C38" s="7" t="s">
        <v>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5"/>
    </row>
    <row r="39" spans="2:14" ht="19.5" customHeight="1" thickBot="1"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2" t="s">
        <v>0</v>
      </c>
    </row>
    <row r="40" spans="2:14" ht="19.5" customHeight="1" thickTop="1"/>
  </sheetData>
  <conditionalFormatting sqref="M15:M21">
    <cfRule type="expression" dxfId="10" priority="1">
      <formula>M15=1</formula>
    </cfRule>
  </conditionalFormatting>
  <hyperlinks>
    <hyperlink ref="C15" location="Outputs!A1" tooltip="Outputs" display="Outputs" xr:uid="{44D9D48F-89AB-478B-87CA-348115577549}"/>
    <hyperlink ref="C38" r:id="rId1" xr:uid="{E7F37B15-3822-413D-919E-C9062DF97473}"/>
    <hyperlink ref="C16:C17" location="Model!A1" display="Cover" xr:uid="{159A78C3-5B07-467E-892F-1C43209F28CB}"/>
    <hyperlink ref="C16" location="Inputs!A1" tooltip="Inputs" display="Inputs" xr:uid="{F9407633-7CBD-45C0-96EE-669715A4DD55}"/>
    <hyperlink ref="C17" location="Model!A1" tooltip="Model" display="Model" xr:uid="{0E343B70-47CF-4F86-B8DB-A7EDA6C457A3}"/>
  </hyperlinks>
  <printOptions horizontalCentered="1" verticalCentered="1"/>
  <pageMargins left="0.31496062992125984" right="0.31496062992125984" top="0.31496062992125984" bottom="0.31496062992125984" header="0.31496062992125984" footer="0.31496062992125984"/>
  <pageSetup scale="77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990CD-A02E-4DAB-BF16-B00142179164}">
  <sheetPr>
    <tabColor theme="1"/>
    <pageSetUpPr autoPageBreaks="0"/>
  </sheetPr>
  <dimension ref="A1:AI89"/>
  <sheetViews>
    <sheetView showGridLines="0" zoomScaleNormal="100" zoomScaleSheetLayoutView="95" workbookViewId="0">
      <pane ySplit="1" topLeftCell="A2" activePane="bottomLeft" state="frozen"/>
      <selection activeCell="F6" sqref="F6"/>
      <selection pane="bottomLeft" activeCell="F6" sqref="F6"/>
    </sheetView>
  </sheetViews>
  <sheetFormatPr baseColWidth="10" defaultColWidth="9.1640625" defaultRowHeight="15" outlineLevelRow="1"/>
  <cols>
    <col min="1" max="1" width="9.1640625" style="34"/>
    <col min="2" max="2" width="2.6640625" style="34" customWidth="1"/>
    <col min="3" max="3" width="8" style="34" customWidth="1"/>
    <col min="4" max="8" width="11.6640625" style="34" customWidth="1"/>
    <col min="9" max="9" width="6.6640625" style="34" customWidth="1"/>
    <col min="10" max="10" width="2.6640625" style="34" customWidth="1"/>
    <col min="11" max="11" width="8" style="34" customWidth="1"/>
    <col min="12" max="16" width="11.6640625" style="34" customWidth="1"/>
    <col min="17" max="17" width="3.6640625" style="34" customWidth="1"/>
    <col min="18" max="18" width="9.1640625" style="34"/>
    <col min="19" max="23" width="19.33203125" style="34" bestFit="1" customWidth="1"/>
    <col min="24" max="24" width="14.33203125" style="34" bestFit="1" customWidth="1"/>
    <col min="25" max="29" width="19.33203125" style="34" bestFit="1" customWidth="1"/>
    <col min="30" max="30" width="9.1640625" style="34"/>
    <col min="31" max="31" width="11" style="34" bestFit="1" customWidth="1"/>
    <col min="32" max="16384" width="9.1640625" style="34"/>
  </cols>
  <sheetData>
    <row r="1" spans="1:33" ht="50" customHeight="1">
      <c r="B1" s="798"/>
      <c r="C1" s="798"/>
      <c r="D1" s="798"/>
      <c r="E1" s="178"/>
      <c r="F1" s="178"/>
      <c r="G1" s="178"/>
      <c r="H1" s="178"/>
      <c r="I1" s="178"/>
      <c r="J1" s="179"/>
      <c r="K1" s="178"/>
      <c r="L1" s="178"/>
      <c r="M1" s="178"/>
      <c r="N1" s="178"/>
      <c r="O1" s="178"/>
      <c r="P1" s="178"/>
      <c r="Q1" s="178"/>
      <c r="R1" s="102"/>
    </row>
    <row r="2" spans="1:33" ht="15" customHeight="1"/>
    <row r="3" spans="1:33" ht="15" customHeight="1">
      <c r="A3" s="719" t="s">
        <v>0</v>
      </c>
      <c r="B3" s="144" t="s">
        <v>47</v>
      </c>
      <c r="C3" s="143"/>
      <c r="D3" s="143"/>
      <c r="E3" s="142"/>
      <c r="F3" s="142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38"/>
    </row>
    <row r="4" spans="1:33" ht="15" customHeight="1" outlineLevel="1">
      <c r="A4" s="720"/>
      <c r="B4" s="122"/>
      <c r="C4" s="140"/>
      <c r="D4" s="140"/>
      <c r="E4" s="139"/>
      <c r="F4" s="139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</row>
    <row r="5" spans="1:33" ht="15" customHeight="1" outlineLevel="1">
      <c r="A5" s="719"/>
      <c r="F5" s="132"/>
      <c r="G5" s="137"/>
      <c r="H5" s="132"/>
      <c r="I5" s="132"/>
      <c r="J5" s="136"/>
      <c r="K5" s="136"/>
      <c r="L5" s="721"/>
      <c r="M5" s="721"/>
      <c r="N5" s="721"/>
      <c r="O5" s="721"/>
    </row>
    <row r="6" spans="1:33" ht="15" customHeight="1" outlineLevel="1">
      <c r="D6" s="721" t="s">
        <v>41</v>
      </c>
      <c r="F6" s="175">
        <f>Outputs!F6</f>
        <v>2</v>
      </c>
      <c r="L6" s="135" t="s">
        <v>40</v>
      </c>
      <c r="M6" s="69"/>
      <c r="N6" s="69"/>
      <c r="O6" s="69"/>
    </row>
    <row r="7" spans="1:33" ht="15" customHeight="1" outlineLevel="1"/>
    <row r="8" spans="1:33" ht="15" customHeight="1" outlineLevel="1"/>
    <row r="9" spans="1:33" ht="15" customHeight="1" outlineLevel="1">
      <c r="D9" s="134" t="s">
        <v>39</v>
      </c>
      <c r="E9" s="69"/>
      <c r="F9" s="69"/>
      <c r="G9" s="69"/>
      <c r="H9" s="69"/>
      <c r="L9" s="134" t="s">
        <v>38</v>
      </c>
      <c r="M9" s="69"/>
      <c r="N9" s="69"/>
      <c r="O9" s="69"/>
    </row>
    <row r="10" spans="1:33" s="102" customFormat="1" ht="15" customHeight="1" outlineLevel="1" thickBot="1">
      <c r="D10" s="133"/>
      <c r="E10" s="133"/>
      <c r="F10" s="133"/>
      <c r="G10" s="133"/>
      <c r="H10" s="133"/>
      <c r="I10" s="132"/>
      <c r="J10" s="131"/>
      <c r="K10" s="131"/>
      <c r="L10" s="72"/>
      <c r="M10" s="72"/>
      <c r="N10" s="72"/>
      <c r="O10" s="72"/>
      <c r="V10" s="34"/>
      <c r="W10" s="669" t="s">
        <v>277</v>
      </c>
      <c r="X10" s="668" t="s">
        <v>278</v>
      </c>
      <c r="Y10" s="671" t="s">
        <v>279</v>
      </c>
    </row>
    <row r="11" spans="1:33" ht="15" customHeight="1" outlineLevel="1">
      <c r="A11" s="131"/>
      <c r="D11" s="174"/>
      <c r="E11" s="102"/>
      <c r="F11" s="130" t="s">
        <v>37</v>
      </c>
      <c r="G11" s="130" t="s">
        <v>36</v>
      </c>
      <c r="H11" s="130" t="s">
        <v>36</v>
      </c>
      <c r="I11" s="126"/>
      <c r="J11" s="126"/>
      <c r="K11" s="126"/>
      <c r="W11" s="672">
        <f>Outputs!F13</f>
        <v>0</v>
      </c>
      <c r="X11" s="673">
        <f>F13</f>
        <v>128312.63634373384</v>
      </c>
      <c r="Y11" s="806">
        <f>IF(W11=0,0,IF(W11=X11,1,0))</f>
        <v>0</v>
      </c>
    </row>
    <row r="12" spans="1:33" ht="15" customHeight="1" outlineLevel="1">
      <c r="A12" s="131"/>
      <c r="D12" s="102"/>
      <c r="E12" s="102"/>
      <c r="F12" s="130" t="s">
        <v>35</v>
      </c>
      <c r="G12" s="130" t="s">
        <v>35</v>
      </c>
      <c r="H12" s="130" t="s">
        <v>34</v>
      </c>
      <c r="I12" s="126"/>
      <c r="J12" s="126"/>
      <c r="K12" s="126"/>
      <c r="L12" s="721" t="s">
        <v>43</v>
      </c>
      <c r="M12" s="721"/>
      <c r="N12" s="100"/>
      <c r="O12" s="36">
        <f>'Inputs-R'!F107</f>
        <v>0.02</v>
      </c>
    </row>
    <row r="13" spans="1:33" ht="15" customHeight="1" outlineLevel="1" thickBot="1">
      <c r="A13" s="131"/>
      <c r="F13" s="128">
        <f>Model!H394</f>
        <v>128312.63634373384</v>
      </c>
      <c r="G13" s="127"/>
      <c r="H13" s="127"/>
      <c r="I13" s="126"/>
      <c r="J13" s="126"/>
      <c r="K13" s="126"/>
      <c r="L13" s="721" t="s">
        <v>23</v>
      </c>
      <c r="N13" s="100"/>
      <c r="O13" s="36">
        <f>'Inputs-R'!L84</f>
        <v>9.7429919540151538E-2</v>
      </c>
      <c r="P13" s="105"/>
      <c r="S13" s="669" t="s">
        <v>277</v>
      </c>
      <c r="T13" s="668" t="s">
        <v>278</v>
      </c>
      <c r="U13" s="671" t="s">
        <v>279</v>
      </c>
      <c r="W13" s="662" t="s">
        <v>277</v>
      </c>
      <c r="X13" s="663" t="s">
        <v>278</v>
      </c>
      <c r="Y13" s="664" t="s">
        <v>279</v>
      </c>
      <c r="AA13" s="662" t="s">
        <v>277</v>
      </c>
      <c r="AB13" s="663" t="s">
        <v>278</v>
      </c>
      <c r="AC13" s="664" t="s">
        <v>279</v>
      </c>
      <c r="AE13" s="662" t="s">
        <v>277</v>
      </c>
      <c r="AF13" s="663" t="s">
        <v>278</v>
      </c>
      <c r="AG13" s="664" t="s">
        <v>279</v>
      </c>
    </row>
    <row r="14" spans="1:33" ht="15" customHeight="1" outlineLevel="1">
      <c r="A14" s="131"/>
      <c r="B14" s="122"/>
      <c r="D14" s="169" t="s">
        <v>46</v>
      </c>
      <c r="E14" s="113">
        <v>1</v>
      </c>
      <c r="F14" s="125">
        <f t="dataTable" ref="F14:F16" dt2D="0" dtr="0" r1="F6"/>
        <v>128312.63634373384</v>
      </c>
      <c r="G14" s="173">
        <f>Outputs!F14-$O$14</f>
        <v>-18642</v>
      </c>
      <c r="H14" s="172">
        <f>Outputs!G14/$O$15</f>
        <v>0</v>
      </c>
      <c r="I14" s="118"/>
      <c r="J14" s="117"/>
      <c r="K14" s="117"/>
      <c r="L14" s="721" t="s">
        <v>33</v>
      </c>
      <c r="N14" s="116" t="str">
        <f>CONCATENATE("(End of ",'Model-R'!$H$5,")")</f>
        <v>(End of 2022)</v>
      </c>
      <c r="O14" s="722">
        <f>'Inputs-R'!L94</f>
        <v>18642</v>
      </c>
      <c r="P14" s="105"/>
      <c r="S14" s="672">
        <f>SUM(Outputs!E14:E16)</f>
        <v>0</v>
      </c>
      <c r="T14" s="673">
        <f>SUM(E14:E16)</f>
        <v>6</v>
      </c>
      <c r="U14" s="806">
        <f>IF(S14=0,0,IF(S14=T14,1,0))</f>
        <v>0</v>
      </c>
      <c r="W14" s="704">
        <f ca="1">IFERROR(_xlfn.FORMULATEXT(Outputs!F14),0)</f>
        <v>0</v>
      </c>
      <c r="X14" s="702" t="str">
        <f ca="1">IFERROR(_xlfn.FORMULATEXT(F14),0)</f>
        <v>{=TABLE(,F6)}</v>
      </c>
      <c r="Y14" s="808">
        <f ca="1">IF(W14=0,0,IF(W14=X14,1,0))</f>
        <v>0</v>
      </c>
      <c r="Z14" s="18"/>
      <c r="AA14" s="704">
        <f>SUM(Outputs!G14:G16)</f>
        <v>0</v>
      </c>
      <c r="AB14" s="702">
        <f>SUM(G14:G16)</f>
        <v>-55926</v>
      </c>
      <c r="AC14" s="808">
        <f>IF(AA14=0,0,IF(AA14=AB14,1,0))</f>
        <v>0</v>
      </c>
      <c r="AE14" s="789">
        <f>SUM(Outputs!H14:H16)</f>
        <v>0</v>
      </c>
      <c r="AF14" s="790">
        <f>SUM(H14:H16)</f>
        <v>0</v>
      </c>
      <c r="AG14" s="808">
        <f>IF(AE14=0,0,IF(AE14=AF14,1,0))</f>
        <v>0</v>
      </c>
    </row>
    <row r="15" spans="1:33" ht="15" customHeight="1" outlineLevel="1">
      <c r="A15" s="131"/>
      <c r="B15" s="122"/>
      <c r="D15" s="169" t="s">
        <v>45</v>
      </c>
      <c r="E15" s="113">
        <v>2</v>
      </c>
      <c r="F15" s="121">
        <v>128312.63634373384</v>
      </c>
      <c r="G15" s="128">
        <f>Outputs!F15-$O$14</f>
        <v>-18642</v>
      </c>
      <c r="H15" s="171">
        <f>Outputs!G15/$O$15</f>
        <v>0</v>
      </c>
      <c r="I15" s="118"/>
      <c r="J15" s="117"/>
      <c r="K15" s="117"/>
      <c r="L15" s="721" t="s">
        <v>32</v>
      </c>
      <c r="M15" s="721"/>
      <c r="N15" s="116" t="s">
        <v>31</v>
      </c>
      <c r="O15" s="722">
        <f>'Inputs-R'!F105</f>
        <v>34200</v>
      </c>
      <c r="P15" s="105"/>
      <c r="Q15" s="98"/>
      <c r="U15" s="799"/>
      <c r="W15" s="704">
        <f ca="1">IFERROR(_xlfn.FORMULATEXT(Outputs!F15),0)</f>
        <v>0</v>
      </c>
      <c r="X15" s="702" t="str">
        <f t="shared" ref="X15:X16" ca="1" si="0">IFERROR(_xlfn.FORMULATEXT(F15),0)</f>
        <v>{=TABLE(,F6)}</v>
      </c>
      <c r="Y15" s="808">
        <f t="shared" ref="Y15:Y16" ca="1" si="1">IF(W15=0,0,IF(W15=X15,1,0))</f>
        <v>0</v>
      </c>
      <c r="AA15" s="704"/>
      <c r="AB15" s="702"/>
      <c r="AC15" s="808"/>
      <c r="AE15" s="704"/>
      <c r="AF15" s="702"/>
      <c r="AG15" s="808"/>
    </row>
    <row r="16" spans="1:33" s="102" customFormat="1" ht="15" customHeight="1" outlineLevel="1">
      <c r="B16" s="114"/>
      <c r="D16" s="169" t="s">
        <v>44</v>
      </c>
      <c r="E16" s="113">
        <v>3</v>
      </c>
      <c r="F16" s="112">
        <v>128312.63634373384</v>
      </c>
      <c r="G16" s="168">
        <f>Outputs!F16-$O$14</f>
        <v>-18642</v>
      </c>
      <c r="H16" s="167">
        <f>Outputs!G16/$O$15</f>
        <v>0</v>
      </c>
      <c r="I16" s="103"/>
      <c r="J16" s="103"/>
      <c r="L16" s="109" t="s">
        <v>30</v>
      </c>
      <c r="M16" s="108"/>
      <c r="N16" s="107" t="s">
        <v>29</v>
      </c>
      <c r="O16" s="106">
        <f>'Inputs-R'!F106</f>
        <v>2.23</v>
      </c>
      <c r="P16" s="105"/>
      <c r="U16" s="799"/>
      <c r="W16" s="705">
        <f ca="1">IFERROR(_xlfn.FORMULATEXT(Outputs!F16),0)</f>
        <v>0</v>
      </c>
      <c r="X16" s="703" t="str">
        <f t="shared" ca="1" si="0"/>
        <v>{=TABLE(,F6)}</v>
      </c>
      <c r="Y16" s="809">
        <f t="shared" ca="1" si="1"/>
        <v>0</v>
      </c>
      <c r="AA16" s="705"/>
      <c r="AB16" s="703"/>
      <c r="AC16" s="809"/>
      <c r="AE16" s="705"/>
      <c r="AF16" s="703"/>
      <c r="AG16" s="809"/>
    </row>
    <row r="17" spans="2:35" s="102" customFormat="1" ht="15" customHeight="1" outlineLevel="1">
      <c r="B17" s="104"/>
      <c r="E17" s="34"/>
      <c r="F17" s="34"/>
      <c r="G17" s="34"/>
      <c r="H17" s="34"/>
      <c r="I17" s="103"/>
      <c r="J17" s="103"/>
      <c r="L17" s="721"/>
      <c r="M17" s="34"/>
      <c r="N17" s="34"/>
      <c r="O17" s="100"/>
      <c r="P17" s="99"/>
      <c r="Q17" s="98"/>
      <c r="U17" s="799"/>
      <c r="Y17" s="799"/>
      <c r="AC17" s="799"/>
      <c r="AG17" s="799"/>
    </row>
    <row r="18" spans="2:35" ht="15" customHeight="1" outlineLevel="1">
      <c r="U18" s="807">
        <f>U14</f>
        <v>0</v>
      </c>
      <c r="Y18" s="807">
        <f ca="1">IF(SUM(Y14:Y16)=3,1,0)</f>
        <v>0</v>
      </c>
      <c r="AC18" s="807">
        <f>AC14</f>
        <v>0</v>
      </c>
      <c r="AG18" s="807">
        <f>AG14</f>
        <v>0</v>
      </c>
    </row>
    <row r="19" spans="2:35" ht="15" customHeight="1" outlineLevel="1"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</row>
    <row r="20" spans="2:35" ht="15" customHeight="1" outlineLevel="1" thickBot="1">
      <c r="D20" s="74" t="s">
        <v>28</v>
      </c>
      <c r="E20" s="69"/>
      <c r="F20" s="69"/>
      <c r="G20" s="69"/>
      <c r="H20" s="69"/>
      <c r="K20" s="37"/>
      <c r="L20" s="73" t="s">
        <v>27</v>
      </c>
      <c r="M20" s="65"/>
      <c r="N20" s="65"/>
      <c r="O20" s="65"/>
      <c r="P20" s="65"/>
      <c r="S20" s="669" t="s">
        <v>277</v>
      </c>
      <c r="T20" s="668" t="s">
        <v>278</v>
      </c>
      <c r="U20" s="671" t="s">
        <v>279</v>
      </c>
    </row>
    <row r="21" spans="2:35" ht="15" customHeight="1" outlineLevel="1">
      <c r="D21" s="72"/>
      <c r="E21" s="72"/>
      <c r="F21" s="72"/>
      <c r="G21" s="72"/>
      <c r="H21" s="72"/>
      <c r="K21" s="37"/>
      <c r="L21" s="71"/>
      <c r="M21" s="71"/>
      <c r="N21" s="71"/>
      <c r="O21" s="71"/>
      <c r="P21" s="71"/>
      <c r="S21" s="672">
        <f>Outputs!C23</f>
        <v>0</v>
      </c>
      <c r="T21" s="673">
        <f>C23</f>
        <v>128312.63634373384</v>
      </c>
      <c r="U21" s="806">
        <f>IF(S21=0,0,IF(S21=T21,1,0))</f>
        <v>0</v>
      </c>
    </row>
    <row r="22" spans="2:35" s="68" customFormat="1" ht="15" customHeight="1" outlineLevel="1">
      <c r="C22" s="97"/>
      <c r="D22" s="723" t="s">
        <v>43</v>
      </c>
      <c r="E22" s="69"/>
      <c r="F22" s="69"/>
      <c r="G22" s="69"/>
      <c r="H22" s="69"/>
      <c r="J22" s="34"/>
      <c r="K22" s="67"/>
      <c r="L22" s="66" t="s">
        <v>43</v>
      </c>
      <c r="M22" s="65"/>
      <c r="N22" s="65"/>
      <c r="O22" s="65"/>
      <c r="P22" s="65"/>
      <c r="Q22" s="34"/>
    </row>
    <row r="23" spans="2:35" ht="15" customHeight="1" outlineLevel="1" thickBot="1">
      <c r="C23" s="96">
        <f>'Model-R'!H399</f>
        <v>128312.63634373384</v>
      </c>
      <c r="D23" s="40">
        <f>E23-0.005</f>
        <v>9.9999999999999985E-3</v>
      </c>
      <c r="E23" s="40">
        <f>F23-0.005</f>
        <v>1.4999999999999999E-2</v>
      </c>
      <c r="F23" s="40">
        <f>'Inputs-R'!$F$107</f>
        <v>0.02</v>
      </c>
      <c r="G23" s="40">
        <f>F23+0.005</f>
        <v>2.5000000000000001E-2</v>
      </c>
      <c r="H23" s="40">
        <f>G23+0.005</f>
        <v>3.0000000000000002E-2</v>
      </c>
      <c r="I23" s="37"/>
      <c r="K23" s="95"/>
      <c r="L23" s="40">
        <f>D23</f>
        <v>9.9999999999999985E-3</v>
      </c>
      <c r="M23" s="40">
        <f>E23</f>
        <v>1.4999999999999999E-2</v>
      </c>
      <c r="N23" s="40">
        <f>F23</f>
        <v>0.02</v>
      </c>
      <c r="O23" s="40">
        <f>G23</f>
        <v>2.5000000000000001E-2</v>
      </c>
      <c r="P23" s="40">
        <f>H23</f>
        <v>3.0000000000000002E-2</v>
      </c>
      <c r="S23" s="662" t="s">
        <v>277</v>
      </c>
      <c r="T23" s="663"/>
      <c r="U23" s="663"/>
      <c r="V23" s="793"/>
      <c r="W23" s="794"/>
      <c r="Y23" s="662" t="s">
        <v>278</v>
      </c>
      <c r="Z23" s="663"/>
      <c r="AA23" s="663"/>
      <c r="AB23" s="793"/>
      <c r="AC23" s="794"/>
      <c r="AE23" s="662" t="s">
        <v>279</v>
      </c>
      <c r="AF23" s="663"/>
      <c r="AG23" s="663"/>
      <c r="AH23" s="793"/>
      <c r="AI23" s="794"/>
    </row>
    <row r="24" spans="2:35" ht="15" customHeight="1" outlineLevel="1">
      <c r="B24" s="822" t="s">
        <v>23</v>
      </c>
      <c r="C24" s="40">
        <f>C25-0.01</f>
        <v>7.7429919540151548E-2</v>
      </c>
      <c r="D24" s="757">
        <f t="dataTable" ref="D24:H28" dt2D="1" dtr="1" r1="O12" r2="O13"/>
        <v>128312.63634373384</v>
      </c>
      <c r="E24" s="758">
        <v>128312.63634373384</v>
      </c>
      <c r="F24" s="758">
        <v>128312.63634373384</v>
      </c>
      <c r="G24" s="758">
        <v>128312.63634373384</v>
      </c>
      <c r="H24" s="759">
        <v>128312.63634373384</v>
      </c>
      <c r="I24" s="37"/>
      <c r="J24" s="822" t="s">
        <v>23</v>
      </c>
      <c r="K24" s="40">
        <f>C24</f>
        <v>7.7429919540151548E-2</v>
      </c>
      <c r="L24" s="767">
        <f>Outputs!D37/$O$15</f>
        <v>0</v>
      </c>
      <c r="M24" s="768">
        <f>Outputs!E37/$O$15</f>
        <v>0</v>
      </c>
      <c r="N24" s="768">
        <f>Outputs!F37/$O$15</f>
        <v>0</v>
      </c>
      <c r="O24" s="768">
        <f>Outputs!G37/$O$15</f>
        <v>0</v>
      </c>
      <c r="P24" s="769">
        <f>Outputs!H37/$O$15</f>
        <v>0</v>
      </c>
      <c r="S24" s="704">
        <f ca="1">IFERROR(_xlfn.FORMULATEXT(Outputs!D24),0)</f>
        <v>0</v>
      </c>
      <c r="T24" s="702">
        <f ca="1">IFERROR(_xlfn.FORMULATEXT(Outputs!E24),0)</f>
        <v>0</v>
      </c>
      <c r="U24" s="702">
        <f ca="1">IFERROR(_xlfn.FORMULATEXT(Outputs!F24),0)</f>
        <v>0</v>
      </c>
      <c r="V24" s="702">
        <f ca="1">IFERROR(_xlfn.FORMULATEXT(Outputs!G24),0)</f>
        <v>0</v>
      </c>
      <c r="W24" s="791">
        <f ca="1">IFERROR(_xlfn.FORMULATEXT(Outputs!H24),0)</f>
        <v>0</v>
      </c>
      <c r="Y24" s="704" t="str">
        <f ca="1">IFERROR(_xlfn.FORMULATEXT(D24),0)</f>
        <v>{=TABLE(O12,O13)}</v>
      </c>
      <c r="Z24" s="702" t="str">
        <f t="shared" ref="Z24:Z28" ca="1" si="2">IFERROR(_xlfn.FORMULATEXT(E24),0)</f>
        <v>{=TABLE(O12,O13)}</v>
      </c>
      <c r="AA24" s="702" t="str">
        <f t="shared" ref="AA24:AA28" ca="1" si="3">IFERROR(_xlfn.FORMULATEXT(F24),0)</f>
        <v>{=TABLE(O12,O13)}</v>
      </c>
      <c r="AB24" s="702" t="str">
        <f t="shared" ref="AB24:AB28" ca="1" si="4">IFERROR(_xlfn.FORMULATEXT(G24),0)</f>
        <v>{=TABLE(O12,O13)}</v>
      </c>
      <c r="AC24" s="791" t="str">
        <f t="shared" ref="AC24:AC28" ca="1" si="5">IFERROR(_xlfn.FORMULATEXT(H24),0)</f>
        <v>{=TABLE(O12,O13)}</v>
      </c>
      <c r="AE24" s="810">
        <f ca="1">IF(S24=Y24,1,0)</f>
        <v>0</v>
      </c>
      <c r="AF24" s="811">
        <f t="shared" ref="AF24:AI24" ca="1" si="6">IF(T24=Z24,1,0)</f>
        <v>0</v>
      </c>
      <c r="AG24" s="811">
        <f t="shared" ca="1" si="6"/>
        <v>0</v>
      </c>
      <c r="AH24" s="811">
        <f t="shared" ca="1" si="6"/>
        <v>0</v>
      </c>
      <c r="AI24" s="808">
        <f t="shared" ca="1" si="6"/>
        <v>0</v>
      </c>
    </row>
    <row r="25" spans="2:35" ht="15" customHeight="1" outlineLevel="1">
      <c r="B25" s="822"/>
      <c r="C25" s="40">
        <f>C26-0.01</f>
        <v>8.7429919540151543E-2</v>
      </c>
      <c r="D25" s="760">
        <v>128312.63634373384</v>
      </c>
      <c r="E25" s="761">
        <v>128312.63634373384</v>
      </c>
      <c r="F25" s="761">
        <v>128312.63634373384</v>
      </c>
      <c r="G25" s="761">
        <v>128312.63634373384</v>
      </c>
      <c r="H25" s="762">
        <v>128312.63634373384</v>
      </c>
      <c r="I25" s="37"/>
      <c r="J25" s="822"/>
      <c r="K25" s="40">
        <f>C25</f>
        <v>8.7429919540151543E-2</v>
      </c>
      <c r="L25" s="770">
        <f>Outputs!D38/$O$15</f>
        <v>0</v>
      </c>
      <c r="M25" s="771">
        <f>Outputs!E38/$O$15</f>
        <v>0</v>
      </c>
      <c r="N25" s="771">
        <f>Outputs!F38/$O$15</f>
        <v>0</v>
      </c>
      <c r="O25" s="771">
        <f>Outputs!G38/$O$15</f>
        <v>0</v>
      </c>
      <c r="P25" s="772">
        <f>Outputs!H38/$O$15</f>
        <v>0</v>
      </c>
      <c r="S25" s="704">
        <f ca="1">IFERROR(_xlfn.FORMULATEXT(Outputs!D25),0)</f>
        <v>0</v>
      </c>
      <c r="T25" s="702">
        <f ca="1">IFERROR(_xlfn.FORMULATEXT(Outputs!E25),0)</f>
        <v>0</v>
      </c>
      <c r="U25" s="702">
        <f ca="1">IFERROR(_xlfn.FORMULATEXT(Outputs!F25),0)</f>
        <v>0</v>
      </c>
      <c r="V25" s="702">
        <f ca="1">IFERROR(_xlfn.FORMULATEXT(Outputs!G25),0)</f>
        <v>0</v>
      </c>
      <c r="W25" s="791">
        <f ca="1">IFERROR(_xlfn.FORMULATEXT(Outputs!H25),0)</f>
        <v>0</v>
      </c>
      <c r="Y25" s="704" t="str">
        <f t="shared" ref="Y25:Y28" ca="1" si="7">IFERROR(_xlfn.FORMULATEXT(D25),0)</f>
        <v>{=TABLE(O12,O13)}</v>
      </c>
      <c r="Z25" s="702" t="str">
        <f t="shared" ca="1" si="2"/>
        <v>{=TABLE(O12,O13)}</v>
      </c>
      <c r="AA25" s="702" t="str">
        <f t="shared" ca="1" si="3"/>
        <v>{=TABLE(O12,O13)}</v>
      </c>
      <c r="AB25" s="702" t="str">
        <f t="shared" ca="1" si="4"/>
        <v>{=TABLE(O12,O13)}</v>
      </c>
      <c r="AC25" s="791" t="str">
        <f t="shared" ca="1" si="5"/>
        <v>{=TABLE(O12,O13)}</v>
      </c>
      <c r="AE25" s="810">
        <f t="shared" ref="AE25:AE28" ca="1" si="8">IF(S25=Y25,1,0)</f>
        <v>0</v>
      </c>
      <c r="AF25" s="811">
        <f t="shared" ref="AF25:AF28" ca="1" si="9">IF(T25=Z25,1,0)</f>
        <v>0</v>
      </c>
      <c r="AG25" s="811">
        <f t="shared" ref="AG25:AG28" ca="1" si="10">IF(U25=AA25,1,0)</f>
        <v>0</v>
      </c>
      <c r="AH25" s="811">
        <f t="shared" ref="AH25:AH28" ca="1" si="11">IF(V25=AB25,1,0)</f>
        <v>0</v>
      </c>
      <c r="AI25" s="808">
        <f t="shared" ref="AI25:AI28" ca="1" si="12">IF(W25=AC25,1,0)</f>
        <v>0</v>
      </c>
    </row>
    <row r="26" spans="2:35" ht="15" customHeight="1" outlineLevel="1">
      <c r="B26" s="822"/>
      <c r="C26" s="40">
        <f>'Inputs-R'!$L$84</f>
        <v>9.7429919540151538E-2</v>
      </c>
      <c r="D26" s="760">
        <v>128312.63634373384</v>
      </c>
      <c r="E26" s="761">
        <v>128312.63634373384</v>
      </c>
      <c r="F26" s="763">
        <v>128312.63634373384</v>
      </c>
      <c r="G26" s="761">
        <v>128312.63634373384</v>
      </c>
      <c r="H26" s="762">
        <v>128312.63634373384</v>
      </c>
      <c r="I26" s="37"/>
      <c r="J26" s="822"/>
      <c r="K26" s="40">
        <f>C26</f>
        <v>9.7429919540151538E-2</v>
      </c>
      <c r="L26" s="770">
        <f>Outputs!D39/$O$15</f>
        <v>0</v>
      </c>
      <c r="M26" s="771">
        <f>Outputs!E39/$O$15</f>
        <v>0</v>
      </c>
      <c r="N26" s="773">
        <f>Outputs!F39/$O$15</f>
        <v>0</v>
      </c>
      <c r="O26" s="771">
        <f>Outputs!G39/$O$15</f>
        <v>0</v>
      </c>
      <c r="P26" s="772">
        <f>Outputs!H39/$O$15</f>
        <v>0</v>
      </c>
      <c r="S26" s="704">
        <f ca="1">IFERROR(_xlfn.FORMULATEXT(Outputs!D26),0)</f>
        <v>0</v>
      </c>
      <c r="T26" s="702">
        <f ca="1">IFERROR(_xlfn.FORMULATEXT(Outputs!E26),0)</f>
        <v>0</v>
      </c>
      <c r="U26" s="702">
        <f ca="1">IFERROR(_xlfn.FORMULATEXT(Outputs!F26),0)</f>
        <v>0</v>
      </c>
      <c r="V26" s="702">
        <f ca="1">IFERROR(_xlfn.FORMULATEXT(Outputs!G26),0)</f>
        <v>0</v>
      </c>
      <c r="W26" s="791">
        <f ca="1">IFERROR(_xlfn.FORMULATEXT(Outputs!H26),0)</f>
        <v>0</v>
      </c>
      <c r="Y26" s="704" t="str">
        <f t="shared" ca="1" si="7"/>
        <v>{=TABLE(O12,O13)}</v>
      </c>
      <c r="Z26" s="702" t="str">
        <f t="shared" ca="1" si="2"/>
        <v>{=TABLE(O12,O13)}</v>
      </c>
      <c r="AA26" s="702" t="str">
        <f t="shared" ca="1" si="3"/>
        <v>{=TABLE(O12,O13)}</v>
      </c>
      <c r="AB26" s="702" t="str">
        <f t="shared" ca="1" si="4"/>
        <v>{=TABLE(O12,O13)}</v>
      </c>
      <c r="AC26" s="791" t="str">
        <f t="shared" ca="1" si="5"/>
        <v>{=TABLE(O12,O13)}</v>
      </c>
      <c r="AE26" s="810">
        <f t="shared" ca="1" si="8"/>
        <v>0</v>
      </c>
      <c r="AF26" s="811">
        <f t="shared" ca="1" si="9"/>
        <v>0</v>
      </c>
      <c r="AG26" s="811">
        <f t="shared" ca="1" si="10"/>
        <v>0</v>
      </c>
      <c r="AH26" s="811">
        <f t="shared" ca="1" si="11"/>
        <v>0</v>
      </c>
      <c r="AI26" s="808">
        <f t="shared" ca="1" si="12"/>
        <v>0</v>
      </c>
    </row>
    <row r="27" spans="2:35" ht="15" customHeight="1" outlineLevel="1">
      <c r="B27" s="822"/>
      <c r="C27" s="40">
        <f>C26+0.01</f>
        <v>0.10742991954015153</v>
      </c>
      <c r="D27" s="760">
        <v>128312.63634373384</v>
      </c>
      <c r="E27" s="761">
        <v>128312.63634373384</v>
      </c>
      <c r="F27" s="761">
        <v>128312.63634373384</v>
      </c>
      <c r="G27" s="761">
        <v>128312.63634373384</v>
      </c>
      <c r="H27" s="762">
        <v>128312.63634373384</v>
      </c>
      <c r="I27" s="37"/>
      <c r="J27" s="822"/>
      <c r="K27" s="40">
        <f>C27</f>
        <v>0.10742991954015153</v>
      </c>
      <c r="L27" s="770">
        <f>Outputs!D40/$O$15</f>
        <v>0</v>
      </c>
      <c r="M27" s="771">
        <f>Outputs!E40/$O$15</f>
        <v>0</v>
      </c>
      <c r="N27" s="771">
        <f>Outputs!F40/$O$15</f>
        <v>0</v>
      </c>
      <c r="O27" s="771">
        <f>Outputs!G40/$O$15</f>
        <v>0</v>
      </c>
      <c r="P27" s="772">
        <f>Outputs!H40/$O$15</f>
        <v>0</v>
      </c>
      <c r="S27" s="704">
        <f ca="1">IFERROR(_xlfn.FORMULATEXT(Outputs!D27),0)</f>
        <v>0</v>
      </c>
      <c r="T27" s="702">
        <f ca="1">IFERROR(_xlfn.FORMULATEXT(Outputs!E27),0)</f>
        <v>0</v>
      </c>
      <c r="U27" s="702">
        <f ca="1">IFERROR(_xlfn.FORMULATEXT(Outputs!F27),0)</f>
        <v>0</v>
      </c>
      <c r="V27" s="702">
        <f ca="1">IFERROR(_xlfn.FORMULATEXT(Outputs!G27),0)</f>
        <v>0</v>
      </c>
      <c r="W27" s="791">
        <f ca="1">IFERROR(_xlfn.FORMULATEXT(Outputs!H27),0)</f>
        <v>0</v>
      </c>
      <c r="Y27" s="704" t="str">
        <f t="shared" ca="1" si="7"/>
        <v>{=TABLE(O12,O13)}</v>
      </c>
      <c r="Z27" s="702" t="str">
        <f t="shared" ca="1" si="2"/>
        <v>{=TABLE(O12,O13)}</v>
      </c>
      <c r="AA27" s="702" t="str">
        <f t="shared" ca="1" si="3"/>
        <v>{=TABLE(O12,O13)}</v>
      </c>
      <c r="AB27" s="702" t="str">
        <f t="shared" ca="1" si="4"/>
        <v>{=TABLE(O12,O13)}</v>
      </c>
      <c r="AC27" s="791" t="str">
        <f t="shared" ca="1" si="5"/>
        <v>{=TABLE(O12,O13)}</v>
      </c>
      <c r="AE27" s="810">
        <f t="shared" ca="1" si="8"/>
        <v>0</v>
      </c>
      <c r="AF27" s="811">
        <f t="shared" ca="1" si="9"/>
        <v>0</v>
      </c>
      <c r="AG27" s="811">
        <f t="shared" ca="1" si="10"/>
        <v>0</v>
      </c>
      <c r="AH27" s="811">
        <f t="shared" ca="1" si="11"/>
        <v>0</v>
      </c>
      <c r="AI27" s="808">
        <f t="shared" ca="1" si="12"/>
        <v>0</v>
      </c>
    </row>
    <row r="28" spans="2:35" ht="15" customHeight="1" outlineLevel="1">
      <c r="B28" s="822"/>
      <c r="C28" s="40">
        <f>C27+0.01</f>
        <v>0.11742991954015153</v>
      </c>
      <c r="D28" s="764">
        <v>128312.63634373384</v>
      </c>
      <c r="E28" s="765">
        <v>128312.63634373384</v>
      </c>
      <c r="F28" s="765">
        <v>128312.63634373384</v>
      </c>
      <c r="G28" s="765">
        <v>128312.63634373384</v>
      </c>
      <c r="H28" s="766">
        <v>128312.63634373384</v>
      </c>
      <c r="I28" s="37"/>
      <c r="J28" s="822"/>
      <c r="K28" s="40">
        <f>C28</f>
        <v>0.11742991954015153</v>
      </c>
      <c r="L28" s="774">
        <f>Outputs!D41/$O$15</f>
        <v>0</v>
      </c>
      <c r="M28" s="775">
        <f>Outputs!E41/$O$15</f>
        <v>0</v>
      </c>
      <c r="N28" s="775">
        <f>Outputs!F41/$O$15</f>
        <v>0</v>
      </c>
      <c r="O28" s="775">
        <f>Outputs!G41/$O$15</f>
        <v>0</v>
      </c>
      <c r="P28" s="776">
        <f>Outputs!H41/$O$15</f>
        <v>0</v>
      </c>
      <c r="S28" s="705">
        <f ca="1">IFERROR(_xlfn.FORMULATEXT(Outputs!D28),0)</f>
        <v>0</v>
      </c>
      <c r="T28" s="703">
        <f ca="1">IFERROR(_xlfn.FORMULATEXT(Outputs!E28),0)</f>
        <v>0</v>
      </c>
      <c r="U28" s="703">
        <f ca="1">IFERROR(_xlfn.FORMULATEXT(Outputs!F28),0)</f>
        <v>0</v>
      </c>
      <c r="V28" s="703">
        <f ca="1">IFERROR(_xlfn.FORMULATEXT(Outputs!G28),0)</f>
        <v>0</v>
      </c>
      <c r="W28" s="792">
        <f ca="1">IFERROR(_xlfn.FORMULATEXT(Outputs!H28),0)</f>
        <v>0</v>
      </c>
      <c r="Y28" s="705" t="str">
        <f t="shared" ca="1" si="7"/>
        <v>{=TABLE(O12,O13)}</v>
      </c>
      <c r="Z28" s="703" t="str">
        <f t="shared" ca="1" si="2"/>
        <v>{=TABLE(O12,O13)}</v>
      </c>
      <c r="AA28" s="703" t="str">
        <f t="shared" ca="1" si="3"/>
        <v>{=TABLE(O12,O13)}</v>
      </c>
      <c r="AB28" s="703" t="str">
        <f t="shared" ca="1" si="4"/>
        <v>{=TABLE(O12,O13)}</v>
      </c>
      <c r="AC28" s="792" t="str">
        <f t="shared" ca="1" si="5"/>
        <v>{=TABLE(O12,O13)}</v>
      </c>
      <c r="AE28" s="812">
        <f t="shared" ca="1" si="8"/>
        <v>0</v>
      </c>
      <c r="AF28" s="813">
        <f t="shared" ca="1" si="9"/>
        <v>0</v>
      </c>
      <c r="AG28" s="813">
        <f t="shared" ca="1" si="10"/>
        <v>0</v>
      </c>
      <c r="AH28" s="813">
        <f t="shared" ca="1" si="11"/>
        <v>0</v>
      </c>
      <c r="AI28" s="809">
        <f t="shared" ca="1" si="12"/>
        <v>0</v>
      </c>
    </row>
    <row r="29" spans="2:35" ht="15" customHeight="1" outlineLevel="1">
      <c r="C29" s="37"/>
      <c r="D29" s="37"/>
      <c r="E29" s="37"/>
      <c r="F29" s="37"/>
      <c r="G29" s="37"/>
      <c r="H29" s="37"/>
      <c r="I29" s="37"/>
      <c r="AE29" s="799"/>
      <c r="AF29" s="799"/>
      <c r="AG29" s="799"/>
      <c r="AH29" s="799"/>
      <c r="AI29" s="799"/>
    </row>
    <row r="30" spans="2:35" ht="15" customHeight="1" outlineLevel="1">
      <c r="C30" s="37"/>
      <c r="D30" s="37"/>
      <c r="E30" s="37"/>
      <c r="F30" s="37"/>
      <c r="G30" s="37"/>
      <c r="H30" s="37"/>
      <c r="I30" s="37"/>
      <c r="J30" s="37"/>
      <c r="K30" s="37"/>
      <c r="L30" s="73"/>
      <c r="M30" s="65"/>
      <c r="N30" s="65"/>
      <c r="O30" s="65"/>
      <c r="P30" s="65"/>
      <c r="AE30" s="807">
        <f ca="1">IF(SUM(AE24:AI28)=25,1,0)</f>
        <v>0</v>
      </c>
      <c r="AF30" s="799"/>
      <c r="AG30" s="799"/>
      <c r="AH30" s="799"/>
      <c r="AI30" s="799"/>
    </row>
    <row r="31" spans="2:35" ht="15" customHeight="1" outlineLevel="1"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</row>
    <row r="32" spans="2:35" ht="15" customHeight="1" outlineLevel="1"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</row>
    <row r="33" spans="1:25" ht="15" customHeight="1" outlineLevel="1">
      <c r="D33" s="74" t="s">
        <v>26</v>
      </c>
      <c r="E33" s="69"/>
      <c r="F33" s="69"/>
      <c r="G33" s="69"/>
      <c r="H33" s="69"/>
      <c r="I33" s="37"/>
      <c r="J33" s="37"/>
      <c r="K33" s="37"/>
      <c r="L33" s="73" t="s">
        <v>25</v>
      </c>
      <c r="M33" s="65"/>
      <c r="N33" s="65"/>
      <c r="O33" s="65"/>
      <c r="P33" s="65"/>
    </row>
    <row r="34" spans="1:25" ht="15" customHeight="1" outlineLevel="1">
      <c r="D34" s="72"/>
      <c r="E34" s="72"/>
      <c r="F34" s="72"/>
      <c r="G34" s="72"/>
      <c r="H34" s="72"/>
      <c r="I34" s="37"/>
      <c r="J34" s="37"/>
      <c r="K34" s="37"/>
      <c r="L34" s="71"/>
      <c r="M34" s="71"/>
      <c r="N34" s="71"/>
      <c r="O34" s="71"/>
      <c r="P34" s="71"/>
    </row>
    <row r="35" spans="1:25" ht="15" customHeight="1" outlineLevel="1">
      <c r="B35" s="68"/>
      <c r="C35" s="68"/>
      <c r="D35" s="723" t="s">
        <v>43</v>
      </c>
      <c r="E35" s="69"/>
      <c r="F35" s="69"/>
      <c r="G35" s="69"/>
      <c r="H35" s="69"/>
      <c r="I35" s="67"/>
      <c r="J35" s="67"/>
      <c r="K35" s="67"/>
      <c r="L35" s="66" t="s">
        <v>43</v>
      </c>
      <c r="M35" s="65"/>
      <c r="N35" s="65"/>
      <c r="O35" s="65"/>
      <c r="P35" s="65"/>
    </row>
    <row r="36" spans="1:25" ht="15" customHeight="1" outlineLevel="1" thickBot="1">
      <c r="B36" s="37"/>
      <c r="C36" s="64"/>
      <c r="D36" s="156">
        <f>D23</f>
        <v>9.9999999999999985E-3</v>
      </c>
      <c r="E36" s="156">
        <f>E23</f>
        <v>1.4999999999999999E-2</v>
      </c>
      <c r="F36" s="156">
        <f>F23</f>
        <v>0.02</v>
      </c>
      <c r="G36" s="156">
        <f>G23</f>
        <v>2.5000000000000001E-2</v>
      </c>
      <c r="H36" s="156">
        <f>H23</f>
        <v>3.0000000000000002E-2</v>
      </c>
      <c r="I36" s="37"/>
      <c r="J36" s="37"/>
      <c r="K36" s="64"/>
      <c r="L36" s="40">
        <f>D36</f>
        <v>9.9999999999999985E-3</v>
      </c>
      <c r="M36" s="40">
        <f>E36</f>
        <v>1.4999999999999999E-2</v>
      </c>
      <c r="N36" s="40">
        <f>F36</f>
        <v>0.02</v>
      </c>
      <c r="O36" s="40">
        <f>G36</f>
        <v>2.5000000000000001E-2</v>
      </c>
      <c r="P36" s="40">
        <f>H36</f>
        <v>3.0000000000000002E-2</v>
      </c>
      <c r="W36" s="669" t="s">
        <v>277</v>
      </c>
      <c r="X36" s="668" t="s">
        <v>278</v>
      </c>
      <c r="Y36" s="671" t="s">
        <v>279</v>
      </c>
    </row>
    <row r="37" spans="1:25" ht="15" customHeight="1" outlineLevel="1">
      <c r="B37" s="821" t="s">
        <v>23</v>
      </c>
      <c r="C37" s="40">
        <f>C24</f>
        <v>7.7429919540151548E-2</v>
      </c>
      <c r="D37" s="760">
        <f>Outputs!D24-$O$14</f>
        <v>-18642</v>
      </c>
      <c r="E37" s="787">
        <f>Outputs!E24-$O$14</f>
        <v>-18642</v>
      </c>
      <c r="F37" s="787">
        <f>Outputs!F24-$O$14</f>
        <v>-18642</v>
      </c>
      <c r="G37" s="758">
        <f>Outputs!G24-$O$14</f>
        <v>-18642</v>
      </c>
      <c r="H37" s="759">
        <f>Outputs!H24-$O$14</f>
        <v>-18642</v>
      </c>
      <c r="I37" s="37"/>
      <c r="J37" s="821" t="s">
        <v>23</v>
      </c>
      <c r="K37" s="40">
        <f>C37</f>
        <v>7.7429919540151548E-2</v>
      </c>
      <c r="L37" s="777">
        <f>Outputs!L24/$O$16-1</f>
        <v>-1</v>
      </c>
      <c r="M37" s="778">
        <f>Outputs!M24/$O$16-1</f>
        <v>-1</v>
      </c>
      <c r="N37" s="778">
        <f>Outputs!N24/$O$16-1</f>
        <v>-1</v>
      </c>
      <c r="O37" s="778">
        <f>Outputs!O24/$O$16-1</f>
        <v>-1</v>
      </c>
      <c r="P37" s="779">
        <f>Outputs!P24/$O$16-1</f>
        <v>-1</v>
      </c>
      <c r="W37" s="679">
        <f>SUM(Outputs!L24:P28)</f>
        <v>0</v>
      </c>
      <c r="X37" s="679">
        <f>SUM(L24:P28)</f>
        <v>0</v>
      </c>
      <c r="Y37" s="806">
        <f>IF(W37=0,0,IF(W37=X37,1,0))</f>
        <v>0</v>
      </c>
    </row>
    <row r="38" spans="1:25" ht="15" customHeight="1" outlineLevel="1">
      <c r="B38" s="821"/>
      <c r="C38" s="40">
        <f>C25</f>
        <v>8.7429919540151543E-2</v>
      </c>
      <c r="D38" s="760">
        <f>Outputs!D25-$O$14</f>
        <v>-18642</v>
      </c>
      <c r="E38" s="761">
        <f>Outputs!E25-$O$14</f>
        <v>-18642</v>
      </c>
      <c r="F38" s="761">
        <f>Outputs!F25-$O$14</f>
        <v>-18642</v>
      </c>
      <c r="G38" s="761">
        <f>Outputs!G25-$O$14</f>
        <v>-18642</v>
      </c>
      <c r="H38" s="762">
        <f>Outputs!H25-$O$14</f>
        <v>-18642</v>
      </c>
      <c r="I38" s="37"/>
      <c r="J38" s="821"/>
      <c r="K38" s="40">
        <f>C38</f>
        <v>8.7429919540151543E-2</v>
      </c>
      <c r="L38" s="780">
        <f>Outputs!L25/$O$16-1</f>
        <v>-1</v>
      </c>
      <c r="M38" s="781">
        <f>Outputs!M25/$O$16-1</f>
        <v>-1</v>
      </c>
      <c r="N38" s="781">
        <f>Outputs!N25/$O$16-1</f>
        <v>-1</v>
      </c>
      <c r="O38" s="781">
        <f>Outputs!O25/$O$16-1</f>
        <v>-1</v>
      </c>
      <c r="P38" s="782">
        <f>Outputs!P25/$O$16-1</f>
        <v>-1</v>
      </c>
    </row>
    <row r="39" spans="1:25" ht="15" customHeight="1" outlineLevel="1" thickBot="1">
      <c r="B39" s="821"/>
      <c r="C39" s="40">
        <f>C26</f>
        <v>9.7429919540151538E-2</v>
      </c>
      <c r="D39" s="760">
        <f>Outputs!D26-$O$14</f>
        <v>-18642</v>
      </c>
      <c r="E39" s="761">
        <f>Outputs!E26-$O$14</f>
        <v>-18642</v>
      </c>
      <c r="F39" s="763">
        <f>Outputs!F26-$O$14</f>
        <v>-18642</v>
      </c>
      <c r="G39" s="761">
        <f>Outputs!G26-$O$14</f>
        <v>-18642</v>
      </c>
      <c r="H39" s="762">
        <f>Outputs!H26-$O$14</f>
        <v>-18642</v>
      </c>
      <c r="I39" s="37"/>
      <c r="J39" s="821"/>
      <c r="K39" s="40">
        <f>C39</f>
        <v>9.7429919540151538E-2</v>
      </c>
      <c r="L39" s="780">
        <f>Outputs!L26/$O$16-1</f>
        <v>-1</v>
      </c>
      <c r="M39" s="781">
        <f>Outputs!M26/$O$16-1</f>
        <v>-1</v>
      </c>
      <c r="N39" s="783">
        <f>Outputs!N26/$O$16-1</f>
        <v>-1</v>
      </c>
      <c r="O39" s="781">
        <f>Outputs!O26/$O$16-1</f>
        <v>-1</v>
      </c>
      <c r="P39" s="782">
        <f>Outputs!P26/$O$16-1</f>
        <v>-1</v>
      </c>
      <c r="S39" s="669" t="s">
        <v>277</v>
      </c>
      <c r="T39" s="668" t="s">
        <v>278</v>
      </c>
      <c r="U39" s="671" t="s">
        <v>279</v>
      </c>
      <c r="W39" s="669" t="s">
        <v>277</v>
      </c>
      <c r="X39" s="668" t="s">
        <v>278</v>
      </c>
      <c r="Y39" s="671" t="s">
        <v>279</v>
      </c>
    </row>
    <row r="40" spans="1:25" ht="15" customHeight="1" outlineLevel="1">
      <c r="B40" s="821"/>
      <c r="C40" s="40">
        <f>C27</f>
        <v>0.10742991954015153</v>
      </c>
      <c r="D40" s="760">
        <f>Outputs!D27-$O$14</f>
        <v>-18642</v>
      </c>
      <c r="E40" s="761">
        <f>Outputs!E27-$O$14</f>
        <v>-18642</v>
      </c>
      <c r="F40" s="761">
        <f>Outputs!F27-$O$14</f>
        <v>-18642</v>
      </c>
      <c r="G40" s="761">
        <f>Outputs!G27-$O$14</f>
        <v>-18642</v>
      </c>
      <c r="H40" s="762">
        <f>Outputs!H27-$O$14</f>
        <v>-18642</v>
      </c>
      <c r="I40" s="37"/>
      <c r="J40" s="821"/>
      <c r="K40" s="40">
        <f>C40</f>
        <v>0.10742991954015153</v>
      </c>
      <c r="L40" s="780">
        <f>Outputs!L27/$O$16-1</f>
        <v>-1</v>
      </c>
      <c r="M40" s="781">
        <f>Outputs!M27/$O$16-1</f>
        <v>-1</v>
      </c>
      <c r="N40" s="781">
        <f>Outputs!N27/$O$16-1</f>
        <v>-1</v>
      </c>
      <c r="O40" s="781">
        <f>Outputs!O27/$O$16-1</f>
        <v>-1</v>
      </c>
      <c r="P40" s="782">
        <f>Outputs!P27/$O$16-1</f>
        <v>-1</v>
      </c>
      <c r="S40" s="672">
        <f>SUM(Outputs!D37:H41)</f>
        <v>0</v>
      </c>
      <c r="T40" s="673">
        <f>SUM(D37:H41)</f>
        <v>-466050</v>
      </c>
      <c r="U40" s="806">
        <f>IF(S40=0,0,IF(S40=T40,1,0))</f>
        <v>0</v>
      </c>
      <c r="W40" s="679">
        <f>SUM(Outputs!L37:P41)</f>
        <v>0</v>
      </c>
      <c r="X40" s="679">
        <f>SUM(L37:P41)</f>
        <v>-25</v>
      </c>
      <c r="Y40" s="806">
        <f>IF(W40=0,0,IF(W40=X40,1,0))</f>
        <v>0</v>
      </c>
    </row>
    <row r="41" spans="1:25" ht="15" customHeight="1" outlineLevel="1">
      <c r="B41" s="821"/>
      <c r="C41" s="40">
        <f>C28</f>
        <v>0.11742991954015153</v>
      </c>
      <c r="D41" s="764">
        <f>Outputs!D28-$O$14</f>
        <v>-18642</v>
      </c>
      <c r="E41" s="765">
        <f>Outputs!E28-$O$14</f>
        <v>-18642</v>
      </c>
      <c r="F41" s="765">
        <f>Outputs!F28-$O$14</f>
        <v>-18642</v>
      </c>
      <c r="G41" s="765">
        <f>Outputs!G28-$O$14</f>
        <v>-18642</v>
      </c>
      <c r="H41" s="766">
        <f>Outputs!H28-$O$14</f>
        <v>-18642</v>
      </c>
      <c r="I41" s="37"/>
      <c r="J41" s="821"/>
      <c r="K41" s="40">
        <f>C41</f>
        <v>0.11742991954015153</v>
      </c>
      <c r="L41" s="784">
        <f>Outputs!L28/$O$16-1</f>
        <v>-1</v>
      </c>
      <c r="M41" s="785">
        <f>Outputs!M28/$O$16-1</f>
        <v>-1</v>
      </c>
      <c r="N41" s="785">
        <f>Outputs!N28/$O$16-1</f>
        <v>-1</v>
      </c>
      <c r="O41" s="785">
        <f>Outputs!O28/$O$16-1</f>
        <v>-1</v>
      </c>
      <c r="P41" s="786">
        <f>Outputs!P28/$O$16-1</f>
        <v>-1</v>
      </c>
    </row>
    <row r="42" spans="1:25" ht="15" customHeight="1" outlineLevel="1">
      <c r="B42" s="41"/>
      <c r="C42" s="40"/>
      <c r="D42" s="754"/>
      <c r="E42" s="754"/>
      <c r="F42" s="754"/>
      <c r="G42" s="754"/>
      <c r="H42" s="754"/>
      <c r="I42" s="37"/>
      <c r="J42" s="41"/>
      <c r="K42" s="40"/>
      <c r="L42" s="755"/>
      <c r="M42" s="755"/>
      <c r="N42" s="755"/>
      <c r="O42" s="755"/>
      <c r="P42" s="755"/>
    </row>
    <row r="43" spans="1:25" ht="15" customHeight="1" outlineLevel="1">
      <c r="B43" s="41"/>
      <c r="C43" s="40"/>
      <c r="D43" s="754"/>
      <c r="E43" s="754"/>
      <c r="F43" s="754"/>
      <c r="G43" s="754"/>
      <c r="H43" s="754"/>
      <c r="I43" s="37"/>
      <c r="J43" s="41"/>
      <c r="K43" s="40"/>
      <c r="L43" s="755"/>
      <c r="M43" s="755"/>
      <c r="N43" s="755"/>
      <c r="O43" s="755"/>
      <c r="P43" s="38" t="s">
        <v>22</v>
      </c>
      <c r="S43" s="689" t="str">
        <f ca="1">IF(SUM(U18+U21+Y11+Y18+AC18+AG18+AE30+U40+Y37+Y40)=10,"COMPLETE","")</f>
        <v/>
      </c>
    </row>
    <row r="44" spans="1:25" ht="15" customHeight="1" outlineLevel="1"/>
    <row r="45" spans="1:25" ht="15" customHeight="1" outlineLevel="1"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</row>
    <row r="46" spans="1:25" ht="15" customHeight="1"/>
    <row r="47" spans="1:25" ht="15" customHeight="1">
      <c r="A47" s="34" t="s">
        <v>0</v>
      </c>
      <c r="B47" s="144" t="s">
        <v>42</v>
      </c>
      <c r="C47" s="143"/>
      <c r="D47" s="143"/>
      <c r="E47" s="142"/>
      <c r="F47" s="142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</row>
    <row r="48" spans="1:25" ht="15" customHeight="1" outlineLevel="1">
      <c r="B48" s="122"/>
      <c r="C48" s="140"/>
      <c r="D48" s="140"/>
      <c r="E48" s="139"/>
      <c r="F48" s="139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</row>
    <row r="49" spans="2:25" ht="15" customHeight="1" outlineLevel="1">
      <c r="F49" s="132"/>
      <c r="G49" s="137"/>
      <c r="H49" s="132"/>
      <c r="I49" s="132"/>
      <c r="J49" s="136"/>
      <c r="K49" s="136"/>
      <c r="L49" s="721"/>
      <c r="M49" s="721"/>
      <c r="N49" s="721"/>
      <c r="O49" s="721"/>
    </row>
    <row r="50" spans="2:25" ht="15" customHeight="1" outlineLevel="1">
      <c r="D50" s="721" t="s">
        <v>41</v>
      </c>
      <c r="F50" s="788"/>
      <c r="L50" s="135" t="s">
        <v>40</v>
      </c>
      <c r="M50" s="69"/>
      <c r="N50" s="69"/>
      <c r="O50" s="69"/>
    </row>
    <row r="51" spans="2:25" ht="15" customHeight="1" outlineLevel="1"/>
    <row r="52" spans="2:25" ht="15" customHeight="1" outlineLevel="1"/>
    <row r="53" spans="2:25" ht="15" customHeight="1" outlineLevel="1">
      <c r="D53" s="134" t="s">
        <v>39</v>
      </c>
      <c r="E53" s="69"/>
      <c r="F53" s="69"/>
      <c r="G53" s="69"/>
      <c r="H53" s="69"/>
      <c r="L53" s="134" t="s">
        <v>38</v>
      </c>
      <c r="M53" s="69"/>
      <c r="N53" s="69"/>
      <c r="O53" s="69"/>
    </row>
    <row r="54" spans="2:25" ht="15" customHeight="1" outlineLevel="1" thickBot="1">
      <c r="B54" s="102"/>
      <c r="C54" s="102"/>
      <c r="D54" s="133"/>
      <c r="E54" s="133"/>
      <c r="F54" s="133"/>
      <c r="G54" s="133"/>
      <c r="H54" s="133"/>
      <c r="I54" s="132"/>
      <c r="J54" s="131"/>
      <c r="K54" s="131"/>
      <c r="L54" s="72"/>
      <c r="M54" s="72"/>
      <c r="N54" s="72"/>
      <c r="O54" s="72"/>
      <c r="P54" s="102"/>
      <c r="Q54" s="102"/>
      <c r="W54" s="669" t="s">
        <v>277</v>
      </c>
      <c r="X54" s="668" t="s">
        <v>278</v>
      </c>
      <c r="Y54" s="671" t="s">
        <v>279</v>
      </c>
    </row>
    <row r="55" spans="2:25" ht="15" customHeight="1" outlineLevel="1">
      <c r="D55" s="102"/>
      <c r="E55" s="102"/>
      <c r="F55" s="130" t="s">
        <v>37</v>
      </c>
      <c r="G55" s="130" t="s">
        <v>36</v>
      </c>
      <c r="H55" s="130" t="s">
        <v>36</v>
      </c>
      <c r="I55" s="126"/>
      <c r="J55" s="126"/>
      <c r="K55" s="126"/>
      <c r="W55" s="672">
        <f>Outputs!F57</f>
        <v>0</v>
      </c>
      <c r="X55" s="673">
        <f>F57</f>
        <v>129227.68313446036</v>
      </c>
      <c r="Y55" s="806">
        <f>IF(W55=0,0,IF(W55=X55,1,0))</f>
        <v>0</v>
      </c>
    </row>
    <row r="56" spans="2:25" ht="15" customHeight="1" outlineLevel="1">
      <c r="D56" s="102"/>
      <c r="E56" s="102"/>
      <c r="F56" s="130" t="s">
        <v>35</v>
      </c>
      <c r="G56" s="130" t="s">
        <v>35</v>
      </c>
      <c r="H56" s="130" t="s">
        <v>34</v>
      </c>
      <c r="I56" s="126"/>
      <c r="J56" s="126"/>
      <c r="K56" s="126"/>
      <c r="L56" s="721" t="s">
        <v>24</v>
      </c>
      <c r="M56" s="721"/>
      <c r="N56" s="100"/>
      <c r="O56" s="129">
        <f>'Inputs-R'!$F$108</f>
        <v>7</v>
      </c>
    </row>
    <row r="57" spans="2:25" ht="15" customHeight="1" outlineLevel="1" thickBot="1">
      <c r="F57" s="128">
        <f>Model!H446</f>
        <v>129227.68313446036</v>
      </c>
      <c r="G57" s="127"/>
      <c r="H57" s="127"/>
      <c r="I57" s="126"/>
      <c r="J57" s="126"/>
      <c r="K57" s="126"/>
      <c r="L57" s="721" t="s">
        <v>23</v>
      </c>
      <c r="N57" s="100"/>
      <c r="O57" s="36">
        <f>'Inputs-R'!$L$84</f>
        <v>9.7429919540151538E-2</v>
      </c>
      <c r="P57" s="105"/>
      <c r="S57" s="669" t="s">
        <v>277</v>
      </c>
      <c r="T57" s="668" t="s">
        <v>278</v>
      </c>
      <c r="U57" s="671" t="s">
        <v>279</v>
      </c>
      <c r="W57" s="662" t="s">
        <v>277</v>
      </c>
      <c r="X57" s="663" t="s">
        <v>278</v>
      </c>
      <c r="Y57" s="664" t="s">
        <v>279</v>
      </c>
    </row>
    <row r="58" spans="2:25" ht="15" customHeight="1" outlineLevel="1">
      <c r="B58" s="122"/>
      <c r="D58" s="109" t="str">
        <f>D14</f>
        <v>Best Case</v>
      </c>
      <c r="E58" s="113">
        <v>1</v>
      </c>
      <c r="F58" s="125">
        <f t="dataTable" ref="F58:F60" dt2D="0" dtr="0" r1="F6"/>
        <v>129227.68313446036</v>
      </c>
      <c r="G58" s="124">
        <f>F58-$O$58</f>
        <v>110585.68313446036</v>
      </c>
      <c r="H58" s="123">
        <f>+G58/$O$59</f>
        <v>3.2334995068555661</v>
      </c>
      <c r="I58" s="118"/>
      <c r="J58" s="117"/>
      <c r="K58" s="117"/>
      <c r="L58" s="721" t="s">
        <v>33</v>
      </c>
      <c r="N58" s="116" t="str">
        <f>N14</f>
        <v>(End of 2022)</v>
      </c>
      <c r="O58" s="756">
        <f>'Inputs-R'!$L$94</f>
        <v>18642</v>
      </c>
      <c r="P58" s="105"/>
      <c r="S58" s="672">
        <f>SUM(Outputs!E58:E60)</f>
        <v>0</v>
      </c>
      <c r="T58" s="673">
        <f>SUM(E58:E60)</f>
        <v>6</v>
      </c>
      <c r="U58" s="806">
        <f>IF(S58=0,0,IF(S58=T58,1,0))</f>
        <v>0</v>
      </c>
      <c r="W58" s="704">
        <f ca="1">IFERROR(_xlfn.FORMULATEXT(Outputs!F58),0)</f>
        <v>0</v>
      </c>
      <c r="X58" s="702" t="str">
        <f ca="1">IFERROR(_xlfn.FORMULATEXT(F58),0)</f>
        <v>{=TABLE(,F6)}</v>
      </c>
      <c r="Y58" s="808">
        <f ca="1">IF(W58=0,0,IF(W58=X58,1,0))</f>
        <v>0</v>
      </c>
    </row>
    <row r="59" spans="2:25" ht="15" customHeight="1" outlineLevel="1">
      <c r="B59" s="122"/>
      <c r="D59" s="109" t="str">
        <f>D15</f>
        <v>Base Case</v>
      </c>
      <c r="E59" s="113">
        <v>2</v>
      </c>
      <c r="F59" s="121">
        <v>129227.68313446036</v>
      </c>
      <c r="G59" s="120">
        <f>F59-$O$58</f>
        <v>110585.68313446036</v>
      </c>
      <c r="H59" s="119">
        <f>+G59/$O$59</f>
        <v>3.2334995068555661</v>
      </c>
      <c r="I59" s="118"/>
      <c r="J59" s="117"/>
      <c r="K59" s="117"/>
      <c r="L59" s="721" t="s">
        <v>32</v>
      </c>
      <c r="M59" s="721"/>
      <c r="N59" s="116" t="s">
        <v>31</v>
      </c>
      <c r="O59" s="756">
        <f>'Inputs-R'!$F$105</f>
        <v>34200</v>
      </c>
      <c r="P59" s="105"/>
      <c r="Q59" s="98"/>
      <c r="W59" s="704">
        <f ca="1">IFERROR(_xlfn.FORMULATEXT(Outputs!F59),0)</f>
        <v>0</v>
      </c>
      <c r="X59" s="702" t="str">
        <f t="shared" ref="X59:X60" ca="1" si="13">IFERROR(_xlfn.FORMULATEXT(F59),0)</f>
        <v>{=TABLE(,F6)}</v>
      </c>
      <c r="Y59" s="808">
        <f ca="1">IF(W59=0,0,IF(W59=X59,1,0))</f>
        <v>0</v>
      </c>
    </row>
    <row r="60" spans="2:25" ht="15" customHeight="1" outlineLevel="1">
      <c r="B60" s="114"/>
      <c r="C60" s="102"/>
      <c r="D60" s="109" t="str">
        <f>D16</f>
        <v>Worst Case</v>
      </c>
      <c r="E60" s="113">
        <v>3</v>
      </c>
      <c r="F60" s="112">
        <v>129227.68313446036</v>
      </c>
      <c r="G60" s="111">
        <f>F60-$O$58</f>
        <v>110585.68313446036</v>
      </c>
      <c r="H60" s="110">
        <f>+G60/$O$59</f>
        <v>3.2334995068555661</v>
      </c>
      <c r="I60" s="103"/>
      <c r="J60" s="103"/>
      <c r="K60" s="102"/>
      <c r="L60" s="109" t="s">
        <v>30</v>
      </c>
      <c r="M60" s="108"/>
      <c r="N60" s="107" t="s">
        <v>29</v>
      </c>
      <c r="O60" s="106">
        <f>'Inputs-R'!$F$106</f>
        <v>2.23</v>
      </c>
      <c r="P60" s="105"/>
      <c r="Q60" s="102"/>
      <c r="W60" s="705">
        <f ca="1">IFERROR(_xlfn.FORMULATEXT(Outputs!F60),0)</f>
        <v>0</v>
      </c>
      <c r="X60" s="703" t="str">
        <f t="shared" ca="1" si="13"/>
        <v>{=TABLE(,F6)}</v>
      </c>
      <c r="Y60" s="809">
        <f t="shared" ref="Y60" ca="1" si="14">IF(W60=0,0,IF(W60=X60,1,0))</f>
        <v>0</v>
      </c>
    </row>
    <row r="61" spans="2:25" ht="15" customHeight="1" outlineLevel="1">
      <c r="B61" s="104"/>
      <c r="C61" s="102"/>
      <c r="D61" s="102"/>
      <c r="I61" s="103"/>
      <c r="J61" s="103"/>
      <c r="K61" s="102"/>
      <c r="L61" s="721"/>
      <c r="O61" s="100"/>
      <c r="P61" s="99"/>
      <c r="Q61" s="98"/>
      <c r="W61" s="102"/>
      <c r="X61" s="102"/>
      <c r="Y61" s="799"/>
    </row>
    <row r="62" spans="2:25" ht="15" customHeight="1" outlineLevel="1">
      <c r="Y62" s="807">
        <f ca="1">IF(SUM(Y58:Y60)=3,1,0)</f>
        <v>0</v>
      </c>
    </row>
    <row r="63" spans="2:25" ht="15" customHeight="1" outlineLevel="1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</row>
    <row r="64" spans="2:25" ht="15" customHeight="1" outlineLevel="1" thickBot="1">
      <c r="D64" s="74" t="s">
        <v>28</v>
      </c>
      <c r="E64" s="69"/>
      <c r="F64" s="69"/>
      <c r="G64" s="69"/>
      <c r="H64" s="69"/>
      <c r="K64" s="37"/>
      <c r="L64" s="73" t="s">
        <v>27</v>
      </c>
      <c r="M64" s="65"/>
      <c r="N64" s="65"/>
      <c r="O64" s="65"/>
      <c r="P64" s="65"/>
      <c r="Q64" s="37"/>
      <c r="S64" s="669" t="s">
        <v>277</v>
      </c>
      <c r="T64" s="668" t="s">
        <v>278</v>
      </c>
      <c r="U64" s="671" t="s">
        <v>279</v>
      </c>
    </row>
    <row r="65" spans="2:35" ht="15" customHeight="1" outlineLevel="1">
      <c r="D65" s="72"/>
      <c r="E65" s="72"/>
      <c r="F65" s="72"/>
      <c r="G65" s="72"/>
      <c r="H65" s="72"/>
      <c r="K65" s="37"/>
      <c r="L65" s="71"/>
      <c r="M65" s="71"/>
      <c r="N65" s="71"/>
      <c r="O65" s="71"/>
      <c r="P65" s="71"/>
      <c r="Q65" s="37"/>
      <c r="S65" s="672">
        <f>Outputs!C67</f>
        <v>0</v>
      </c>
      <c r="T65" s="673">
        <f>C67</f>
        <v>129227.68313446036</v>
      </c>
      <c r="U65" s="806">
        <f>IF(S65=0,0,IF(S65=T65,1,0))</f>
        <v>0</v>
      </c>
    </row>
    <row r="66" spans="2:35" ht="15" customHeight="1" outlineLevel="1">
      <c r="B66" s="68"/>
      <c r="C66" s="97"/>
      <c r="D66" s="723" t="s">
        <v>24</v>
      </c>
      <c r="E66" s="69"/>
      <c r="F66" s="69"/>
      <c r="G66" s="69"/>
      <c r="H66" s="69"/>
      <c r="I66" s="68"/>
      <c r="K66" s="67"/>
      <c r="L66" s="66" t="s">
        <v>24</v>
      </c>
      <c r="M66" s="65"/>
      <c r="N66" s="65"/>
      <c r="O66" s="65"/>
      <c r="P66" s="65"/>
      <c r="Q66" s="67"/>
    </row>
    <row r="67" spans="2:35" ht="15" customHeight="1" outlineLevel="1" thickBot="1">
      <c r="C67" s="96">
        <f>Model!H446</f>
        <v>129227.68313446036</v>
      </c>
      <c r="D67" s="63">
        <f>E67-0.5</f>
        <v>6</v>
      </c>
      <c r="E67" s="63">
        <f>F67-0.5</f>
        <v>6.5</v>
      </c>
      <c r="F67" s="63">
        <f>'Inputs-R'!F108</f>
        <v>7</v>
      </c>
      <c r="G67" s="63">
        <f>+F67+0.5</f>
        <v>7.5</v>
      </c>
      <c r="H67" s="63">
        <f>+G67+0.5</f>
        <v>8</v>
      </c>
      <c r="I67" s="37"/>
      <c r="K67" s="95"/>
      <c r="L67" s="63">
        <f>D67</f>
        <v>6</v>
      </c>
      <c r="M67" s="63">
        <f>E67</f>
        <v>6.5</v>
      </c>
      <c r="N67" s="63">
        <f>F67</f>
        <v>7</v>
      </c>
      <c r="O67" s="63">
        <f>G67</f>
        <v>7.5</v>
      </c>
      <c r="P67" s="63">
        <f>H67</f>
        <v>8</v>
      </c>
      <c r="Q67" s="37"/>
      <c r="S67" s="662" t="s">
        <v>277</v>
      </c>
      <c r="T67" s="663"/>
      <c r="U67" s="663"/>
      <c r="V67" s="793"/>
      <c r="W67" s="794"/>
      <c r="Y67" s="662" t="s">
        <v>278</v>
      </c>
      <c r="Z67" s="663"/>
      <c r="AA67" s="663"/>
      <c r="AB67" s="793"/>
      <c r="AC67" s="794"/>
      <c r="AE67" s="662" t="s">
        <v>279</v>
      </c>
      <c r="AF67" s="663"/>
      <c r="AG67" s="663"/>
      <c r="AH67" s="793"/>
      <c r="AI67" s="794"/>
    </row>
    <row r="68" spans="2:35" ht="15" customHeight="1" outlineLevel="1">
      <c r="B68" s="822" t="s">
        <v>23</v>
      </c>
      <c r="C68" s="40">
        <f>C69-0.01</f>
        <v>7.7429919540151548E-2</v>
      </c>
      <c r="D68" s="757">
        <f t="dataTable" ref="D68:H72" dt2D="1" dtr="1" r1="O56" r2="O57"/>
        <v>129227.68313446036</v>
      </c>
      <c r="E68" s="758">
        <v>129227.68313446036</v>
      </c>
      <c r="F68" s="758">
        <v>129227.68313446036</v>
      </c>
      <c r="G68" s="758">
        <v>129227.68313446036</v>
      </c>
      <c r="H68" s="759">
        <v>129227.68313446036</v>
      </c>
      <c r="I68" s="37"/>
      <c r="J68" s="822" t="s">
        <v>23</v>
      </c>
      <c r="K68" s="40">
        <f>C68</f>
        <v>7.7429919540151548E-2</v>
      </c>
      <c r="L68" s="727">
        <f t="shared" ref="L68:P72" si="15">D81/$O$59</f>
        <v>3.2334995068555661</v>
      </c>
      <c r="M68" s="728">
        <f t="shared" si="15"/>
        <v>3.2334995068555661</v>
      </c>
      <c r="N68" s="728">
        <f t="shared" si="15"/>
        <v>3.2334995068555661</v>
      </c>
      <c r="O68" s="728">
        <f t="shared" si="15"/>
        <v>3.2334995068555661</v>
      </c>
      <c r="P68" s="729">
        <f t="shared" si="15"/>
        <v>3.2334995068555661</v>
      </c>
      <c r="Q68" s="37"/>
      <c r="S68" s="704">
        <f ca="1">IFERROR(_xlfn.FORMULATEXT(Outputs!D68),0)</f>
        <v>0</v>
      </c>
      <c r="T68" s="702">
        <f ca="1">IFERROR(_xlfn.FORMULATEXT(Outputs!E68),0)</f>
        <v>0</v>
      </c>
      <c r="U68" s="702">
        <f ca="1">IFERROR(_xlfn.FORMULATEXT(Outputs!F68),0)</f>
        <v>0</v>
      </c>
      <c r="V68" s="702">
        <f ca="1">IFERROR(_xlfn.FORMULATEXT(Outputs!G68),0)</f>
        <v>0</v>
      </c>
      <c r="W68" s="791">
        <f ca="1">IFERROR(_xlfn.FORMULATEXT(Outputs!H68),0)</f>
        <v>0</v>
      </c>
      <c r="Y68" s="704" t="str">
        <f ca="1">IFERROR(_xlfn.FORMULATEXT(D68),0)</f>
        <v>{=TABLE(O56,O57)}</v>
      </c>
      <c r="Z68" s="702" t="str">
        <f t="shared" ref="Z68:Z72" ca="1" si="16">IFERROR(_xlfn.FORMULATEXT(E68),0)</f>
        <v>{=TABLE(O56,O57)}</v>
      </c>
      <c r="AA68" s="702" t="str">
        <f t="shared" ref="AA68:AA72" ca="1" si="17">IFERROR(_xlfn.FORMULATEXT(F68),0)</f>
        <v>{=TABLE(O56,O57)}</v>
      </c>
      <c r="AB68" s="702" t="str">
        <f t="shared" ref="AB68:AB72" ca="1" si="18">IFERROR(_xlfn.FORMULATEXT(G68),0)</f>
        <v>{=TABLE(O56,O57)}</v>
      </c>
      <c r="AC68" s="791" t="str">
        <f t="shared" ref="AC68:AC72" ca="1" si="19">IFERROR(_xlfn.FORMULATEXT(H68),0)</f>
        <v>{=TABLE(O56,O57)}</v>
      </c>
      <c r="AE68" s="810">
        <f ca="1">IF(S68=Y68,1,0)</f>
        <v>0</v>
      </c>
      <c r="AF68" s="811">
        <f t="shared" ref="AF68:AF72" ca="1" si="20">IF(T68=Z68,1,0)</f>
        <v>0</v>
      </c>
      <c r="AG68" s="811">
        <f t="shared" ref="AG68:AG72" ca="1" si="21">IF(U68=AA68,1,0)</f>
        <v>0</v>
      </c>
      <c r="AH68" s="811">
        <f t="shared" ref="AH68:AH72" ca="1" si="22">IF(V68=AB68,1,0)</f>
        <v>0</v>
      </c>
      <c r="AI68" s="808">
        <f t="shared" ref="AI68:AI72" ca="1" si="23">IF(W68=AC68,1,0)</f>
        <v>0</v>
      </c>
    </row>
    <row r="69" spans="2:35" ht="15" customHeight="1" outlineLevel="1">
      <c r="B69" s="822"/>
      <c r="C69" s="40">
        <f>C70-0.01</f>
        <v>8.7429919540151543E-2</v>
      </c>
      <c r="D69" s="760">
        <v>129227.68313446036</v>
      </c>
      <c r="E69" s="761">
        <v>129227.68313446036</v>
      </c>
      <c r="F69" s="761">
        <v>129227.68313446036</v>
      </c>
      <c r="G69" s="761">
        <v>129227.68313446036</v>
      </c>
      <c r="H69" s="762">
        <v>129227.68313446036</v>
      </c>
      <c r="I69" s="37"/>
      <c r="J69" s="822"/>
      <c r="K69" s="40">
        <f>C69</f>
        <v>8.7429919540151543E-2</v>
      </c>
      <c r="L69" s="733">
        <f t="shared" si="15"/>
        <v>3.2334995068555661</v>
      </c>
      <c r="M69" s="734">
        <f t="shared" si="15"/>
        <v>3.2334995068555661</v>
      </c>
      <c r="N69" s="734">
        <f t="shared" si="15"/>
        <v>3.2334995068555661</v>
      </c>
      <c r="O69" s="734">
        <f t="shared" si="15"/>
        <v>3.2334995068555661</v>
      </c>
      <c r="P69" s="735">
        <f t="shared" si="15"/>
        <v>3.2334995068555661</v>
      </c>
      <c r="Q69" s="37"/>
      <c r="S69" s="704">
        <f ca="1">IFERROR(_xlfn.FORMULATEXT(Outputs!D69),0)</f>
        <v>0</v>
      </c>
      <c r="T69" s="702">
        <f ca="1">IFERROR(_xlfn.FORMULATEXT(Outputs!E69),0)</f>
        <v>0</v>
      </c>
      <c r="U69" s="702">
        <f ca="1">IFERROR(_xlfn.FORMULATEXT(Outputs!F69),0)</f>
        <v>0</v>
      </c>
      <c r="V69" s="702">
        <f ca="1">IFERROR(_xlfn.FORMULATEXT(Outputs!G69),0)</f>
        <v>0</v>
      </c>
      <c r="W69" s="791">
        <f ca="1">IFERROR(_xlfn.FORMULATEXT(Outputs!H69),0)</f>
        <v>0</v>
      </c>
      <c r="Y69" s="704" t="str">
        <f t="shared" ref="Y69:Y72" ca="1" si="24">IFERROR(_xlfn.FORMULATEXT(D69),0)</f>
        <v>{=TABLE(O56,O57)}</v>
      </c>
      <c r="Z69" s="702" t="str">
        <f t="shared" ca="1" si="16"/>
        <v>{=TABLE(O56,O57)}</v>
      </c>
      <c r="AA69" s="702" t="str">
        <f t="shared" ca="1" si="17"/>
        <v>{=TABLE(O56,O57)}</v>
      </c>
      <c r="AB69" s="702" t="str">
        <f t="shared" ca="1" si="18"/>
        <v>{=TABLE(O56,O57)}</v>
      </c>
      <c r="AC69" s="791" t="str">
        <f t="shared" ca="1" si="19"/>
        <v>{=TABLE(O56,O57)}</v>
      </c>
      <c r="AE69" s="810">
        <f t="shared" ref="AE69:AE72" ca="1" si="25">IF(S69=Y69,1,0)</f>
        <v>0</v>
      </c>
      <c r="AF69" s="811">
        <f t="shared" ca="1" si="20"/>
        <v>0</v>
      </c>
      <c r="AG69" s="811">
        <f t="shared" ca="1" si="21"/>
        <v>0</v>
      </c>
      <c r="AH69" s="811">
        <f t="shared" ca="1" si="22"/>
        <v>0</v>
      </c>
      <c r="AI69" s="808">
        <f t="shared" ca="1" si="23"/>
        <v>0</v>
      </c>
    </row>
    <row r="70" spans="2:35" ht="15" customHeight="1" outlineLevel="1">
      <c r="B70" s="822"/>
      <c r="C70" s="40">
        <f>'Inputs-R'!$L$84</f>
        <v>9.7429919540151538E-2</v>
      </c>
      <c r="D70" s="760">
        <v>129227.68313446036</v>
      </c>
      <c r="E70" s="761">
        <v>129227.68313446036</v>
      </c>
      <c r="F70" s="763">
        <v>129227.68313446036</v>
      </c>
      <c r="G70" s="761">
        <v>129227.68313446036</v>
      </c>
      <c r="H70" s="762">
        <v>129227.68313446036</v>
      </c>
      <c r="I70" s="37"/>
      <c r="J70" s="822"/>
      <c r="K70" s="40">
        <f>C70</f>
        <v>9.7429919540151538E-2</v>
      </c>
      <c r="L70" s="733">
        <f t="shared" si="15"/>
        <v>3.2334995068555661</v>
      </c>
      <c r="M70" s="734">
        <f t="shared" si="15"/>
        <v>3.2334995068555661</v>
      </c>
      <c r="N70" s="737">
        <f t="shared" si="15"/>
        <v>3.2334995068555661</v>
      </c>
      <c r="O70" s="734">
        <f t="shared" si="15"/>
        <v>3.2334995068555661</v>
      </c>
      <c r="P70" s="735">
        <f t="shared" si="15"/>
        <v>3.2334995068555661</v>
      </c>
      <c r="Q70" s="37"/>
      <c r="S70" s="704">
        <f ca="1">IFERROR(_xlfn.FORMULATEXT(Outputs!D70),0)</f>
        <v>0</v>
      </c>
      <c r="T70" s="702">
        <f ca="1">IFERROR(_xlfn.FORMULATEXT(Outputs!E70),0)</f>
        <v>0</v>
      </c>
      <c r="U70" s="702">
        <f ca="1">IFERROR(_xlfn.FORMULATEXT(Outputs!F70),0)</f>
        <v>0</v>
      </c>
      <c r="V70" s="702">
        <f ca="1">IFERROR(_xlfn.FORMULATEXT(Outputs!G70),0)</f>
        <v>0</v>
      </c>
      <c r="W70" s="791">
        <f ca="1">IFERROR(_xlfn.FORMULATEXT(Outputs!H70),0)</f>
        <v>0</v>
      </c>
      <c r="Y70" s="704" t="str">
        <f t="shared" ca="1" si="24"/>
        <v>{=TABLE(O56,O57)}</v>
      </c>
      <c r="Z70" s="702" t="str">
        <f t="shared" ca="1" si="16"/>
        <v>{=TABLE(O56,O57)}</v>
      </c>
      <c r="AA70" s="702" t="str">
        <f t="shared" ca="1" si="17"/>
        <v>{=TABLE(O56,O57)}</v>
      </c>
      <c r="AB70" s="702" t="str">
        <f t="shared" ca="1" si="18"/>
        <v>{=TABLE(O56,O57)}</v>
      </c>
      <c r="AC70" s="791" t="str">
        <f t="shared" ca="1" si="19"/>
        <v>{=TABLE(O56,O57)}</v>
      </c>
      <c r="AE70" s="810">
        <f t="shared" ca="1" si="25"/>
        <v>0</v>
      </c>
      <c r="AF70" s="811">
        <f t="shared" ca="1" si="20"/>
        <v>0</v>
      </c>
      <c r="AG70" s="811">
        <f t="shared" ca="1" si="21"/>
        <v>0</v>
      </c>
      <c r="AH70" s="811">
        <f t="shared" ca="1" si="22"/>
        <v>0</v>
      </c>
      <c r="AI70" s="808">
        <f t="shared" ca="1" si="23"/>
        <v>0</v>
      </c>
    </row>
    <row r="71" spans="2:35" ht="15" customHeight="1" outlineLevel="1">
      <c r="B71" s="822"/>
      <c r="C71" s="40">
        <f>C70+0.01</f>
        <v>0.10742991954015153</v>
      </c>
      <c r="D71" s="760">
        <v>129227.68313446036</v>
      </c>
      <c r="E71" s="761">
        <v>129227.68313446036</v>
      </c>
      <c r="F71" s="761">
        <v>129227.68313446036</v>
      </c>
      <c r="G71" s="761">
        <v>129227.68313446036</v>
      </c>
      <c r="H71" s="762">
        <v>129227.68313446036</v>
      </c>
      <c r="I71" s="37"/>
      <c r="J71" s="822"/>
      <c r="K71" s="40">
        <f>C71</f>
        <v>0.10742991954015153</v>
      </c>
      <c r="L71" s="733">
        <f t="shared" si="15"/>
        <v>3.2334995068555661</v>
      </c>
      <c r="M71" s="734">
        <f t="shared" si="15"/>
        <v>3.2334995068555661</v>
      </c>
      <c r="N71" s="734">
        <f t="shared" si="15"/>
        <v>3.2334995068555661</v>
      </c>
      <c r="O71" s="734">
        <f t="shared" si="15"/>
        <v>3.2334995068555661</v>
      </c>
      <c r="P71" s="735">
        <f t="shared" si="15"/>
        <v>3.2334995068555661</v>
      </c>
      <c r="Q71" s="37"/>
      <c r="S71" s="704">
        <f ca="1">IFERROR(_xlfn.FORMULATEXT(Outputs!D71),0)</f>
        <v>0</v>
      </c>
      <c r="T71" s="702">
        <f ca="1">IFERROR(_xlfn.FORMULATEXT(Outputs!E71),0)</f>
        <v>0</v>
      </c>
      <c r="U71" s="702">
        <f ca="1">IFERROR(_xlfn.FORMULATEXT(Outputs!F71),0)</f>
        <v>0</v>
      </c>
      <c r="V71" s="702">
        <f ca="1">IFERROR(_xlfn.FORMULATEXT(Outputs!G71),0)</f>
        <v>0</v>
      </c>
      <c r="W71" s="791">
        <f ca="1">IFERROR(_xlfn.FORMULATEXT(Outputs!H71),0)</f>
        <v>0</v>
      </c>
      <c r="Y71" s="704" t="str">
        <f t="shared" ca="1" si="24"/>
        <v>{=TABLE(O56,O57)}</v>
      </c>
      <c r="Z71" s="702" t="str">
        <f t="shared" ca="1" si="16"/>
        <v>{=TABLE(O56,O57)}</v>
      </c>
      <c r="AA71" s="702" t="str">
        <f t="shared" ca="1" si="17"/>
        <v>{=TABLE(O56,O57)}</v>
      </c>
      <c r="AB71" s="702" t="str">
        <f t="shared" ca="1" si="18"/>
        <v>{=TABLE(O56,O57)}</v>
      </c>
      <c r="AC71" s="791" t="str">
        <f t="shared" ca="1" si="19"/>
        <v>{=TABLE(O56,O57)}</v>
      </c>
      <c r="AE71" s="810">
        <f t="shared" ca="1" si="25"/>
        <v>0</v>
      </c>
      <c r="AF71" s="811">
        <f t="shared" ca="1" si="20"/>
        <v>0</v>
      </c>
      <c r="AG71" s="811">
        <f t="shared" ca="1" si="21"/>
        <v>0</v>
      </c>
      <c r="AH71" s="811">
        <f t="shared" ca="1" si="22"/>
        <v>0</v>
      </c>
      <c r="AI71" s="808">
        <f t="shared" ca="1" si="23"/>
        <v>0</v>
      </c>
    </row>
    <row r="72" spans="2:35" ht="15" customHeight="1" outlineLevel="1">
      <c r="B72" s="822"/>
      <c r="C72" s="40">
        <f>C71+0.01</f>
        <v>0.11742991954015153</v>
      </c>
      <c r="D72" s="764">
        <v>129227.68313446036</v>
      </c>
      <c r="E72" s="765">
        <v>129227.68313446036</v>
      </c>
      <c r="F72" s="765">
        <v>129227.68313446036</v>
      </c>
      <c r="G72" s="765">
        <v>129227.68313446036</v>
      </c>
      <c r="H72" s="766">
        <v>129227.68313446036</v>
      </c>
      <c r="I72" s="37"/>
      <c r="J72" s="822"/>
      <c r="K72" s="40">
        <f>C72</f>
        <v>0.11742991954015153</v>
      </c>
      <c r="L72" s="741">
        <f t="shared" si="15"/>
        <v>3.2334995068555661</v>
      </c>
      <c r="M72" s="742">
        <f t="shared" si="15"/>
        <v>3.2334995068555661</v>
      </c>
      <c r="N72" s="742">
        <f t="shared" si="15"/>
        <v>3.2334995068555661</v>
      </c>
      <c r="O72" s="742">
        <f t="shared" si="15"/>
        <v>3.2334995068555661</v>
      </c>
      <c r="P72" s="743">
        <f t="shared" si="15"/>
        <v>3.2334995068555661</v>
      </c>
      <c r="Q72" s="37"/>
      <c r="S72" s="705">
        <f ca="1">IFERROR(_xlfn.FORMULATEXT(Outputs!D72),0)</f>
        <v>0</v>
      </c>
      <c r="T72" s="703">
        <f ca="1">IFERROR(_xlfn.FORMULATEXT(Outputs!E72),0)</f>
        <v>0</v>
      </c>
      <c r="U72" s="703">
        <f ca="1">IFERROR(_xlfn.FORMULATEXT(Outputs!F72),0)</f>
        <v>0</v>
      </c>
      <c r="V72" s="703">
        <f ca="1">IFERROR(_xlfn.FORMULATEXT(Outputs!G72),0)</f>
        <v>0</v>
      </c>
      <c r="W72" s="792">
        <f ca="1">IFERROR(_xlfn.FORMULATEXT(Outputs!H72),0)</f>
        <v>0</v>
      </c>
      <c r="Y72" s="705" t="str">
        <f t="shared" ca="1" si="24"/>
        <v>{=TABLE(O56,O57)}</v>
      </c>
      <c r="Z72" s="703" t="str">
        <f t="shared" ca="1" si="16"/>
        <v>{=TABLE(O56,O57)}</v>
      </c>
      <c r="AA72" s="703" t="str">
        <f t="shared" ca="1" si="17"/>
        <v>{=TABLE(O56,O57)}</v>
      </c>
      <c r="AB72" s="703" t="str">
        <f t="shared" ca="1" si="18"/>
        <v>{=TABLE(O56,O57)}</v>
      </c>
      <c r="AC72" s="792" t="str">
        <f t="shared" ca="1" si="19"/>
        <v>{=TABLE(O56,O57)}</v>
      </c>
      <c r="AE72" s="812">
        <f t="shared" ca="1" si="25"/>
        <v>0</v>
      </c>
      <c r="AF72" s="813">
        <f t="shared" ca="1" si="20"/>
        <v>0</v>
      </c>
      <c r="AG72" s="813">
        <f t="shared" ca="1" si="21"/>
        <v>0</v>
      </c>
      <c r="AH72" s="813">
        <f t="shared" ca="1" si="22"/>
        <v>0</v>
      </c>
      <c r="AI72" s="809">
        <f t="shared" ca="1" si="23"/>
        <v>0</v>
      </c>
    </row>
    <row r="73" spans="2:35" ht="15" customHeight="1" outlineLevel="1">
      <c r="C73" s="37"/>
      <c r="D73" s="37"/>
      <c r="E73" s="37"/>
      <c r="F73" s="37"/>
      <c r="G73" s="37"/>
      <c r="H73" s="37"/>
      <c r="I73" s="37"/>
      <c r="AE73" s="799"/>
      <c r="AF73" s="799"/>
      <c r="AG73" s="799"/>
      <c r="AH73" s="799"/>
      <c r="AI73" s="799"/>
    </row>
    <row r="74" spans="2:35" ht="15" customHeight="1" outlineLevel="1">
      <c r="C74" s="37"/>
      <c r="D74" s="37"/>
      <c r="E74" s="37"/>
      <c r="F74" s="37"/>
      <c r="G74" s="37"/>
      <c r="H74" s="37"/>
      <c r="I74" s="37"/>
      <c r="J74" s="37"/>
      <c r="K74" s="37"/>
      <c r="L74" s="73"/>
      <c r="M74" s="65"/>
      <c r="N74" s="65"/>
      <c r="O74" s="65"/>
      <c r="P74" s="65"/>
      <c r="AE74" s="807">
        <f ca="1">IF(SUM(AE68:AI72)=25,1,0)</f>
        <v>0</v>
      </c>
      <c r="AF74" s="799"/>
      <c r="AG74" s="799"/>
      <c r="AH74" s="799"/>
      <c r="AI74" s="799"/>
    </row>
    <row r="75" spans="2:35" ht="15" customHeight="1" outlineLevel="1"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</row>
    <row r="76" spans="2:35" ht="15" customHeight="1" outlineLevel="1"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</row>
    <row r="77" spans="2:35" ht="15" customHeight="1" outlineLevel="1">
      <c r="D77" s="74" t="s">
        <v>26</v>
      </c>
      <c r="E77" s="69"/>
      <c r="F77" s="69"/>
      <c r="G77" s="69"/>
      <c r="H77" s="69"/>
      <c r="J77" s="37"/>
      <c r="K77" s="37"/>
      <c r="L77" s="73" t="s">
        <v>25</v>
      </c>
      <c r="M77" s="65"/>
      <c r="N77" s="65"/>
      <c r="O77" s="65"/>
      <c r="P77" s="65"/>
    </row>
    <row r="78" spans="2:35" ht="15" customHeight="1" outlineLevel="1">
      <c r="D78" s="72"/>
      <c r="E78" s="72"/>
      <c r="F78" s="72"/>
      <c r="G78" s="72"/>
      <c r="H78" s="72"/>
      <c r="J78" s="37"/>
      <c r="K78" s="37"/>
      <c r="L78" s="71"/>
      <c r="M78" s="71"/>
      <c r="N78" s="71"/>
      <c r="O78" s="71"/>
      <c r="P78" s="71"/>
    </row>
    <row r="79" spans="2:35" ht="15" customHeight="1" outlineLevel="1">
      <c r="B79" s="68"/>
      <c r="C79" s="68"/>
      <c r="D79" s="723" t="s">
        <v>24</v>
      </c>
      <c r="E79" s="69"/>
      <c r="F79" s="69"/>
      <c r="G79" s="69"/>
      <c r="H79" s="69"/>
      <c r="I79" s="68"/>
      <c r="J79" s="67"/>
      <c r="K79" s="67"/>
      <c r="L79" s="66" t="s">
        <v>24</v>
      </c>
      <c r="M79" s="65"/>
      <c r="N79" s="65"/>
      <c r="O79" s="65"/>
      <c r="P79" s="65"/>
    </row>
    <row r="80" spans="2:35" ht="15" customHeight="1" outlineLevel="1">
      <c r="B80" s="37"/>
      <c r="C80" s="64"/>
      <c r="D80" s="63">
        <f>D67</f>
        <v>6</v>
      </c>
      <c r="E80" s="63">
        <f>E67</f>
        <v>6.5</v>
      </c>
      <c r="F80" s="63">
        <f>F67</f>
        <v>7</v>
      </c>
      <c r="G80" s="63">
        <f>G67</f>
        <v>7.5</v>
      </c>
      <c r="H80" s="63">
        <f>H67</f>
        <v>8</v>
      </c>
      <c r="J80" s="37"/>
      <c r="K80" s="64"/>
      <c r="L80" s="63">
        <f>D80</f>
        <v>6</v>
      </c>
      <c r="M80" s="63">
        <f>E80</f>
        <v>6.5</v>
      </c>
      <c r="N80" s="63">
        <f>F80</f>
        <v>7</v>
      </c>
      <c r="O80" s="63">
        <f>G80</f>
        <v>7.5</v>
      </c>
      <c r="P80" s="63">
        <f>H80</f>
        <v>8</v>
      </c>
    </row>
    <row r="81" spans="2:19" ht="15" customHeight="1" outlineLevel="1">
      <c r="B81" s="821" t="s">
        <v>23</v>
      </c>
      <c r="C81" s="40">
        <f>C68</f>
        <v>7.7429919540151548E-2</v>
      </c>
      <c r="D81" s="724">
        <f t="shared" ref="D81:H85" si="26">D68-$O$58</f>
        <v>110585.68313446036</v>
      </c>
      <c r="E81" s="725">
        <f t="shared" si="26"/>
        <v>110585.68313446036</v>
      </c>
      <c r="F81" s="725">
        <f t="shared" si="26"/>
        <v>110585.68313446036</v>
      </c>
      <c r="G81" s="725">
        <f t="shared" si="26"/>
        <v>110585.68313446036</v>
      </c>
      <c r="H81" s="726">
        <f t="shared" si="26"/>
        <v>110585.68313446036</v>
      </c>
      <c r="J81" s="821" t="s">
        <v>23</v>
      </c>
      <c r="K81" s="40">
        <f>C81</f>
        <v>7.7429919540151548E-2</v>
      </c>
      <c r="L81" s="744">
        <f t="shared" ref="L81:P85" si="27">L68/$O$60-1</f>
        <v>0.44999977885899822</v>
      </c>
      <c r="M81" s="745">
        <f t="shared" si="27"/>
        <v>0.44999977885899822</v>
      </c>
      <c r="N81" s="745">
        <f t="shared" si="27"/>
        <v>0.44999977885899822</v>
      </c>
      <c r="O81" s="745">
        <f t="shared" si="27"/>
        <v>0.44999977885899822</v>
      </c>
      <c r="P81" s="746">
        <f t="shared" si="27"/>
        <v>0.44999977885899822</v>
      </c>
    </row>
    <row r="82" spans="2:19" ht="15" customHeight="1" outlineLevel="1">
      <c r="B82" s="821"/>
      <c r="C82" s="40">
        <f>C69</f>
        <v>8.7429919540151543E-2</v>
      </c>
      <c r="D82" s="730">
        <f t="shared" si="26"/>
        <v>110585.68313446036</v>
      </c>
      <c r="E82" s="731">
        <f t="shared" si="26"/>
        <v>110585.68313446036</v>
      </c>
      <c r="F82" s="731">
        <f t="shared" si="26"/>
        <v>110585.68313446036</v>
      </c>
      <c r="G82" s="731">
        <f t="shared" si="26"/>
        <v>110585.68313446036</v>
      </c>
      <c r="H82" s="732">
        <f t="shared" si="26"/>
        <v>110585.68313446036</v>
      </c>
      <c r="J82" s="821"/>
      <c r="K82" s="40">
        <f>C82</f>
        <v>8.7429919540151543E-2</v>
      </c>
      <c r="L82" s="747">
        <f t="shared" si="27"/>
        <v>0.44999977885899822</v>
      </c>
      <c r="M82" s="748">
        <f t="shared" si="27"/>
        <v>0.44999977885899822</v>
      </c>
      <c r="N82" s="748">
        <f t="shared" si="27"/>
        <v>0.44999977885899822</v>
      </c>
      <c r="O82" s="748">
        <f t="shared" si="27"/>
        <v>0.44999977885899822</v>
      </c>
      <c r="P82" s="749">
        <f t="shared" si="27"/>
        <v>0.44999977885899822</v>
      </c>
    </row>
    <row r="83" spans="2:19" ht="15" customHeight="1" outlineLevel="1">
      <c r="B83" s="821"/>
      <c r="C83" s="40">
        <f>C70</f>
        <v>9.7429919540151538E-2</v>
      </c>
      <c r="D83" s="730">
        <f t="shared" si="26"/>
        <v>110585.68313446036</v>
      </c>
      <c r="E83" s="731">
        <f t="shared" si="26"/>
        <v>110585.68313446036</v>
      </c>
      <c r="F83" s="736">
        <f t="shared" si="26"/>
        <v>110585.68313446036</v>
      </c>
      <c r="G83" s="731">
        <f t="shared" si="26"/>
        <v>110585.68313446036</v>
      </c>
      <c r="H83" s="732">
        <f t="shared" si="26"/>
        <v>110585.68313446036</v>
      </c>
      <c r="J83" s="821"/>
      <c r="K83" s="40">
        <f>C83</f>
        <v>9.7429919540151538E-2</v>
      </c>
      <c r="L83" s="747">
        <f t="shared" si="27"/>
        <v>0.44999977885899822</v>
      </c>
      <c r="M83" s="748">
        <f t="shared" si="27"/>
        <v>0.44999977885899822</v>
      </c>
      <c r="N83" s="750">
        <f t="shared" si="27"/>
        <v>0.44999977885899822</v>
      </c>
      <c r="O83" s="748">
        <f t="shared" si="27"/>
        <v>0.44999977885899822</v>
      </c>
      <c r="P83" s="749">
        <f t="shared" si="27"/>
        <v>0.44999977885899822</v>
      </c>
    </row>
    <row r="84" spans="2:19" ht="15" customHeight="1" outlineLevel="1">
      <c r="B84" s="821"/>
      <c r="C84" s="40">
        <f>C71</f>
        <v>0.10742991954015153</v>
      </c>
      <c r="D84" s="730">
        <f t="shared" si="26"/>
        <v>110585.68313446036</v>
      </c>
      <c r="E84" s="731">
        <f t="shared" si="26"/>
        <v>110585.68313446036</v>
      </c>
      <c r="F84" s="731">
        <f t="shared" si="26"/>
        <v>110585.68313446036</v>
      </c>
      <c r="G84" s="731">
        <f t="shared" si="26"/>
        <v>110585.68313446036</v>
      </c>
      <c r="H84" s="732">
        <f t="shared" si="26"/>
        <v>110585.68313446036</v>
      </c>
      <c r="J84" s="821"/>
      <c r="K84" s="40">
        <f>C84</f>
        <v>0.10742991954015153</v>
      </c>
      <c r="L84" s="747">
        <f t="shared" si="27"/>
        <v>0.44999977885899822</v>
      </c>
      <c r="M84" s="748">
        <f t="shared" si="27"/>
        <v>0.44999977885899822</v>
      </c>
      <c r="N84" s="748">
        <f t="shared" si="27"/>
        <v>0.44999977885899822</v>
      </c>
      <c r="O84" s="748">
        <f t="shared" si="27"/>
        <v>0.44999977885899822</v>
      </c>
      <c r="P84" s="749">
        <f t="shared" si="27"/>
        <v>0.44999977885899822</v>
      </c>
    </row>
    <row r="85" spans="2:19" ht="15" customHeight="1" outlineLevel="1">
      <c r="B85" s="821"/>
      <c r="C85" s="40">
        <f>C72</f>
        <v>0.11742991954015153</v>
      </c>
      <c r="D85" s="738">
        <f t="shared" si="26"/>
        <v>110585.68313446036</v>
      </c>
      <c r="E85" s="739">
        <f t="shared" si="26"/>
        <v>110585.68313446036</v>
      </c>
      <c r="F85" s="739">
        <f t="shared" si="26"/>
        <v>110585.68313446036</v>
      </c>
      <c r="G85" s="739">
        <f t="shared" si="26"/>
        <v>110585.68313446036</v>
      </c>
      <c r="H85" s="740">
        <f t="shared" si="26"/>
        <v>110585.68313446036</v>
      </c>
      <c r="J85" s="821"/>
      <c r="K85" s="40">
        <f>C85</f>
        <v>0.11742991954015153</v>
      </c>
      <c r="L85" s="751">
        <f t="shared" si="27"/>
        <v>0.44999977885899822</v>
      </c>
      <c r="M85" s="752">
        <f t="shared" si="27"/>
        <v>0.44999977885899822</v>
      </c>
      <c r="N85" s="752">
        <f t="shared" si="27"/>
        <v>0.44999977885899822</v>
      </c>
      <c r="O85" s="752">
        <f t="shared" si="27"/>
        <v>0.44999977885899822</v>
      </c>
      <c r="P85" s="753">
        <f t="shared" si="27"/>
        <v>0.44999977885899822</v>
      </c>
    </row>
    <row r="86" spans="2:19" ht="15" customHeight="1" outlineLevel="1">
      <c r="B86" s="41"/>
      <c r="C86" s="40"/>
      <c r="D86" s="754"/>
      <c r="E86" s="754"/>
      <c r="F86" s="754"/>
      <c r="G86" s="754"/>
      <c r="H86" s="754"/>
      <c r="I86" s="37"/>
      <c r="J86" s="41"/>
      <c r="K86" s="40"/>
      <c r="L86" s="755"/>
      <c r="M86" s="755"/>
      <c r="N86" s="755"/>
      <c r="O86" s="755"/>
      <c r="P86" s="755"/>
    </row>
    <row r="87" spans="2:19" ht="15" customHeight="1" outlineLevel="1">
      <c r="B87" s="41"/>
      <c r="C87" s="40"/>
      <c r="D87" s="754"/>
      <c r="E87" s="754"/>
      <c r="F87" s="754"/>
      <c r="G87" s="754"/>
      <c r="H87" s="754"/>
      <c r="I87" s="37"/>
      <c r="J87" s="41"/>
      <c r="K87" s="40"/>
      <c r="L87" s="755"/>
      <c r="M87" s="755"/>
      <c r="N87" s="755"/>
      <c r="O87" s="755"/>
      <c r="P87" s="38" t="s">
        <v>22</v>
      </c>
      <c r="S87" s="689" t="str">
        <f ca="1">IF(SUM(U58+Y55+Y62+U65+AE74)=5,"COMPLETE","")</f>
        <v/>
      </c>
    </row>
    <row r="88" spans="2:19" ht="15" customHeight="1" outlineLevel="1">
      <c r="B88" s="37"/>
      <c r="C88" s="37"/>
      <c r="D88" s="36"/>
      <c r="E88" s="36"/>
      <c r="F88" s="36"/>
      <c r="G88" s="36"/>
      <c r="H88" s="36"/>
    </row>
    <row r="89" spans="2:19" ht="15" customHeight="1" outlineLevel="1"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 t="s">
        <v>0</v>
      </c>
    </row>
  </sheetData>
  <mergeCells count="8">
    <mergeCell ref="B81:B85"/>
    <mergeCell ref="J81:J85"/>
    <mergeCell ref="B24:B28"/>
    <mergeCell ref="J24:J28"/>
    <mergeCell ref="B37:B41"/>
    <mergeCell ref="J37:J41"/>
    <mergeCell ref="B68:B72"/>
    <mergeCell ref="J68:J72"/>
  </mergeCells>
  <printOptions horizontalCentered="1"/>
  <pageMargins left="0.11811023622047245" right="0.11811023622047245" top="0.11811023622047245" bottom="0.11811023622047245" header="0.11811023622047245" footer="0.11811023622047245"/>
  <pageSetup scale="88" orientation="landscape" r:id="rId1"/>
  <headerFooter>
    <oddFooter>&amp;L&amp;"Open Sans,Bold"&amp;10&amp;K002060DCF Valuation Modeling&amp;C&amp;"Open Sans,Bold"&amp;10&amp;K002060Page &amp;P of &amp;N&amp;R&amp;G</oddFooter>
  </headerFooter>
  <rowBreaks count="1" manualBreakCount="1">
    <brk id="46" min="1" max="17" man="1"/>
  </row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4AA6D-612C-4FC1-AE76-B69C974B9E63}">
  <sheetPr>
    <pageSetUpPr autoPageBreaks="0"/>
  </sheetPr>
  <dimension ref="A1:N114"/>
  <sheetViews>
    <sheetView showGridLines="0" zoomScale="133" zoomScaleNormal="100" zoomScaleSheetLayoutView="100" workbookViewId="0">
      <pane ySplit="1" topLeftCell="A2" activePane="bottomLeft" state="frozen"/>
      <selection pane="bottomLeft" activeCell="F110" sqref="F110"/>
    </sheetView>
  </sheetViews>
  <sheetFormatPr baseColWidth="10" defaultColWidth="9.1640625" defaultRowHeight="15" customHeight="1" outlineLevelRow="1"/>
  <cols>
    <col min="1" max="1" width="9.1640625" style="34"/>
    <col min="2" max="2" width="12.83203125" style="34" customWidth="1"/>
    <col min="3" max="5" width="11.83203125" style="34" customWidth="1"/>
    <col min="6" max="6" width="12.33203125" style="34" bestFit="1" customWidth="1"/>
    <col min="7" max="12" width="11.83203125" style="34" customWidth="1"/>
    <col min="13" max="13" width="1.6640625" style="34" customWidth="1"/>
    <col min="14" max="16384" width="9.1640625" style="34"/>
  </cols>
  <sheetData>
    <row r="1" spans="1:14" ht="50" customHeight="1">
      <c r="A1" s="102"/>
      <c r="B1" s="798"/>
      <c r="C1" s="798"/>
      <c r="D1" s="798"/>
      <c r="E1" s="178"/>
      <c r="F1" s="178"/>
      <c r="G1" s="179"/>
      <c r="H1" s="179"/>
      <c r="I1" s="178"/>
      <c r="J1" s="178"/>
      <c r="K1" s="178"/>
      <c r="L1" s="178"/>
      <c r="M1" s="102"/>
    </row>
    <row r="2" spans="1:14" ht="15" customHeight="1">
      <c r="A2" s="176"/>
      <c r="B2" s="176"/>
      <c r="C2" s="224"/>
      <c r="D2" s="224"/>
      <c r="E2" s="224"/>
      <c r="F2" s="224"/>
      <c r="G2" s="183"/>
      <c r="H2" s="223"/>
      <c r="I2" s="223"/>
      <c r="J2" s="223"/>
      <c r="K2" s="223"/>
      <c r="L2" s="223"/>
      <c r="M2" s="222"/>
    </row>
    <row r="3" spans="1:14" ht="15" customHeight="1">
      <c r="A3" s="176" t="s">
        <v>0</v>
      </c>
      <c r="B3" s="144" t="s">
        <v>132</v>
      </c>
      <c r="C3" s="143"/>
      <c r="D3" s="143"/>
      <c r="E3" s="143"/>
      <c r="F3" s="142"/>
      <c r="G3" s="141"/>
      <c r="H3" s="141"/>
      <c r="I3" s="141"/>
      <c r="J3" s="141"/>
      <c r="K3" s="141"/>
      <c r="L3" s="141"/>
      <c r="M3" s="138"/>
    </row>
    <row r="4" spans="1:14" ht="15" customHeight="1" outlineLevel="1">
      <c r="A4" s="176"/>
      <c r="B4" s="304"/>
      <c r="C4" s="140"/>
      <c r="D4" s="139"/>
      <c r="E4" s="139"/>
      <c r="F4" s="138"/>
      <c r="G4" s="138"/>
      <c r="H4" s="138"/>
      <c r="I4" s="138"/>
      <c r="J4" s="138"/>
      <c r="K4" s="138"/>
      <c r="L4" s="138"/>
      <c r="M4" s="138"/>
    </row>
    <row r="5" spans="1:14" ht="15" customHeight="1" outlineLevel="1" thickBot="1">
      <c r="A5" s="176"/>
      <c r="B5" s="122" t="s">
        <v>40</v>
      </c>
      <c r="C5" s="140"/>
      <c r="D5" s="132"/>
      <c r="E5" s="132"/>
      <c r="F5" s="137"/>
      <c r="G5" s="354">
        <f>$F$97</f>
        <v>2023</v>
      </c>
      <c r="H5" s="354">
        <f>G5+1</f>
        <v>2024</v>
      </c>
      <c r="I5" s="354">
        <f>H5+1</f>
        <v>2025</v>
      </c>
      <c r="J5" s="354">
        <f>I5+1</f>
        <v>2026</v>
      </c>
      <c r="K5" s="354">
        <f>J5+1</f>
        <v>2027</v>
      </c>
      <c r="L5" s="354" t="s">
        <v>131</v>
      </c>
    </row>
    <row r="6" spans="1:14" s="18" customFormat="1" ht="15" customHeight="1" outlineLevel="1">
      <c r="B6" s="114"/>
      <c r="D6" s="101"/>
      <c r="E6" s="101"/>
      <c r="F6" s="101"/>
      <c r="G6" s="101"/>
      <c r="H6" s="101"/>
      <c r="I6" s="353"/>
      <c r="J6" s="352"/>
    </row>
    <row r="7" spans="1:14" s="18" customFormat="1" ht="15" customHeight="1" outlineLevel="1">
      <c r="B7" s="315" t="s">
        <v>130</v>
      </c>
      <c r="D7" s="113">
        <v>2</v>
      </c>
      <c r="E7" s="101"/>
      <c r="F7" s="101"/>
      <c r="G7" s="101"/>
      <c r="H7" s="101"/>
      <c r="I7" s="353"/>
      <c r="J7" s="352"/>
    </row>
    <row r="8" spans="1:14" s="18" customFormat="1" ht="15" customHeight="1" outlineLevel="1">
      <c r="C8" s="101"/>
      <c r="D8" s="101"/>
      <c r="E8" s="101"/>
      <c r="F8" s="101"/>
      <c r="G8" s="101"/>
      <c r="H8" s="353"/>
      <c r="I8" s="352"/>
    </row>
    <row r="9" spans="1:14" s="18" customFormat="1" ht="15" customHeight="1" outlineLevel="1">
      <c r="C9" s="101"/>
      <c r="D9" s="101"/>
      <c r="E9" s="101"/>
      <c r="F9" s="101"/>
      <c r="G9" s="101"/>
      <c r="H9" s="353"/>
      <c r="I9" s="352"/>
    </row>
    <row r="10" spans="1:14" s="18" customFormat="1" ht="15" customHeight="1" outlineLevel="1">
      <c r="B10" s="315" t="s">
        <v>129</v>
      </c>
      <c r="D10" s="109"/>
      <c r="E10" s="109"/>
      <c r="F10" s="101"/>
      <c r="G10" s="345" cm="1">
        <f t="array" ref="G10">INDEX(G12:G14,$D$7)</f>
        <v>0.02</v>
      </c>
      <c r="H10" s="344" cm="1">
        <f t="array" ref="H10">INDEX(H12:H14,$D$7)</f>
        <v>0.01</v>
      </c>
      <c r="I10" s="344" cm="1">
        <f t="array" ref="I10">INDEX(I12:I14,$D$7)</f>
        <v>0.01</v>
      </c>
      <c r="J10" s="344" cm="1">
        <f t="array" ref="J10">INDEX(J12:J14,$D$7)</f>
        <v>5.0000000000000001E-3</v>
      </c>
      <c r="K10" s="344" cm="1">
        <f t="array" ref="K10">INDEX(K12:K14,$D$7)</f>
        <v>5.0000000000000001E-3</v>
      </c>
      <c r="L10" s="343" cm="1">
        <f t="array" ref="L10">INDEX(L12:L14,$D$7)</f>
        <v>5.0000000000000001E-3</v>
      </c>
      <c r="N10" s="800">
        <f>'Inputs-R'!Q10</f>
        <v>1</v>
      </c>
    </row>
    <row r="11" spans="1:14" s="18" customFormat="1" ht="15" customHeight="1" outlineLevel="1">
      <c r="C11" s="101"/>
      <c r="D11" s="101"/>
      <c r="E11" s="101"/>
      <c r="F11" s="101"/>
      <c r="G11" s="349"/>
      <c r="H11" s="351"/>
      <c r="I11" s="347"/>
      <c r="J11" s="346"/>
      <c r="K11" s="346"/>
      <c r="L11" s="346"/>
      <c r="N11" s="814"/>
    </row>
    <row r="12" spans="1:14" s="18" customFormat="1" ht="15" customHeight="1" outlineLevel="1">
      <c r="B12" s="322" t="str">
        <f>Outputs!D14</f>
        <v>Best Case</v>
      </c>
      <c r="C12" s="350"/>
      <c r="D12" s="101"/>
      <c r="E12" s="101"/>
      <c r="F12" s="101"/>
      <c r="G12" s="338">
        <v>0.03</v>
      </c>
      <c r="H12" s="337">
        <v>0.02</v>
      </c>
      <c r="I12" s="337">
        <v>0.02</v>
      </c>
      <c r="J12" s="337">
        <v>1.4999999999999999E-2</v>
      </c>
      <c r="K12" s="337">
        <v>1.4999999999999999E-2</v>
      </c>
      <c r="L12" s="336">
        <v>0.01</v>
      </c>
      <c r="N12" s="814"/>
    </row>
    <row r="13" spans="1:14" s="18" customFormat="1" ht="15" customHeight="1" outlineLevel="1">
      <c r="B13" s="322" t="str">
        <f>Outputs!D15</f>
        <v>Base Case</v>
      </c>
      <c r="C13" s="101"/>
      <c r="D13" s="101"/>
      <c r="E13" s="101"/>
      <c r="F13" s="101"/>
      <c r="G13" s="335">
        <v>0.02</v>
      </c>
      <c r="H13" s="250">
        <v>0.01</v>
      </c>
      <c r="I13" s="250">
        <v>0.01</v>
      </c>
      <c r="J13" s="250">
        <v>5.0000000000000001E-3</v>
      </c>
      <c r="K13" s="250">
        <v>5.0000000000000001E-3</v>
      </c>
      <c r="L13" s="334">
        <v>5.0000000000000001E-3</v>
      </c>
      <c r="N13" s="814"/>
    </row>
    <row r="14" spans="1:14" s="18" customFormat="1" ht="15" customHeight="1" outlineLevel="1">
      <c r="B14" s="322" t="str">
        <f>Outputs!D16</f>
        <v>Worst Case</v>
      </c>
      <c r="C14" s="101"/>
      <c r="D14" s="101"/>
      <c r="E14" s="101"/>
      <c r="F14" s="101"/>
      <c r="G14" s="333">
        <v>0.01</v>
      </c>
      <c r="H14" s="249">
        <v>0.01</v>
      </c>
      <c r="I14" s="249">
        <v>5.0000000000000001E-3</v>
      </c>
      <c r="J14" s="249">
        <v>5.0000000000000001E-3</v>
      </c>
      <c r="K14" s="249">
        <v>5.0000000000000001E-3</v>
      </c>
      <c r="L14" s="332">
        <v>5.0000000000000001E-3</v>
      </c>
      <c r="N14" s="814"/>
    </row>
    <row r="15" spans="1:14" s="18" customFormat="1" ht="15" customHeight="1" outlineLevel="1">
      <c r="B15" s="114"/>
      <c r="C15" s="317"/>
      <c r="D15" s="317"/>
      <c r="E15" s="317"/>
      <c r="F15" s="317"/>
      <c r="G15" s="349"/>
      <c r="H15" s="348"/>
      <c r="I15" s="347"/>
      <c r="J15" s="346"/>
      <c r="K15" s="346"/>
      <c r="L15" s="346"/>
      <c r="N15" s="814"/>
    </row>
    <row r="16" spans="1:14" s="18" customFormat="1" ht="15" customHeight="1" outlineLevel="1">
      <c r="B16" s="114"/>
      <c r="C16" s="317"/>
      <c r="D16" s="317"/>
      <c r="E16" s="317"/>
      <c r="F16" s="317"/>
      <c r="G16" s="349"/>
      <c r="H16" s="348"/>
      <c r="I16" s="347"/>
      <c r="J16" s="346"/>
      <c r="K16" s="346"/>
      <c r="L16" s="346"/>
      <c r="N16" s="814"/>
    </row>
    <row r="17" spans="2:14" s="18" customFormat="1" ht="15" customHeight="1" outlineLevel="1">
      <c r="B17" s="315" t="s">
        <v>128</v>
      </c>
      <c r="C17" s="317"/>
      <c r="D17" s="317"/>
      <c r="E17" s="317"/>
      <c r="F17" s="317"/>
      <c r="G17" s="345" cm="1">
        <f t="array" ref="G17">INDEX(G19:G21,$D$7)</f>
        <v>0.03</v>
      </c>
      <c r="H17" s="344" cm="1">
        <f t="array" ref="H17">INDEX(H19:H21,$D$7)</f>
        <v>0.01</v>
      </c>
      <c r="I17" s="344" cm="1">
        <f t="array" ref="I17">INDEX(I19:I21,$D$7)</f>
        <v>0.01</v>
      </c>
      <c r="J17" s="344" cm="1">
        <f t="array" ref="J17">INDEX(J19:J21,$D$7)</f>
        <v>0.01</v>
      </c>
      <c r="K17" s="344" cm="1">
        <f t="array" ref="K17">INDEX(K19:K21,$D$7)</f>
        <v>5.0000000000000001E-3</v>
      </c>
      <c r="L17" s="343" cm="1">
        <f t="array" ref="L17">INDEX(L19:L21,$D$7)</f>
        <v>5.0000000000000001E-3</v>
      </c>
      <c r="N17" s="800">
        <f>'Inputs-R'!Q17</f>
        <v>1</v>
      </c>
    </row>
    <row r="18" spans="2:14" s="18" customFormat="1" ht="15" customHeight="1" outlineLevel="1">
      <c r="B18" s="114"/>
      <c r="C18" s="317"/>
      <c r="D18" s="317"/>
      <c r="E18" s="317"/>
      <c r="F18" s="317"/>
      <c r="G18" s="342"/>
      <c r="H18" s="341"/>
      <c r="I18" s="340"/>
      <c r="J18" s="339"/>
      <c r="K18" s="339"/>
      <c r="L18" s="339"/>
      <c r="N18" s="814"/>
    </row>
    <row r="19" spans="2:14" s="18" customFormat="1" ht="15" customHeight="1" outlineLevel="1">
      <c r="B19" s="322" t="str">
        <f>$B$12</f>
        <v>Best Case</v>
      </c>
      <c r="C19" s="101"/>
      <c r="D19" s="101"/>
      <c r="E19" s="101"/>
      <c r="F19" s="101"/>
      <c r="G19" s="338">
        <v>3.5000000000000003E-2</v>
      </c>
      <c r="H19" s="337">
        <v>0.02</v>
      </c>
      <c r="I19" s="337">
        <v>0.02</v>
      </c>
      <c r="J19" s="337">
        <v>0.02</v>
      </c>
      <c r="K19" s="337">
        <v>1.4999999999999999E-2</v>
      </c>
      <c r="L19" s="336">
        <v>8.0000000000000002E-3</v>
      </c>
      <c r="N19" s="814"/>
    </row>
    <row r="20" spans="2:14" s="18" customFormat="1" ht="15" customHeight="1" outlineLevel="1">
      <c r="B20" s="322" t="str">
        <f>$B$13</f>
        <v>Base Case</v>
      </c>
      <c r="C20" s="101"/>
      <c r="D20" s="101"/>
      <c r="E20" s="101"/>
      <c r="F20" s="101"/>
      <c r="G20" s="335">
        <v>0.03</v>
      </c>
      <c r="H20" s="250">
        <v>0.01</v>
      </c>
      <c r="I20" s="250">
        <v>0.01</v>
      </c>
      <c r="J20" s="250">
        <v>0.01</v>
      </c>
      <c r="K20" s="250">
        <v>5.0000000000000001E-3</v>
      </c>
      <c r="L20" s="334">
        <v>5.0000000000000001E-3</v>
      </c>
      <c r="N20" s="814"/>
    </row>
    <row r="21" spans="2:14" s="18" customFormat="1" ht="15" customHeight="1" outlineLevel="1">
      <c r="B21" s="322" t="str">
        <f>$B$14</f>
        <v>Worst Case</v>
      </c>
      <c r="C21" s="101"/>
      <c r="D21" s="101"/>
      <c r="E21" s="101"/>
      <c r="F21" s="101"/>
      <c r="G21" s="333">
        <v>0.01</v>
      </c>
      <c r="H21" s="249">
        <v>0.01</v>
      </c>
      <c r="I21" s="249">
        <v>5.0000000000000001E-3</v>
      </c>
      <c r="J21" s="249">
        <v>5.0000000000000001E-3</v>
      </c>
      <c r="K21" s="249">
        <v>5.0000000000000001E-3</v>
      </c>
      <c r="L21" s="332">
        <v>5.0000000000000001E-3</v>
      </c>
      <c r="N21" s="814"/>
    </row>
    <row r="22" spans="2:14" s="18" customFormat="1" ht="15" customHeight="1" outlineLevel="1">
      <c r="B22" s="180"/>
      <c r="C22" s="180"/>
      <c r="D22" s="180"/>
      <c r="E22" s="180"/>
      <c r="F22" s="180"/>
      <c r="G22" s="180"/>
      <c r="H22" s="180"/>
      <c r="I22" s="180"/>
      <c r="J22" s="180"/>
      <c r="K22" s="180"/>
      <c r="L22" s="180"/>
      <c r="N22" s="814"/>
    </row>
    <row r="23" spans="2:14" s="18" customFormat="1" ht="15" customHeight="1" outlineLevel="1">
      <c r="C23" s="317"/>
      <c r="D23" s="317"/>
      <c r="E23" s="317"/>
      <c r="F23" s="317"/>
      <c r="G23" s="180"/>
      <c r="H23" s="180"/>
      <c r="I23" s="180"/>
      <c r="J23" s="180"/>
      <c r="K23" s="180"/>
      <c r="L23" s="180"/>
      <c r="N23" s="814"/>
    </row>
    <row r="24" spans="2:14" s="18" customFormat="1" ht="15" customHeight="1" outlineLevel="1">
      <c r="B24" s="315" t="s">
        <v>127</v>
      </c>
      <c r="C24" s="317"/>
      <c r="D24" s="317"/>
      <c r="E24" s="317"/>
      <c r="F24" s="317"/>
      <c r="G24" s="331" cm="1">
        <f t="array" ref="G24">INDEX(G26:G28,$D$7)</f>
        <v>4550</v>
      </c>
      <c r="H24" s="330" cm="1">
        <f t="array" ref="H24">INDEX(H26:H28,$D$7)</f>
        <v>4700</v>
      </c>
      <c r="I24" s="330" cm="1">
        <f t="array" ref="I24">INDEX(I26:I28,$D$7)</f>
        <v>4850</v>
      </c>
      <c r="J24" s="330" cm="1">
        <f t="array" ref="J24">INDEX(J26:J28,$D$7)</f>
        <v>5000</v>
      </c>
      <c r="K24" s="330" cm="1">
        <f t="array" ref="K24">INDEX(K26:K28,$D$7)</f>
        <v>5125</v>
      </c>
      <c r="L24" s="329" cm="1">
        <f t="array" ref="L24">INDEX(L26:L28,$D$7)</f>
        <v>5300</v>
      </c>
      <c r="N24" s="800">
        <f>'Inputs-R'!Q24</f>
        <v>1</v>
      </c>
    </row>
    <row r="25" spans="2:14" s="18" customFormat="1" ht="15" customHeight="1" outlineLevel="1">
      <c r="B25" s="114"/>
      <c r="C25" s="317"/>
      <c r="D25" s="317"/>
      <c r="E25" s="317"/>
      <c r="F25" s="317"/>
      <c r="G25" s="328"/>
      <c r="H25" s="327"/>
      <c r="I25" s="326"/>
      <c r="J25" s="325"/>
      <c r="K25" s="325"/>
      <c r="L25" s="325"/>
      <c r="N25" s="814"/>
    </row>
    <row r="26" spans="2:14" s="18" customFormat="1" ht="15" customHeight="1" outlineLevel="1">
      <c r="B26" s="322" t="str">
        <f>$B$12</f>
        <v>Best Case</v>
      </c>
      <c r="C26" s="101"/>
      <c r="D26" s="101"/>
      <c r="E26" s="101"/>
      <c r="F26" s="101"/>
      <c r="G26" s="314">
        <v>4000</v>
      </c>
      <c r="H26" s="313">
        <v>4300</v>
      </c>
      <c r="I26" s="313">
        <v>4400</v>
      </c>
      <c r="J26" s="313">
        <v>4600</v>
      </c>
      <c r="K26" s="313">
        <v>4800</v>
      </c>
      <c r="L26" s="324">
        <v>4900</v>
      </c>
      <c r="N26" s="814"/>
    </row>
    <row r="27" spans="2:14" s="18" customFormat="1" ht="15" customHeight="1" outlineLevel="1">
      <c r="B27" s="322" t="str">
        <f>$B$13</f>
        <v>Base Case</v>
      </c>
      <c r="C27" s="101"/>
      <c r="D27" s="101"/>
      <c r="E27" s="101"/>
      <c r="F27" s="101"/>
      <c r="G27" s="311">
        <v>4550</v>
      </c>
      <c r="H27" s="273">
        <v>4700</v>
      </c>
      <c r="I27" s="273">
        <v>4850</v>
      </c>
      <c r="J27" s="273">
        <v>5000</v>
      </c>
      <c r="K27" s="273">
        <v>5125</v>
      </c>
      <c r="L27" s="323">
        <v>5300</v>
      </c>
      <c r="N27" s="814"/>
    </row>
    <row r="28" spans="2:14" s="18" customFormat="1" ht="15" customHeight="1" outlineLevel="1">
      <c r="B28" s="322" t="str">
        <f>$B$14</f>
        <v>Worst Case</v>
      </c>
      <c r="C28" s="101"/>
      <c r="D28" s="101"/>
      <c r="E28" s="101"/>
      <c r="F28" s="101"/>
      <c r="G28" s="308">
        <v>5000</v>
      </c>
      <c r="H28" s="307">
        <v>5200</v>
      </c>
      <c r="I28" s="307">
        <v>5400</v>
      </c>
      <c r="J28" s="307">
        <v>5500</v>
      </c>
      <c r="K28" s="307">
        <v>5600</v>
      </c>
      <c r="L28" s="321">
        <v>5800</v>
      </c>
      <c r="N28" s="814"/>
    </row>
    <row r="29" spans="2:14" s="18" customFormat="1" ht="15" customHeight="1" outlineLevel="1">
      <c r="B29" s="180"/>
      <c r="C29" s="180"/>
      <c r="D29" s="180"/>
      <c r="E29" s="180"/>
      <c r="F29" s="180"/>
      <c r="G29" s="180"/>
      <c r="H29" s="180"/>
      <c r="I29" s="180"/>
      <c r="J29" s="180"/>
      <c r="K29" s="180"/>
      <c r="L29" s="180"/>
      <c r="N29" s="814"/>
    </row>
    <row r="30" spans="2:14" s="18" customFormat="1" ht="15" customHeight="1" outlineLevel="1">
      <c r="B30" s="180"/>
      <c r="C30" s="180"/>
      <c r="D30" s="180"/>
      <c r="E30" s="180"/>
      <c r="F30" s="180"/>
      <c r="G30" s="180"/>
      <c r="H30" s="180"/>
      <c r="I30" s="180"/>
      <c r="J30" s="180"/>
      <c r="K30" s="180"/>
      <c r="L30" s="180"/>
      <c r="N30" s="814"/>
    </row>
    <row r="31" spans="2:14" s="18" customFormat="1" ht="15" customHeight="1" outlineLevel="1">
      <c r="B31" s="315" t="s">
        <v>126</v>
      </c>
      <c r="C31" s="317"/>
      <c r="D31" s="317"/>
      <c r="E31" s="317"/>
      <c r="F31" s="317"/>
      <c r="G31" s="320">
        <v>3.5000000000000003E-2</v>
      </c>
      <c r="H31" s="319">
        <v>0.03</v>
      </c>
      <c r="I31" s="319">
        <v>0.03</v>
      </c>
      <c r="J31" s="319">
        <v>2.5000000000000001E-2</v>
      </c>
      <c r="K31" s="319">
        <v>2.5000000000000001E-2</v>
      </c>
      <c r="L31" s="318">
        <v>1.4999999999999999E-2</v>
      </c>
      <c r="N31" s="814"/>
    </row>
    <row r="32" spans="2:14" s="18" customFormat="1" ht="15" customHeight="1" outlineLevel="1">
      <c r="B32" s="114"/>
      <c r="C32" s="317"/>
      <c r="D32" s="317"/>
      <c r="E32" s="317"/>
      <c r="F32" s="317"/>
      <c r="G32" s="316"/>
      <c r="H32" s="316"/>
      <c r="I32" s="316"/>
      <c r="J32" s="316"/>
      <c r="K32" s="316"/>
      <c r="L32" s="316"/>
      <c r="N32" s="814"/>
    </row>
    <row r="33" spans="1:14" s="18" customFormat="1" ht="15" customHeight="1" outlineLevel="1">
      <c r="B33" s="114"/>
      <c r="C33" s="317"/>
      <c r="D33" s="317"/>
      <c r="E33" s="317"/>
      <c r="F33" s="317"/>
      <c r="G33" s="316"/>
      <c r="H33" s="316"/>
      <c r="I33" s="316"/>
      <c r="J33" s="316"/>
      <c r="K33" s="316"/>
      <c r="L33" s="316"/>
      <c r="N33" s="814"/>
    </row>
    <row r="34" spans="1:14" s="18" customFormat="1" ht="15" customHeight="1" outlineLevel="1">
      <c r="B34" s="315" t="s">
        <v>125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N34" s="814"/>
    </row>
    <row r="35" spans="1:14" s="18" customFormat="1" ht="15" customHeight="1" outlineLevel="1">
      <c r="B35" s="309" t="s">
        <v>124</v>
      </c>
      <c r="C35" s="180"/>
      <c r="D35" s="180"/>
      <c r="E35" s="213" t="s">
        <v>121</v>
      </c>
      <c r="F35" s="180"/>
      <c r="G35" s="314">
        <v>45</v>
      </c>
      <c r="H35" s="313">
        <v>45</v>
      </c>
      <c r="I35" s="313">
        <v>45</v>
      </c>
      <c r="J35" s="313">
        <v>45</v>
      </c>
      <c r="K35" s="313">
        <v>45</v>
      </c>
      <c r="L35" s="312">
        <f>K35</f>
        <v>45</v>
      </c>
      <c r="N35" s="800">
        <f>'Inputs-R'!Q35</f>
        <v>1</v>
      </c>
    </row>
    <row r="36" spans="1:14" s="18" customFormat="1" ht="15" customHeight="1" outlineLevel="1">
      <c r="B36" s="309" t="s">
        <v>123</v>
      </c>
      <c r="C36" s="180"/>
      <c r="D36" s="180"/>
      <c r="E36" s="213" t="s">
        <v>121</v>
      </c>
      <c r="F36" s="180"/>
      <c r="G36" s="311">
        <v>25</v>
      </c>
      <c r="H36" s="273">
        <v>25</v>
      </c>
      <c r="I36" s="273">
        <v>25</v>
      </c>
      <c r="J36" s="273">
        <v>25</v>
      </c>
      <c r="K36" s="273">
        <v>25</v>
      </c>
      <c r="L36" s="310">
        <f t="shared" ref="L36:L37" si="0">K36</f>
        <v>25</v>
      </c>
      <c r="N36" s="800">
        <f>'Inputs-R'!Q36</f>
        <v>1</v>
      </c>
    </row>
    <row r="37" spans="1:14" s="18" customFormat="1" ht="15" customHeight="1" outlineLevel="1">
      <c r="B37" s="309" t="s">
        <v>122</v>
      </c>
      <c r="C37" s="180"/>
      <c r="D37" s="180"/>
      <c r="E37" s="213" t="s">
        <v>121</v>
      </c>
      <c r="F37" s="180"/>
      <c r="G37" s="308">
        <v>40</v>
      </c>
      <c r="H37" s="307">
        <v>40</v>
      </c>
      <c r="I37" s="307">
        <v>40</v>
      </c>
      <c r="J37" s="307">
        <v>40</v>
      </c>
      <c r="K37" s="307">
        <v>40</v>
      </c>
      <c r="L37" s="306">
        <f t="shared" si="0"/>
        <v>40</v>
      </c>
      <c r="N37" s="800">
        <f>'Inputs-R'!Q37</f>
        <v>1</v>
      </c>
    </row>
    <row r="38" spans="1:14" s="18" customFormat="1" ht="15" customHeight="1" outlineLevel="1">
      <c r="C38" s="180"/>
      <c r="D38" s="180"/>
      <c r="E38" s="180"/>
      <c r="F38" s="180"/>
      <c r="G38" s="180"/>
      <c r="H38" s="180"/>
      <c r="I38" s="180"/>
      <c r="J38" s="180"/>
      <c r="K38" s="180"/>
      <c r="L38" s="180"/>
    </row>
    <row r="39" spans="1:14" s="18" customFormat="1" ht="15" customHeight="1" outlineLevel="1">
      <c r="B39" s="305"/>
      <c r="C39" s="180"/>
      <c r="D39" s="180"/>
      <c r="E39" s="180"/>
      <c r="F39" s="180"/>
      <c r="G39" s="180"/>
      <c r="H39" s="180"/>
      <c r="I39" s="180"/>
      <c r="J39" s="180"/>
      <c r="K39" s="180"/>
      <c r="L39" s="180"/>
    </row>
    <row r="40" spans="1:14" s="131" customFormat="1" ht="15" customHeight="1" outlineLevel="1">
      <c r="B40" s="689" t="str">
        <f>'Inputs-R'!Q39</f>
        <v>COMPLETE</v>
      </c>
      <c r="C40" s="140"/>
      <c r="D40" s="132"/>
      <c r="E40" s="132"/>
      <c r="F40" s="132"/>
      <c r="G40" s="132"/>
      <c r="H40" s="132"/>
      <c r="I40" s="136"/>
      <c r="J40" s="136"/>
      <c r="K40" s="136"/>
      <c r="L40" s="38" t="s">
        <v>120</v>
      </c>
    </row>
    <row r="41" spans="1:14" s="18" customFormat="1" ht="15" customHeight="1" outlineLevel="1">
      <c r="B41" s="101"/>
      <c r="C41" s="101"/>
      <c r="D41" s="101"/>
      <c r="E41" s="101"/>
      <c r="F41" s="101"/>
      <c r="G41" s="101"/>
      <c r="H41" s="225"/>
      <c r="I41" s="225"/>
      <c r="J41" s="225"/>
      <c r="K41" s="225"/>
      <c r="L41" s="225"/>
      <c r="M41" s="225"/>
    </row>
    <row r="42" spans="1:14" s="18" customFormat="1" ht="15" customHeight="1" outlineLevel="1">
      <c r="B42" s="227"/>
      <c r="C42" s="227"/>
      <c r="D42" s="227"/>
      <c r="E42" s="227"/>
      <c r="F42" s="227"/>
      <c r="G42" s="227"/>
      <c r="H42" s="226"/>
      <c r="I42" s="226"/>
      <c r="J42" s="226"/>
      <c r="K42" s="226"/>
      <c r="L42" s="226"/>
      <c r="M42" s="225"/>
    </row>
    <row r="43" spans="1:14" s="18" customFormat="1" ht="15" customHeight="1">
      <c r="B43" s="101"/>
      <c r="C43" s="101"/>
      <c r="D43" s="101"/>
      <c r="E43" s="101"/>
      <c r="F43" s="101"/>
      <c r="G43" s="101"/>
      <c r="H43" s="225"/>
      <c r="I43" s="225"/>
      <c r="J43" s="225"/>
      <c r="K43" s="225"/>
      <c r="L43" s="225"/>
      <c r="M43" s="225"/>
    </row>
    <row r="44" spans="1:14" ht="15" customHeight="1">
      <c r="A44" s="131" t="s">
        <v>0</v>
      </c>
      <c r="B44" s="144" t="s">
        <v>74</v>
      </c>
      <c r="C44" s="143"/>
      <c r="D44" s="143"/>
      <c r="E44" s="143"/>
      <c r="F44" s="142"/>
      <c r="G44" s="141"/>
      <c r="H44" s="141"/>
      <c r="I44" s="141"/>
      <c r="J44" s="141"/>
      <c r="K44" s="141"/>
      <c r="L44" s="141"/>
      <c r="M44" s="138"/>
    </row>
    <row r="45" spans="1:14" ht="15" customHeight="1" outlineLevel="1">
      <c r="A45" s="131"/>
      <c r="B45" s="304"/>
      <c r="C45" s="140"/>
      <c r="D45" s="140"/>
      <c r="E45" s="140"/>
      <c r="F45" s="139"/>
      <c r="G45" s="138"/>
      <c r="H45" s="138"/>
      <c r="I45" s="138"/>
      <c r="J45" s="138"/>
      <c r="K45" s="138"/>
      <c r="L45" s="138"/>
      <c r="M45" s="138"/>
    </row>
    <row r="46" spans="1:14" ht="15" customHeight="1" outlineLevel="1">
      <c r="A46" s="131"/>
      <c r="B46" s="122" t="s">
        <v>40</v>
      </c>
      <c r="C46" s="140"/>
      <c r="D46" s="140"/>
      <c r="E46" s="140"/>
      <c r="F46" s="132"/>
      <c r="G46" s="132"/>
      <c r="H46" s="132"/>
      <c r="I46" s="136"/>
      <c r="J46" s="136"/>
      <c r="K46" s="136"/>
      <c r="L46" s="136"/>
      <c r="M46" s="136"/>
    </row>
    <row r="47" spans="1:14" ht="15" customHeight="1" outlineLevel="1">
      <c r="A47" s="131"/>
      <c r="C47" s="140"/>
      <c r="D47" s="140"/>
      <c r="E47" s="140"/>
      <c r="F47" s="132"/>
      <c r="G47" s="221"/>
      <c r="H47" s="221"/>
      <c r="I47" s="220"/>
      <c r="J47" s="220"/>
      <c r="K47" s="220"/>
      <c r="L47" s="220"/>
      <c r="M47" s="220"/>
    </row>
    <row r="48" spans="1:14" ht="15" customHeight="1" outlineLevel="1">
      <c r="A48" s="131"/>
      <c r="B48" s="303"/>
      <c r="C48" s="302"/>
      <c r="D48" s="302"/>
      <c r="E48" s="302"/>
      <c r="F48" s="301"/>
      <c r="G48" s="300"/>
      <c r="H48" s="298" t="s">
        <v>103</v>
      </c>
      <c r="I48" s="299" t="s">
        <v>119</v>
      </c>
      <c r="J48" s="299" t="s">
        <v>119</v>
      </c>
      <c r="K48" s="298" t="s">
        <v>118</v>
      </c>
      <c r="L48" s="297" t="s">
        <v>117</v>
      </c>
    </row>
    <row r="49" spans="1:14" ht="21.75" customHeight="1" outlineLevel="1" thickBot="1">
      <c r="A49" s="131"/>
      <c r="B49" s="114" t="s">
        <v>116</v>
      </c>
      <c r="C49" s="114"/>
      <c r="D49" s="296" t="s">
        <v>115</v>
      </c>
      <c r="E49" s="114"/>
      <c r="F49" s="295" t="s">
        <v>114</v>
      </c>
      <c r="G49" s="295" t="s">
        <v>36</v>
      </c>
      <c r="H49" s="695" t="s">
        <v>113</v>
      </c>
      <c r="I49" s="696" t="s">
        <v>36</v>
      </c>
      <c r="J49" s="696" t="s">
        <v>112</v>
      </c>
      <c r="K49" s="695" t="s">
        <v>111</v>
      </c>
      <c r="L49" s="695" t="s">
        <v>110</v>
      </c>
    </row>
    <row r="50" spans="1:14" ht="15" customHeight="1" outlineLevel="1">
      <c r="A50" s="131"/>
      <c r="B50" s="292"/>
      <c r="C50" s="292"/>
      <c r="D50" s="292"/>
      <c r="E50" s="292"/>
      <c r="F50" s="288"/>
      <c r="G50" s="288"/>
      <c r="H50" s="694"/>
    </row>
    <row r="51" spans="1:14" ht="15" customHeight="1" outlineLevel="1">
      <c r="A51" s="131"/>
      <c r="B51" s="287" t="s">
        <v>109</v>
      </c>
      <c r="C51" s="193"/>
      <c r="D51" s="286" t="s">
        <v>104</v>
      </c>
      <c r="E51" s="286"/>
      <c r="F51" s="273">
        <v>63702</v>
      </c>
      <c r="G51" s="273">
        <v>375499.31244000001</v>
      </c>
      <c r="H51" s="285">
        <v>0.315</v>
      </c>
      <c r="I51" s="284">
        <f>F51/G51</f>
        <v>0.16964611622339193</v>
      </c>
      <c r="J51" s="284">
        <f>F51/(F51+G51)</f>
        <v>0.14504055018893514</v>
      </c>
      <c r="K51" s="283">
        <v>0.85</v>
      </c>
      <c r="L51" s="282">
        <f>K51/(1+(1-H51)*I51)</f>
        <v>0.76150709591097243</v>
      </c>
    </row>
    <row r="52" spans="1:14" ht="15" customHeight="1" outlineLevel="1">
      <c r="A52" s="131"/>
      <c r="B52" s="287" t="s">
        <v>108</v>
      </c>
      <c r="C52" s="193"/>
      <c r="D52" s="286" t="s">
        <v>104</v>
      </c>
      <c r="E52" s="286"/>
      <c r="F52" s="273">
        <v>43422</v>
      </c>
      <c r="G52" s="273">
        <v>311425.20292000001</v>
      </c>
      <c r="H52" s="285">
        <v>0.32200000000000001</v>
      </c>
      <c r="I52" s="284">
        <f t="shared" ref="I52:I55" si="1">F52/G52</f>
        <v>0.13942994848478718</v>
      </c>
      <c r="J52" s="284">
        <f t="shared" ref="J52:J55" si="2">F52/(F52+G52)</f>
        <v>0.12236816196572768</v>
      </c>
      <c r="K52" s="283">
        <v>1.01098</v>
      </c>
      <c r="L52" s="282">
        <f t="shared" ref="L52:L55" si="3">K52/(1+(1-H52)*I52)</f>
        <v>0.92366290781830651</v>
      </c>
    </row>
    <row r="53" spans="1:14" ht="15" customHeight="1" outlineLevel="1">
      <c r="A53" s="131"/>
      <c r="B53" s="287" t="s">
        <v>107</v>
      </c>
      <c r="C53" s="193"/>
      <c r="D53" s="286" t="s">
        <v>104</v>
      </c>
      <c r="E53" s="286"/>
      <c r="F53" s="273">
        <v>26211</v>
      </c>
      <c r="G53" s="273">
        <v>131995.55592000001</v>
      </c>
      <c r="H53" s="285">
        <v>0.31900000000000001</v>
      </c>
      <c r="I53" s="284">
        <f t="shared" si="1"/>
        <v>0.19857486729239571</v>
      </c>
      <c r="J53" s="284">
        <f t="shared" si="2"/>
        <v>0.16567581442866416</v>
      </c>
      <c r="K53" s="283">
        <v>1.3357300000000001</v>
      </c>
      <c r="L53" s="282">
        <f t="shared" si="3"/>
        <v>1.1766167264761553</v>
      </c>
    </row>
    <row r="54" spans="1:14" ht="15" customHeight="1" outlineLevel="1">
      <c r="A54" s="131"/>
      <c r="B54" s="287" t="s">
        <v>106</v>
      </c>
      <c r="C54" s="193"/>
      <c r="D54" s="286" t="s">
        <v>104</v>
      </c>
      <c r="E54" s="286"/>
      <c r="F54" s="273">
        <v>15109</v>
      </c>
      <c r="G54" s="273">
        <v>95746.137521500015</v>
      </c>
      <c r="H54" s="285">
        <v>0.33</v>
      </c>
      <c r="I54" s="284">
        <f t="shared" si="1"/>
        <v>0.15780271028277501</v>
      </c>
      <c r="J54" s="284">
        <f t="shared" si="2"/>
        <v>0.13629499126343744</v>
      </c>
      <c r="K54" s="283">
        <v>0.99399000000000004</v>
      </c>
      <c r="L54" s="282">
        <f t="shared" si="3"/>
        <v>0.89894636430071528</v>
      </c>
    </row>
    <row r="55" spans="1:14" ht="15" customHeight="1" outlineLevel="1">
      <c r="A55" s="131"/>
      <c r="B55" s="281" t="s">
        <v>105</v>
      </c>
      <c r="C55" s="281"/>
      <c r="D55" s="280" t="s">
        <v>104</v>
      </c>
      <c r="E55" s="280"/>
      <c r="F55" s="279">
        <v>95234</v>
      </c>
      <c r="G55" s="279">
        <v>666540.62970659998</v>
      </c>
      <c r="H55" s="285">
        <v>0.30199999999999999</v>
      </c>
      <c r="I55" s="284">
        <f t="shared" si="1"/>
        <v>0.14287801186541382</v>
      </c>
      <c r="J55" s="284">
        <f t="shared" si="2"/>
        <v>0.12501597754270144</v>
      </c>
      <c r="K55" s="283">
        <v>0.88324000000000003</v>
      </c>
      <c r="L55" s="282">
        <f t="shared" si="3"/>
        <v>0.80314342773419056</v>
      </c>
    </row>
    <row r="56" spans="1:14" ht="15" customHeight="1" outlineLevel="1">
      <c r="A56" s="131"/>
      <c r="C56" s="274"/>
      <c r="D56" s="104"/>
      <c r="E56" s="104"/>
      <c r="F56" s="273"/>
      <c r="G56" s="273"/>
      <c r="H56" s="692"/>
      <c r="I56" s="693">
        <f>'Inputs-R'!Q51</f>
        <v>1</v>
      </c>
      <c r="J56" s="693">
        <f>'Inputs-R'!U51</f>
        <v>1</v>
      </c>
      <c r="K56" s="815"/>
      <c r="L56" s="693">
        <f>'Inputs-R'!Y51</f>
        <v>1</v>
      </c>
    </row>
    <row r="57" spans="1:14" ht="15" customHeight="1" outlineLevel="1">
      <c r="A57" s="131"/>
      <c r="B57" s="122"/>
      <c r="C57" s="140"/>
      <c r="D57" s="140"/>
      <c r="E57" s="140"/>
      <c r="F57" s="132"/>
      <c r="G57" s="269" t="s">
        <v>103</v>
      </c>
      <c r="H57" s="268">
        <f>AVERAGE(H51:H55)</f>
        <v>0.31759999999999999</v>
      </c>
      <c r="I57" s="267">
        <f>AVERAGE(I51:I55)</f>
        <v>0.16166633082975274</v>
      </c>
      <c r="J57" s="267">
        <f>AVERAGE(J51:J55)</f>
        <v>0.13887909907789317</v>
      </c>
      <c r="K57" s="266">
        <f>AVERAGE(K51:K55)</f>
        <v>1.014788</v>
      </c>
      <c r="L57" s="266">
        <f>AVERAGE(L51:L55)</f>
        <v>0.91277530444806809</v>
      </c>
    </row>
    <row r="58" spans="1:14" ht="15" customHeight="1" outlineLevel="1">
      <c r="A58" s="131"/>
      <c r="B58" s="122"/>
      <c r="C58" s="140"/>
      <c r="D58" s="140"/>
      <c r="E58" s="140"/>
      <c r="F58" s="132"/>
      <c r="G58" s="265" t="s">
        <v>102</v>
      </c>
      <c r="H58" s="264">
        <f>MEDIAN(H51:H55)</f>
        <v>0.31900000000000001</v>
      </c>
      <c r="I58" s="263">
        <f>MEDIAN(I51:I55)</f>
        <v>0.15780271028277501</v>
      </c>
      <c r="J58" s="263">
        <f>MEDIAN(J51:J55)</f>
        <v>0.13629499126343744</v>
      </c>
      <c r="K58" s="262">
        <f>MEDIAN(K51:K55)</f>
        <v>0.99399000000000004</v>
      </c>
      <c r="L58" s="262">
        <f>MEDIAN(L51:L55)</f>
        <v>0.89894636430071528</v>
      </c>
    </row>
    <row r="59" spans="1:14" ht="15" customHeight="1" outlineLevel="1">
      <c r="A59" s="131"/>
      <c r="B59" s="122"/>
      <c r="C59" s="140"/>
      <c r="D59" s="140"/>
      <c r="E59" s="140"/>
      <c r="F59" s="132"/>
      <c r="G59" s="132"/>
      <c r="H59" s="261"/>
      <c r="I59" s="260"/>
      <c r="J59" s="260"/>
      <c r="K59" s="259"/>
      <c r="L59" s="259"/>
    </row>
    <row r="60" spans="1:14" ht="15" customHeight="1" outlineLevel="1">
      <c r="A60" s="131"/>
      <c r="B60" s="104"/>
      <c r="C60" s="140"/>
      <c r="D60" s="140"/>
      <c r="E60" s="140"/>
      <c r="F60" s="258"/>
      <c r="G60" s="257"/>
      <c r="H60" s="257"/>
      <c r="I60" s="256"/>
      <c r="J60" s="256"/>
      <c r="K60" s="256"/>
      <c r="L60" s="256"/>
      <c r="M60" s="256"/>
    </row>
    <row r="61" spans="1:14" ht="15" customHeight="1" outlineLevel="1">
      <c r="A61" s="131"/>
      <c r="B61" s="242" t="s">
        <v>101</v>
      </c>
      <c r="C61" s="35"/>
      <c r="D61" s="35"/>
      <c r="E61" s="35"/>
      <c r="F61" s="240"/>
      <c r="H61" s="242" t="s">
        <v>94</v>
      </c>
      <c r="I61" s="241"/>
      <c r="J61" s="35"/>
      <c r="K61" s="241"/>
      <c r="L61" s="240"/>
    </row>
    <row r="62" spans="1:14" s="102" customFormat="1" ht="15" customHeight="1" outlineLevel="1">
      <c r="B62" s="239"/>
      <c r="C62" s="239"/>
      <c r="D62" s="239"/>
      <c r="E62" s="239"/>
      <c r="F62" s="239"/>
      <c r="H62" s="239"/>
      <c r="I62" s="239"/>
      <c r="J62" s="239"/>
      <c r="K62" s="239"/>
      <c r="L62" s="239"/>
    </row>
    <row r="63" spans="1:14" s="102" customFormat="1" ht="15" customHeight="1" outlineLevel="1">
      <c r="B63" s="229" t="s">
        <v>100</v>
      </c>
      <c r="C63" s="34"/>
      <c r="D63" s="100"/>
      <c r="E63" s="100"/>
      <c r="F63" s="250">
        <v>4.7E-2</v>
      </c>
      <c r="H63" s="229" t="s">
        <v>99</v>
      </c>
      <c r="I63" s="34"/>
      <c r="J63" s="34"/>
      <c r="K63" s="34"/>
      <c r="L63" s="250">
        <v>2.4E-2</v>
      </c>
    </row>
    <row r="64" spans="1:14" ht="15" customHeight="1" outlineLevel="1">
      <c r="A64" s="131"/>
      <c r="B64" s="229" t="s">
        <v>98</v>
      </c>
      <c r="F64" s="255">
        <f>L57</f>
        <v>0.91277530444806809</v>
      </c>
      <c r="G64" s="800">
        <f>'Inputs-R'!Q64</f>
        <v>1</v>
      </c>
      <c r="H64" s="229" t="s">
        <v>95</v>
      </c>
      <c r="J64" s="102"/>
      <c r="L64" s="234">
        <f>F66</f>
        <v>4.8199905341354751E-2</v>
      </c>
      <c r="N64" s="800">
        <f>'Inputs-R'!U64</f>
        <v>1</v>
      </c>
    </row>
    <row r="65" spans="1:14" ht="15" customHeight="1" outlineLevel="1">
      <c r="A65" s="131"/>
      <c r="B65" s="254" t="s">
        <v>97</v>
      </c>
      <c r="F65" s="253">
        <f>F64*(1+(1-L73)*F77)</f>
        <v>1.0255299008798884</v>
      </c>
      <c r="G65" s="800">
        <f>'Inputs-R'!Q65</f>
        <v>1</v>
      </c>
      <c r="H65" s="229" t="s">
        <v>96</v>
      </c>
      <c r="L65" s="249">
        <v>3.5999999999999997E-2</v>
      </c>
      <c r="N65" s="799"/>
    </row>
    <row r="66" spans="1:14" ht="15" customHeight="1" outlineLevel="1">
      <c r="A66" s="131"/>
      <c r="B66" s="229" t="s">
        <v>95</v>
      </c>
      <c r="F66" s="234">
        <f>F65*F63</f>
        <v>4.8199905341354751E-2</v>
      </c>
      <c r="G66" s="800">
        <f>'Inputs-R'!Q66</f>
        <v>1</v>
      </c>
      <c r="H66" s="229" t="s">
        <v>94</v>
      </c>
      <c r="J66" s="102"/>
      <c r="L66" s="234">
        <f>SUM(L63:L65)</f>
        <v>0.10819990534135476</v>
      </c>
      <c r="N66" s="800">
        <f>'Inputs-R'!U66</f>
        <v>1</v>
      </c>
    </row>
    <row r="67" spans="1:14" ht="15" customHeight="1" outlineLevel="1">
      <c r="A67" s="131"/>
      <c r="G67" s="799"/>
      <c r="N67" s="799"/>
    </row>
    <row r="68" spans="1:14" s="102" customFormat="1" ht="15" customHeight="1" outlineLevel="1">
      <c r="G68" s="799"/>
      <c r="N68" s="799"/>
    </row>
    <row r="69" spans="1:14" s="102" customFormat="1" ht="15" customHeight="1" outlineLevel="1">
      <c r="G69" s="799"/>
      <c r="I69" s="252"/>
      <c r="K69" s="252"/>
      <c r="L69" s="252"/>
      <c r="N69" s="799"/>
    </row>
    <row r="70" spans="1:14" ht="15" customHeight="1" outlineLevel="1">
      <c r="A70" s="131"/>
      <c r="B70" s="242" t="s">
        <v>93</v>
      </c>
      <c r="C70" s="35"/>
      <c r="D70" s="35"/>
      <c r="E70" s="251"/>
      <c r="F70" s="251"/>
      <c r="G70" s="799"/>
      <c r="H70" s="242" t="s">
        <v>92</v>
      </c>
      <c r="I70" s="35"/>
      <c r="J70" s="35"/>
      <c r="K70" s="35"/>
      <c r="L70" s="240"/>
      <c r="N70" s="799"/>
    </row>
    <row r="71" spans="1:14" ht="15" customHeight="1" outlineLevel="1">
      <c r="A71" s="131"/>
      <c r="C71" s="239"/>
      <c r="D71" s="239"/>
      <c r="E71" s="239"/>
      <c r="F71" s="239"/>
      <c r="G71" s="799"/>
      <c r="H71" s="239"/>
      <c r="I71" s="239"/>
      <c r="J71" s="239"/>
      <c r="K71" s="239"/>
      <c r="L71" s="239"/>
      <c r="N71" s="799"/>
    </row>
    <row r="72" spans="1:14" ht="15" customHeight="1" outlineLevel="1" thickBot="1">
      <c r="A72" s="131"/>
      <c r="B72" s="122"/>
      <c r="E72" s="238" t="s">
        <v>91</v>
      </c>
      <c r="F72" s="238" t="s">
        <v>90</v>
      </c>
      <c r="G72" s="799"/>
      <c r="H72" s="229" t="s">
        <v>89</v>
      </c>
      <c r="I72" s="102"/>
      <c r="K72" s="102"/>
      <c r="L72" s="250">
        <v>5.1999999999999998E-2</v>
      </c>
      <c r="N72" s="799"/>
    </row>
    <row r="73" spans="1:14" ht="15" customHeight="1" outlineLevel="1">
      <c r="A73" s="131"/>
      <c r="B73" s="229" t="s">
        <v>88</v>
      </c>
      <c r="C73" s="102"/>
      <c r="D73" s="208">
        <v>19102</v>
      </c>
      <c r="E73" s="234">
        <f>D73/$D$75</f>
        <v>0.13153654404979961</v>
      </c>
      <c r="F73" s="250">
        <v>0.15</v>
      </c>
      <c r="G73" s="800">
        <f>'Inputs-R'!Q73</f>
        <v>1</v>
      </c>
      <c r="H73" s="229" t="s">
        <v>87</v>
      </c>
      <c r="L73" s="249">
        <v>0.3</v>
      </c>
      <c r="N73" s="799"/>
    </row>
    <row r="74" spans="1:14" ht="15" customHeight="1" outlineLevel="1">
      <c r="A74" s="131"/>
      <c r="B74" s="229" t="s">
        <v>86</v>
      </c>
      <c r="D74" s="248">
        <v>126120</v>
      </c>
      <c r="E74" s="247">
        <f>D74/$D$75</f>
        <v>0.86846345595020036</v>
      </c>
      <c r="F74" s="247">
        <f>F75-F73</f>
        <v>0.85</v>
      </c>
      <c r="G74" s="800">
        <f>'Inputs-R'!Q74</f>
        <v>1</v>
      </c>
      <c r="H74" s="229" t="s">
        <v>85</v>
      </c>
      <c r="L74" s="234">
        <f>L72*(1-L73)</f>
        <v>3.6399999999999995E-2</v>
      </c>
      <c r="N74" s="800">
        <f>'Inputs-R'!Y74</f>
        <v>1</v>
      </c>
    </row>
    <row r="75" spans="1:14" ht="15" customHeight="1" outlineLevel="1">
      <c r="A75" s="131"/>
      <c r="B75" s="229" t="s">
        <v>84</v>
      </c>
      <c r="D75" s="246">
        <f>SUM(D73:D74)</f>
        <v>145222</v>
      </c>
      <c r="E75" s="234">
        <f>D75/$D$75</f>
        <v>1</v>
      </c>
      <c r="F75" s="234">
        <v>1</v>
      </c>
      <c r="G75" s="800">
        <f>'Inputs-R'!Q75</f>
        <v>1</v>
      </c>
      <c r="N75" s="799"/>
    </row>
    <row r="76" spans="1:14" ht="15" customHeight="1" outlineLevel="1">
      <c r="A76" s="131"/>
      <c r="F76" s="132"/>
      <c r="G76" s="799"/>
      <c r="N76" s="799"/>
    </row>
    <row r="77" spans="1:14" ht="15" customHeight="1" outlineLevel="1">
      <c r="A77" s="131"/>
      <c r="B77" s="245" t="s">
        <v>83</v>
      </c>
      <c r="C77" s="244"/>
      <c r="D77" s="244"/>
      <c r="E77" s="243">
        <f>E73/E74</f>
        <v>0.15145892800507454</v>
      </c>
      <c r="F77" s="243">
        <f>F73/F74</f>
        <v>0.17647058823529413</v>
      </c>
      <c r="G77" s="800">
        <f>'Inputs-R'!Q77</f>
        <v>1</v>
      </c>
      <c r="H77" s="242" t="s">
        <v>74</v>
      </c>
      <c r="I77" s="241"/>
      <c r="J77" s="35"/>
      <c r="K77" s="240"/>
      <c r="L77" s="35"/>
      <c r="N77" s="799"/>
    </row>
    <row r="78" spans="1:14" s="102" customFormat="1" ht="15" customHeight="1" outlineLevel="1">
      <c r="B78" s="114"/>
      <c r="C78" s="34"/>
      <c r="D78" s="34"/>
      <c r="E78" s="34"/>
      <c r="F78" s="34"/>
      <c r="G78" s="140"/>
      <c r="H78" s="239"/>
      <c r="I78" s="239"/>
      <c r="J78" s="239"/>
      <c r="K78" s="239"/>
      <c r="L78" s="239"/>
      <c r="N78" s="799"/>
    </row>
    <row r="79" spans="1:14" s="102" customFormat="1" ht="15" customHeight="1" outlineLevel="1" thickBot="1">
      <c r="B79" s="104"/>
      <c r="C79" s="34"/>
      <c r="D79" s="34"/>
      <c r="E79" s="34"/>
      <c r="F79" s="34"/>
      <c r="G79" s="140"/>
      <c r="K79" s="238" t="s">
        <v>82</v>
      </c>
      <c r="L79" s="238" t="s">
        <v>81</v>
      </c>
      <c r="N79" s="799"/>
    </row>
    <row r="80" spans="1:14" ht="15" customHeight="1" outlineLevel="1">
      <c r="A80" s="131"/>
      <c r="B80" s="237" t="s">
        <v>80</v>
      </c>
      <c r="C80" s="102"/>
      <c r="D80" s="235"/>
      <c r="E80" s="235"/>
      <c r="F80" s="235"/>
      <c r="H80" s="229" t="s">
        <v>79</v>
      </c>
      <c r="J80" s="800">
        <f>'Inputs-R'!U80</f>
        <v>1</v>
      </c>
      <c r="K80" s="234">
        <f>F73</f>
        <v>0.15</v>
      </c>
      <c r="L80" s="234">
        <f>L74</f>
        <v>3.6399999999999995E-2</v>
      </c>
      <c r="N80" s="800">
        <f>'Inputs-R'!Y80</f>
        <v>1</v>
      </c>
    </row>
    <row r="81" spans="1:14" ht="15" customHeight="1" outlineLevel="1">
      <c r="A81" s="131"/>
      <c r="B81" s="236" t="s">
        <v>78</v>
      </c>
      <c r="C81" s="102"/>
      <c r="D81" s="235"/>
      <c r="E81" s="235"/>
      <c r="F81" s="235"/>
      <c r="H81" s="229" t="s">
        <v>77</v>
      </c>
      <c r="J81" s="800">
        <f>'Inputs-R'!U81</f>
        <v>1</v>
      </c>
      <c r="K81" s="234">
        <f>F74</f>
        <v>0.85</v>
      </c>
      <c r="L81" s="234">
        <f>L66</f>
        <v>0.10819990534135476</v>
      </c>
      <c r="N81" s="800">
        <f>'Inputs-R'!Y81</f>
        <v>1</v>
      </c>
    </row>
    <row r="82" spans="1:14" ht="15" customHeight="1" outlineLevel="1">
      <c r="A82" s="131"/>
      <c r="B82" s="233" t="s">
        <v>76</v>
      </c>
      <c r="N82" s="799"/>
    </row>
    <row r="83" spans="1:14" ht="15" customHeight="1" outlineLevel="1">
      <c r="B83" s="232" t="s">
        <v>75</v>
      </c>
      <c r="H83" s="102"/>
      <c r="I83" s="102"/>
      <c r="J83" s="102"/>
      <c r="K83" s="102"/>
      <c r="L83" s="231"/>
      <c r="N83" s="799"/>
    </row>
    <row r="84" spans="1:14" s="102" customFormat="1" ht="15" customHeight="1" outlineLevel="1" thickBot="1">
      <c r="B84" s="230"/>
      <c r="H84" s="229" t="s">
        <v>74</v>
      </c>
      <c r="I84" s="34"/>
      <c r="J84" s="34"/>
      <c r="L84" s="228">
        <f>SUMPRODUCT(K80:K81,L80:L81)</f>
        <v>9.7429919540151538E-2</v>
      </c>
      <c r="N84" s="800">
        <f>'Inputs-R'!Y84</f>
        <v>1</v>
      </c>
    </row>
    <row r="85" spans="1:14" ht="15" customHeight="1" outlineLevel="1">
      <c r="B85" s="689" t="str">
        <f>'Inputs-R'!Y86</f>
        <v>COMPLETE</v>
      </c>
    </row>
    <row r="86" spans="1:14" s="18" customFormat="1" ht="15" customHeight="1" outlineLevel="1">
      <c r="B86" s="227"/>
      <c r="C86" s="227"/>
      <c r="D86" s="227"/>
      <c r="E86" s="227"/>
      <c r="F86" s="227"/>
      <c r="G86" s="227"/>
      <c r="H86" s="226"/>
      <c r="I86" s="226"/>
      <c r="J86" s="226"/>
      <c r="K86" s="226"/>
      <c r="L86" s="226"/>
      <c r="M86" s="225"/>
    </row>
    <row r="88" spans="1:14" ht="15" customHeight="1">
      <c r="A88" s="176" t="s">
        <v>0</v>
      </c>
      <c r="B88" s="144" t="s">
        <v>62</v>
      </c>
      <c r="C88" s="143"/>
      <c r="D88" s="142"/>
      <c r="E88" s="142"/>
      <c r="F88" s="141"/>
      <c r="G88" s="141"/>
      <c r="H88" s="141"/>
      <c r="I88" s="141"/>
      <c r="J88" s="141"/>
      <c r="K88" s="141"/>
      <c r="L88" s="141"/>
      <c r="M88" s="138"/>
    </row>
    <row r="89" spans="1:14" ht="15" customHeight="1" outlineLevel="1">
      <c r="A89" s="176"/>
      <c r="B89" s="122"/>
      <c r="C89" s="224"/>
      <c r="D89" s="224"/>
      <c r="E89" s="224"/>
      <c r="F89" s="224"/>
      <c r="G89" s="183"/>
      <c r="H89" s="223"/>
      <c r="I89" s="223"/>
      <c r="J89" s="223"/>
      <c r="K89" s="223"/>
      <c r="L89" s="223"/>
      <c r="M89" s="222"/>
    </row>
    <row r="90" spans="1:14" ht="15" customHeight="1" outlineLevel="1">
      <c r="A90" s="131"/>
      <c r="B90" s="122" t="s">
        <v>40</v>
      </c>
      <c r="C90" s="140"/>
      <c r="D90" s="140"/>
      <c r="E90" s="140"/>
      <c r="F90" s="132"/>
      <c r="G90" s="132"/>
      <c r="H90" s="132"/>
      <c r="I90" s="136"/>
      <c r="J90" s="136"/>
      <c r="K90" s="136"/>
      <c r="L90" s="136"/>
      <c r="M90" s="136"/>
    </row>
    <row r="91" spans="1:14" ht="15" customHeight="1" outlineLevel="1">
      <c r="A91" s="131"/>
      <c r="C91" s="140"/>
      <c r="D91" s="140"/>
      <c r="E91" s="140"/>
      <c r="F91" s="132"/>
      <c r="G91" s="221"/>
      <c r="H91" s="221"/>
      <c r="I91" s="220"/>
      <c r="J91" s="220"/>
      <c r="K91" s="220"/>
      <c r="L91" s="220"/>
      <c r="M91" s="220"/>
    </row>
    <row r="92" spans="1:14" ht="15" customHeight="1" outlineLevel="1">
      <c r="A92" s="131"/>
      <c r="C92" s="140"/>
      <c r="D92" s="140"/>
      <c r="E92" s="140"/>
      <c r="F92" s="132"/>
      <c r="G92" s="221"/>
      <c r="H92" s="221"/>
      <c r="I92" s="220"/>
      <c r="J92" s="220"/>
      <c r="K92" s="220"/>
      <c r="L92" s="220"/>
      <c r="M92" s="220"/>
    </row>
    <row r="93" spans="1:14" ht="15" customHeight="1" outlineLevel="1">
      <c r="A93" s="176"/>
      <c r="B93" s="205" t="s">
        <v>73</v>
      </c>
      <c r="C93" s="204"/>
      <c r="D93" s="204"/>
      <c r="E93" s="204"/>
      <c r="F93" s="204"/>
      <c r="G93" s="204"/>
      <c r="H93" s="205" t="str">
        <f>CONCATENATE("End of ",G5-1," Balances")</f>
        <v>End of 2022 Balances</v>
      </c>
    </row>
    <row r="94" spans="1:14" ht="15" customHeight="1" outlineLevel="1">
      <c r="A94" s="176"/>
      <c r="B94" s="219" t="s">
        <v>72</v>
      </c>
      <c r="C94" s="203"/>
      <c r="D94" s="218"/>
      <c r="E94" s="202" t="s">
        <v>68</v>
      </c>
      <c r="F94" s="217">
        <v>45016</v>
      </c>
      <c r="G94" s="204"/>
      <c r="H94" s="203" t="s">
        <v>33</v>
      </c>
      <c r="I94" s="203"/>
      <c r="J94" s="216"/>
      <c r="K94" s="72"/>
      <c r="L94" s="201">
        <v>18642</v>
      </c>
    </row>
    <row r="95" spans="1:14" ht="15" customHeight="1" outlineLevel="1">
      <c r="A95" s="176"/>
      <c r="B95" s="191" t="s">
        <v>71</v>
      </c>
      <c r="C95" s="101"/>
      <c r="D95" s="193"/>
      <c r="E95" s="213" t="s">
        <v>68</v>
      </c>
      <c r="F95" s="215">
        <v>45107</v>
      </c>
      <c r="G95" s="204"/>
      <c r="H95" s="204" t="s">
        <v>70</v>
      </c>
      <c r="I95" s="214"/>
      <c r="J95" s="204"/>
      <c r="L95" s="198">
        <v>65014</v>
      </c>
    </row>
    <row r="96" spans="1:14" ht="15" customHeight="1" outlineLevel="1">
      <c r="A96" s="176"/>
      <c r="B96" s="101" t="s">
        <v>69</v>
      </c>
      <c r="C96" s="193"/>
      <c r="D96" s="193"/>
      <c r="E96" s="213" t="s">
        <v>68</v>
      </c>
      <c r="F96" s="215">
        <v>45291</v>
      </c>
      <c r="G96" s="204"/>
      <c r="H96" s="204" t="s">
        <v>67</v>
      </c>
      <c r="I96" s="214"/>
      <c r="J96" s="214"/>
      <c r="L96" s="198">
        <v>39211</v>
      </c>
    </row>
    <row r="97" spans="1:13" ht="15" customHeight="1" outlineLevel="1">
      <c r="A97" s="176"/>
      <c r="B97" s="101" t="s">
        <v>66</v>
      </c>
      <c r="C97" s="101"/>
      <c r="D97" s="193"/>
      <c r="E97" s="213" t="s">
        <v>65</v>
      </c>
      <c r="F97" s="212">
        <f>YEAR(F96)</f>
        <v>2023</v>
      </c>
      <c r="G97" s="204"/>
      <c r="H97" s="204" t="s">
        <v>64</v>
      </c>
      <c r="I97" s="204"/>
      <c r="J97" s="204"/>
      <c r="L97" s="211">
        <v>24128</v>
      </c>
    </row>
    <row r="98" spans="1:13" ht="15" customHeight="1" outlineLevel="1">
      <c r="A98" s="176"/>
      <c r="B98" s="191" t="s">
        <v>16</v>
      </c>
      <c r="C98" s="193"/>
      <c r="D98" s="193"/>
      <c r="E98" s="193"/>
      <c r="F98" s="210">
        <f>IF(F94&gt;F95,1,0)</f>
        <v>0</v>
      </c>
      <c r="G98" s="196"/>
    </row>
    <row r="99" spans="1:13" ht="15" customHeight="1" outlineLevel="1">
      <c r="A99" s="176"/>
      <c r="B99" s="191" t="s">
        <v>14</v>
      </c>
      <c r="C99" s="101"/>
      <c r="D99" s="101"/>
      <c r="E99" s="193"/>
      <c r="F99" s="210">
        <f>IF(F95&gt;F96,1,0)</f>
        <v>0</v>
      </c>
    </row>
    <row r="100" spans="1:13" ht="15" customHeight="1" outlineLevel="1">
      <c r="A100" s="176"/>
      <c r="B100" s="101" t="s">
        <v>63</v>
      </c>
      <c r="C100" s="209"/>
      <c r="D100" s="209"/>
      <c r="E100" s="193"/>
      <c r="F100" s="208">
        <v>365</v>
      </c>
    </row>
    <row r="101" spans="1:13" ht="15" customHeight="1" outlineLevel="1">
      <c r="A101" s="176"/>
      <c r="B101" s="101"/>
      <c r="C101" s="209"/>
      <c r="D101" s="209"/>
      <c r="E101" s="193"/>
      <c r="F101" s="208"/>
    </row>
    <row r="102" spans="1:13" ht="15" customHeight="1" outlineLevel="1">
      <c r="A102" s="176"/>
    </row>
    <row r="103" spans="1:13" ht="15" customHeight="1" outlineLevel="1">
      <c r="A103" s="176"/>
      <c r="H103" s="207" t="s">
        <v>62</v>
      </c>
      <c r="I103" s="206"/>
      <c r="J103" s="206"/>
      <c r="K103" s="206"/>
      <c r="L103" s="206"/>
    </row>
    <row r="104" spans="1:13" ht="15" customHeight="1" outlineLevel="1">
      <c r="A104" s="176"/>
      <c r="B104" s="205" t="s">
        <v>61</v>
      </c>
      <c r="C104" s="204"/>
      <c r="D104" s="204"/>
      <c r="E104" s="204"/>
      <c r="F104" s="204"/>
      <c r="G104" s="196"/>
      <c r="H104" s="101" t="s">
        <v>60</v>
      </c>
      <c r="I104" s="101"/>
      <c r="J104" s="101"/>
      <c r="K104" s="182" t="s">
        <v>59</v>
      </c>
      <c r="L104" s="198">
        <v>1600</v>
      </c>
    </row>
    <row r="105" spans="1:13" ht="15" customHeight="1" outlineLevel="1">
      <c r="A105" s="176"/>
      <c r="B105" s="203" t="s">
        <v>32</v>
      </c>
      <c r="C105" s="203"/>
      <c r="D105" s="203"/>
      <c r="E105" s="202" t="s">
        <v>31</v>
      </c>
      <c r="F105" s="201">
        <v>34200</v>
      </c>
      <c r="G105" s="196"/>
      <c r="H105" s="101" t="s">
        <v>58</v>
      </c>
      <c r="I105" s="200"/>
      <c r="J105" s="101"/>
      <c r="K105" s="199"/>
      <c r="L105" s="198">
        <v>2520</v>
      </c>
    </row>
    <row r="106" spans="1:13" s="18" customFormat="1" ht="15" customHeight="1" outlineLevel="1">
      <c r="B106" s="109" t="s">
        <v>30</v>
      </c>
      <c r="C106" s="109"/>
      <c r="D106" s="109"/>
      <c r="E106" s="186" t="s">
        <v>29</v>
      </c>
      <c r="F106" s="185">
        <v>2.23</v>
      </c>
      <c r="G106" s="196"/>
      <c r="H106" s="101" t="s">
        <v>57</v>
      </c>
      <c r="I106" s="101"/>
      <c r="J106" s="101"/>
      <c r="K106" s="101"/>
      <c r="L106" s="194">
        <v>0.5</v>
      </c>
      <c r="M106" s="34"/>
    </row>
    <row r="107" spans="1:13" s="18" customFormat="1" ht="15" customHeight="1" outlineLevel="1">
      <c r="B107" s="101" t="s">
        <v>43</v>
      </c>
      <c r="C107" s="101"/>
      <c r="D107" s="101"/>
      <c r="E107" s="193"/>
      <c r="F107" s="197">
        <v>0.02</v>
      </c>
      <c r="G107" s="196"/>
      <c r="H107" s="109" t="s">
        <v>56</v>
      </c>
      <c r="I107" s="190"/>
      <c r="J107" s="189"/>
      <c r="K107" s="188"/>
      <c r="L107" s="195">
        <v>0.15</v>
      </c>
      <c r="M107" s="180"/>
    </row>
    <row r="108" spans="1:13" s="18" customFormat="1" ht="15" customHeight="1" outlineLevel="1">
      <c r="B108" s="101" t="s">
        <v>55</v>
      </c>
      <c r="C108" s="101"/>
      <c r="D108" s="101"/>
      <c r="E108" s="182"/>
      <c r="F108" s="181">
        <v>7</v>
      </c>
      <c r="G108" s="183"/>
      <c r="H108" s="101" t="s">
        <v>54</v>
      </c>
      <c r="I108" s="101"/>
      <c r="J108" s="101"/>
      <c r="K108" s="101"/>
      <c r="L108" s="194">
        <v>0.5</v>
      </c>
      <c r="M108" s="180"/>
    </row>
    <row r="109" spans="1:13" s="18" customFormat="1" ht="15" customHeight="1" outlineLevel="1">
      <c r="B109" s="101" t="s">
        <v>53</v>
      </c>
      <c r="C109" s="101"/>
      <c r="D109" s="101"/>
      <c r="E109" s="193"/>
      <c r="F109" s="192">
        <f>L84</f>
        <v>9.7429919540151538E-2</v>
      </c>
      <c r="G109" s="800">
        <f>'Inputs-R'!Q109</f>
        <v>1</v>
      </c>
      <c r="H109" s="101" t="s">
        <v>52</v>
      </c>
      <c r="I109" s="101"/>
      <c r="J109" s="101"/>
      <c r="K109" s="182" t="s">
        <v>49</v>
      </c>
      <c r="L109" s="184">
        <v>16</v>
      </c>
      <c r="M109" s="180"/>
    </row>
    <row r="110" spans="1:13" s="18" customFormat="1" ht="15" customHeight="1" outlineLevel="1">
      <c r="B110" s="191" t="s">
        <v>51</v>
      </c>
      <c r="C110" s="190"/>
      <c r="D110" s="189"/>
      <c r="E110" s="188"/>
      <c r="F110" s="187">
        <f>IF(F107&gt;=F109,1,0)</f>
        <v>0</v>
      </c>
      <c r="G110" s="800">
        <f>'Inputs-R'!Q110</f>
        <v>1</v>
      </c>
      <c r="H110" s="101" t="s">
        <v>50</v>
      </c>
      <c r="I110" s="101"/>
      <c r="J110" s="101"/>
      <c r="K110" s="182" t="s">
        <v>49</v>
      </c>
      <c r="L110" s="184">
        <v>20</v>
      </c>
      <c r="M110" s="180"/>
    </row>
    <row r="111" spans="1:13" s="18" customFormat="1" ht="15" customHeight="1" outlineLevel="1">
      <c r="B111" s="109"/>
      <c r="C111" s="109"/>
      <c r="D111" s="109"/>
      <c r="E111" s="186"/>
      <c r="F111" s="185"/>
      <c r="G111" s="183"/>
      <c r="H111" s="101"/>
      <c r="I111" s="101"/>
      <c r="J111" s="101"/>
      <c r="K111" s="182"/>
      <c r="L111" s="184"/>
      <c r="M111" s="180"/>
    </row>
    <row r="112" spans="1:13" s="18" customFormat="1" ht="15" customHeight="1" outlineLevel="1">
      <c r="G112" s="183"/>
      <c r="H112" s="101"/>
      <c r="I112" s="101"/>
      <c r="J112" s="101"/>
      <c r="K112" s="182"/>
      <c r="L112" s="181"/>
      <c r="M112" s="180"/>
    </row>
    <row r="113" spans="2:12" ht="15" customHeight="1" outlineLevel="1">
      <c r="B113" s="689" t="str">
        <f>'Inputs-R'!Q112</f>
        <v>COMPLETE</v>
      </c>
      <c r="L113" s="38" t="s">
        <v>48</v>
      </c>
    </row>
    <row r="114" spans="2:12" ht="15" customHeight="1" outlineLevel="1"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 t="s">
        <v>0</v>
      </c>
    </row>
  </sheetData>
  <conditionalFormatting sqref="F98:F99">
    <cfRule type="expression" dxfId="9" priority="1">
      <formula>F98=1</formula>
    </cfRule>
  </conditionalFormatting>
  <printOptions horizontalCentered="1"/>
  <pageMargins left="0.11811023622047245" right="0.11811023622047245" top="0.11811023622047245" bottom="0.11811023622047245" header="0.11811023622047245" footer="0.11811023622047245"/>
  <pageSetup scale="88" orientation="landscape" r:id="rId1"/>
  <headerFooter>
    <oddFooter>&amp;L&amp;"Open Sans,Bold"&amp;10&amp;K002060DCF Valuation Modeling&amp;C&amp;"Open Sans,Bold"&amp;10&amp;K002060Page &amp;P of &amp;N&amp;R&amp;G</oddFooter>
  </headerFooter>
  <ignoredErrors>
    <ignoredError sqref="F110" unlockedFormula="1"/>
  </ignoredErrors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B3A14-13B6-4534-8533-04476FAE8E5E}">
  <sheetPr>
    <tabColor theme="1"/>
    <pageSetUpPr autoPageBreaks="0"/>
  </sheetPr>
  <dimension ref="A1:Y114"/>
  <sheetViews>
    <sheetView showGridLines="0" zoomScaleNormal="100" zoomScaleSheetLayoutView="100" workbookViewId="0">
      <pane ySplit="1" topLeftCell="A2" activePane="bottomLeft" state="frozen"/>
      <selection activeCell="F6" sqref="F6"/>
      <selection pane="bottomLeft" activeCell="F6" sqref="F6"/>
    </sheetView>
  </sheetViews>
  <sheetFormatPr baseColWidth="10" defaultColWidth="9.1640625" defaultRowHeight="15" customHeight="1" outlineLevelRow="1"/>
  <cols>
    <col min="1" max="1" width="9.1640625" style="34"/>
    <col min="2" max="2" width="12.83203125" style="34" customWidth="1"/>
    <col min="3" max="5" width="11.83203125" style="34" customWidth="1"/>
    <col min="6" max="6" width="12.33203125" style="34" bestFit="1" customWidth="1"/>
    <col min="7" max="12" width="11.83203125" style="34" customWidth="1"/>
    <col min="13" max="13" width="1.6640625" style="34" customWidth="1"/>
    <col min="14" max="14" width="4.6640625" style="34" customWidth="1"/>
    <col min="15" max="15" width="9.5" style="34" bestFit="1" customWidth="1"/>
    <col min="16" max="16" width="9.33203125" style="34" bestFit="1" customWidth="1"/>
    <col min="17" max="17" width="11" style="34" bestFit="1" customWidth="1"/>
    <col min="18" max="18" width="4.6640625" style="34" customWidth="1"/>
    <col min="19" max="19" width="9.5" style="34" bestFit="1" customWidth="1"/>
    <col min="20" max="20" width="9.33203125" style="34" bestFit="1" customWidth="1"/>
    <col min="21" max="21" width="11" style="34" bestFit="1" customWidth="1"/>
    <col min="22" max="22" width="4.6640625" style="34" customWidth="1"/>
    <col min="23" max="23" width="9.5" style="34" bestFit="1" customWidth="1"/>
    <col min="24" max="24" width="9.33203125" style="34" bestFit="1" customWidth="1"/>
    <col min="25" max="25" width="11" style="34" bestFit="1" customWidth="1"/>
    <col min="26" max="16384" width="9.1640625" style="34"/>
  </cols>
  <sheetData>
    <row r="1" spans="1:17" ht="50" customHeight="1">
      <c r="A1" s="102"/>
      <c r="B1" s="798"/>
      <c r="C1" s="798"/>
      <c r="D1" s="798"/>
      <c r="E1" s="178"/>
      <c r="F1" s="178"/>
      <c r="G1" s="179"/>
      <c r="H1" s="179"/>
      <c r="I1" s="178"/>
      <c r="J1" s="178"/>
      <c r="K1" s="178"/>
      <c r="L1" s="178"/>
      <c r="M1" s="102"/>
    </row>
    <row r="2" spans="1:17" ht="15" customHeight="1">
      <c r="A2" s="176"/>
      <c r="B2" s="176"/>
      <c r="C2" s="224"/>
      <c r="D2" s="224"/>
      <c r="E2" s="224"/>
      <c r="F2" s="224"/>
      <c r="G2" s="183"/>
      <c r="H2" s="223"/>
      <c r="I2" s="223"/>
      <c r="J2" s="223"/>
      <c r="K2" s="223"/>
      <c r="L2" s="223"/>
      <c r="M2" s="222"/>
    </row>
    <row r="3" spans="1:17" ht="15" customHeight="1">
      <c r="A3" s="176" t="s">
        <v>0</v>
      </c>
      <c r="B3" s="144" t="s">
        <v>132</v>
      </c>
      <c r="C3" s="143"/>
      <c r="D3" s="143"/>
      <c r="E3" s="143"/>
      <c r="F3" s="142"/>
      <c r="G3" s="141"/>
      <c r="H3" s="141"/>
      <c r="I3" s="141"/>
      <c r="J3" s="141"/>
      <c r="K3" s="141"/>
      <c r="L3" s="141"/>
      <c r="M3" s="138"/>
    </row>
    <row r="4" spans="1:17" ht="15" customHeight="1" outlineLevel="1">
      <c r="A4" s="176"/>
      <c r="B4" s="304"/>
      <c r="C4" s="140"/>
      <c r="D4" s="139"/>
      <c r="E4" s="139"/>
      <c r="F4" s="138"/>
      <c r="G4" s="138"/>
      <c r="H4" s="138"/>
      <c r="I4" s="138"/>
      <c r="J4" s="138"/>
      <c r="K4" s="138"/>
      <c r="L4" s="138"/>
      <c r="M4" s="138"/>
    </row>
    <row r="5" spans="1:17" ht="15" customHeight="1" outlineLevel="1" thickBot="1">
      <c r="A5" s="176"/>
      <c r="B5" s="122" t="s">
        <v>40</v>
      </c>
      <c r="C5" s="140"/>
      <c r="D5" s="132"/>
      <c r="E5" s="132"/>
      <c r="F5" s="137"/>
      <c r="G5" s="354">
        <f>$F$97</f>
        <v>2023</v>
      </c>
      <c r="H5" s="354">
        <f>G5+1</f>
        <v>2024</v>
      </c>
      <c r="I5" s="354">
        <f>H5+1</f>
        <v>2025</v>
      </c>
      <c r="J5" s="354">
        <f>I5+1</f>
        <v>2026</v>
      </c>
      <c r="K5" s="354">
        <f>J5+1</f>
        <v>2027</v>
      </c>
      <c r="L5" s="354" t="s">
        <v>131</v>
      </c>
    </row>
    <row r="6" spans="1:17" s="18" customFormat="1" ht="15" customHeight="1" outlineLevel="1">
      <c r="B6" s="114"/>
      <c r="D6" s="101"/>
      <c r="E6" s="101"/>
      <c r="F6" s="101"/>
      <c r="G6" s="101"/>
      <c r="H6" s="101"/>
      <c r="I6" s="353"/>
      <c r="J6" s="352"/>
    </row>
    <row r="7" spans="1:17" s="18" customFormat="1" ht="15" customHeight="1" outlineLevel="1">
      <c r="B7" s="315" t="s">
        <v>130</v>
      </c>
      <c r="D7" s="661">
        <f>'Outputs-R'!F6</f>
        <v>2</v>
      </c>
      <c r="E7" s="101"/>
      <c r="F7" s="101"/>
      <c r="G7" s="101"/>
      <c r="H7" s="101"/>
      <c r="I7" s="353"/>
      <c r="J7" s="352"/>
    </row>
    <row r="8" spans="1:17" s="18" customFormat="1" ht="15" customHeight="1" outlineLevel="1">
      <c r="C8" s="101"/>
      <c r="D8" s="101"/>
      <c r="E8" s="101"/>
      <c r="F8" s="101"/>
      <c r="G8" s="101"/>
      <c r="H8" s="353"/>
      <c r="I8" s="352"/>
    </row>
    <row r="9" spans="1:17" s="18" customFormat="1" ht="15" customHeight="1" outlineLevel="1" thickBot="1">
      <c r="C9" s="101"/>
      <c r="D9" s="101"/>
      <c r="E9" s="101"/>
      <c r="F9" s="101"/>
      <c r="G9" s="101"/>
      <c r="H9" s="353"/>
      <c r="I9" s="352"/>
      <c r="O9" s="669" t="s">
        <v>277</v>
      </c>
      <c r="P9" s="668" t="s">
        <v>278</v>
      </c>
      <c r="Q9" s="671" t="s">
        <v>279</v>
      </c>
    </row>
    <row r="10" spans="1:17" s="18" customFormat="1" ht="15" customHeight="1" outlineLevel="1">
      <c r="B10" s="315" t="s">
        <v>129</v>
      </c>
      <c r="D10" s="109"/>
      <c r="E10" s="109"/>
      <c r="F10" s="109"/>
      <c r="G10" s="345" cm="1">
        <f t="array" ref="G10">INDEX(G12:G14,$D$7)</f>
        <v>0.02</v>
      </c>
      <c r="H10" s="344" cm="1">
        <f t="array" ref="H10">INDEX(H12:H14,$D$7)</f>
        <v>0.01</v>
      </c>
      <c r="I10" s="344" cm="1">
        <f t="array" ref="I10">INDEX(I12:I14,$D$7)</f>
        <v>0.01</v>
      </c>
      <c r="J10" s="344" cm="1">
        <f t="array" ref="J10">INDEX(J12:J14,$D$7)</f>
        <v>5.0000000000000001E-3</v>
      </c>
      <c r="K10" s="344" cm="1">
        <f t="array" ref="K10">INDEX(K12:K14,$D$7)</f>
        <v>5.0000000000000001E-3</v>
      </c>
      <c r="L10" s="343" cm="1">
        <f t="array" ref="L10">INDEX(L12:L14,$D$7)</f>
        <v>5.0000000000000001E-3</v>
      </c>
      <c r="O10" s="670">
        <f>SUM(Inputs!G10:L10)</f>
        <v>5.4999999999999993E-2</v>
      </c>
      <c r="P10" s="667">
        <f>SUM(G10:L10)</f>
        <v>5.4999999999999993E-2</v>
      </c>
      <c r="Q10" s="806">
        <f>IF(O10=0,0,IF(O10=P10,1,0))</f>
        <v>1</v>
      </c>
    </row>
    <row r="11" spans="1:17" s="18" customFormat="1" ht="15" customHeight="1" outlineLevel="1">
      <c r="C11" s="101"/>
      <c r="D11" s="101"/>
      <c r="E11" s="101"/>
      <c r="F11" s="101"/>
      <c r="G11" s="349"/>
      <c r="H11" s="351"/>
      <c r="I11" s="347"/>
      <c r="J11" s="346"/>
      <c r="K11" s="346"/>
      <c r="L11" s="346"/>
    </row>
    <row r="12" spans="1:17" s="18" customFormat="1" ht="15" customHeight="1" outlineLevel="1">
      <c r="B12" s="322" t="str">
        <f>Outputs!D14</f>
        <v>Best Case</v>
      </c>
      <c r="C12" s="350"/>
      <c r="D12" s="101"/>
      <c r="E12" s="101"/>
      <c r="F12" s="101"/>
      <c r="G12" s="338">
        <v>0.03</v>
      </c>
      <c r="H12" s="337">
        <v>0.02</v>
      </c>
      <c r="I12" s="337">
        <v>0.02</v>
      </c>
      <c r="J12" s="337">
        <v>1.4999999999999999E-2</v>
      </c>
      <c r="K12" s="337">
        <v>1.4999999999999999E-2</v>
      </c>
      <c r="L12" s="336">
        <v>0.01</v>
      </c>
    </row>
    <row r="13" spans="1:17" s="18" customFormat="1" ht="15" customHeight="1" outlineLevel="1">
      <c r="B13" s="322" t="str">
        <f>Outputs!D15</f>
        <v>Base Case</v>
      </c>
      <c r="C13" s="101"/>
      <c r="D13" s="101"/>
      <c r="E13" s="101"/>
      <c r="F13" s="101"/>
      <c r="G13" s="335">
        <v>0.02</v>
      </c>
      <c r="H13" s="250">
        <v>0.01</v>
      </c>
      <c r="I13" s="250">
        <v>0.01</v>
      </c>
      <c r="J13" s="250">
        <v>5.0000000000000001E-3</v>
      </c>
      <c r="K13" s="250">
        <v>5.0000000000000001E-3</v>
      </c>
      <c r="L13" s="334">
        <v>5.0000000000000001E-3</v>
      </c>
    </row>
    <row r="14" spans="1:17" s="18" customFormat="1" ht="15" customHeight="1" outlineLevel="1">
      <c r="B14" s="322" t="str">
        <f>Outputs!D16</f>
        <v>Worst Case</v>
      </c>
      <c r="C14" s="101"/>
      <c r="D14" s="101"/>
      <c r="E14" s="101"/>
      <c r="F14" s="101"/>
      <c r="G14" s="333">
        <v>0.01</v>
      </c>
      <c r="H14" s="249">
        <v>0.01</v>
      </c>
      <c r="I14" s="249">
        <v>5.0000000000000001E-3</v>
      </c>
      <c r="J14" s="249">
        <v>5.0000000000000001E-3</v>
      </c>
      <c r="K14" s="249">
        <v>5.0000000000000001E-3</v>
      </c>
      <c r="L14" s="332">
        <v>5.0000000000000001E-3</v>
      </c>
    </row>
    <row r="15" spans="1:17" s="18" customFormat="1" ht="15" customHeight="1" outlineLevel="1">
      <c r="B15" s="114"/>
      <c r="C15" s="317"/>
      <c r="D15" s="317"/>
      <c r="E15" s="317"/>
      <c r="F15" s="317"/>
      <c r="G15" s="349"/>
      <c r="H15" s="348"/>
      <c r="I15" s="347"/>
      <c r="J15" s="346"/>
      <c r="K15" s="346"/>
      <c r="L15" s="346"/>
    </row>
    <row r="16" spans="1:17" s="18" customFormat="1" ht="15" customHeight="1" outlineLevel="1" thickBot="1">
      <c r="B16" s="114"/>
      <c r="C16" s="317"/>
      <c r="D16" s="317"/>
      <c r="E16" s="317"/>
      <c r="F16" s="317"/>
      <c r="G16" s="349"/>
      <c r="H16" s="348"/>
      <c r="I16" s="347"/>
      <c r="J16" s="346"/>
      <c r="K16" s="346"/>
      <c r="L16" s="346"/>
      <c r="O16" s="669" t="s">
        <v>277</v>
      </c>
      <c r="P16" s="668" t="s">
        <v>278</v>
      </c>
      <c r="Q16" s="671" t="s">
        <v>279</v>
      </c>
    </row>
    <row r="17" spans="2:17" s="18" customFormat="1" ht="15" customHeight="1" outlineLevel="1">
      <c r="B17" s="315" t="s">
        <v>128</v>
      </c>
      <c r="C17" s="317"/>
      <c r="D17" s="317"/>
      <c r="E17" s="317"/>
      <c r="F17" s="317"/>
      <c r="G17" s="345" cm="1">
        <f t="array" ref="G17">INDEX(G19:G21,$D$7)</f>
        <v>0.03</v>
      </c>
      <c r="H17" s="344" cm="1">
        <f t="array" ref="H17">INDEX(H19:H21,$D$7)</f>
        <v>0.01</v>
      </c>
      <c r="I17" s="344" cm="1">
        <f t="array" ref="I17">INDEX(I19:I21,$D$7)</f>
        <v>0.01</v>
      </c>
      <c r="J17" s="344" cm="1">
        <f t="array" ref="J17">INDEX(J19:J21,$D$7)</f>
        <v>0.01</v>
      </c>
      <c r="K17" s="344" cm="1">
        <f t="array" ref="K17">INDEX(K19:K21,$D$7)</f>
        <v>5.0000000000000001E-3</v>
      </c>
      <c r="L17" s="343" cm="1">
        <f t="array" ref="L17">INDEX(L19:L21,$D$7)</f>
        <v>5.0000000000000001E-3</v>
      </c>
      <c r="O17" s="670">
        <f>SUM(Inputs!G17:L17)</f>
        <v>7.0000000000000007E-2</v>
      </c>
      <c r="P17" s="667">
        <f>SUM(G17:L17)</f>
        <v>7.0000000000000007E-2</v>
      </c>
      <c r="Q17" s="806">
        <f>IF(O17=0,0,IF(O17=P17,1,0))</f>
        <v>1</v>
      </c>
    </row>
    <row r="18" spans="2:17" s="18" customFormat="1" ht="15" customHeight="1" outlineLevel="1">
      <c r="B18" s="114"/>
      <c r="C18" s="317"/>
      <c r="D18" s="317"/>
      <c r="E18" s="317"/>
      <c r="F18" s="317"/>
      <c r="G18" s="342"/>
      <c r="H18" s="341"/>
      <c r="I18" s="340"/>
      <c r="J18" s="339"/>
      <c r="K18" s="339"/>
      <c r="L18" s="339"/>
    </row>
    <row r="19" spans="2:17" s="18" customFormat="1" ht="15" customHeight="1" outlineLevel="1">
      <c r="B19" s="322" t="str">
        <f>$B$12</f>
        <v>Best Case</v>
      </c>
      <c r="C19" s="101"/>
      <c r="D19" s="101"/>
      <c r="E19" s="101"/>
      <c r="F19" s="101"/>
      <c r="G19" s="338">
        <v>3.5000000000000003E-2</v>
      </c>
      <c r="H19" s="337">
        <v>0.02</v>
      </c>
      <c r="I19" s="337">
        <v>0.02</v>
      </c>
      <c r="J19" s="337">
        <v>0.02</v>
      </c>
      <c r="K19" s="337">
        <v>1.4999999999999999E-2</v>
      </c>
      <c r="L19" s="336">
        <v>8.0000000000000002E-3</v>
      </c>
    </row>
    <row r="20" spans="2:17" s="18" customFormat="1" ht="15" customHeight="1" outlineLevel="1">
      <c r="B20" s="322" t="str">
        <f>$B$13</f>
        <v>Base Case</v>
      </c>
      <c r="C20" s="101"/>
      <c r="D20" s="101"/>
      <c r="E20" s="101"/>
      <c r="F20" s="101"/>
      <c r="G20" s="335">
        <v>0.03</v>
      </c>
      <c r="H20" s="250">
        <v>0.01</v>
      </c>
      <c r="I20" s="250">
        <v>0.01</v>
      </c>
      <c r="J20" s="250">
        <v>0.01</v>
      </c>
      <c r="K20" s="250">
        <v>5.0000000000000001E-3</v>
      </c>
      <c r="L20" s="334">
        <v>5.0000000000000001E-3</v>
      </c>
    </row>
    <row r="21" spans="2:17" s="18" customFormat="1" ht="15" customHeight="1" outlineLevel="1">
      <c r="B21" s="322" t="str">
        <f>$B$14</f>
        <v>Worst Case</v>
      </c>
      <c r="C21" s="101"/>
      <c r="D21" s="101"/>
      <c r="E21" s="101"/>
      <c r="F21" s="101"/>
      <c r="G21" s="333">
        <v>0.01</v>
      </c>
      <c r="H21" s="249">
        <v>0.01</v>
      </c>
      <c r="I21" s="249">
        <v>5.0000000000000001E-3</v>
      </c>
      <c r="J21" s="249">
        <v>5.0000000000000001E-3</v>
      </c>
      <c r="K21" s="249">
        <v>5.0000000000000001E-3</v>
      </c>
      <c r="L21" s="332">
        <v>5.0000000000000001E-3</v>
      </c>
    </row>
    <row r="22" spans="2:17" s="18" customFormat="1" ht="15" customHeight="1" outlineLevel="1">
      <c r="B22" s="180"/>
      <c r="C22" s="180"/>
      <c r="D22" s="180"/>
      <c r="E22" s="180"/>
      <c r="F22" s="180"/>
      <c r="G22" s="180"/>
      <c r="H22" s="180"/>
      <c r="I22" s="180"/>
      <c r="J22" s="180"/>
      <c r="K22" s="180"/>
      <c r="L22" s="180"/>
    </row>
    <row r="23" spans="2:17" s="18" customFormat="1" ht="15" customHeight="1" outlineLevel="1" thickBot="1">
      <c r="C23" s="317"/>
      <c r="D23" s="317"/>
      <c r="E23" s="317"/>
      <c r="F23" s="317"/>
      <c r="G23" s="180"/>
      <c r="H23" s="180"/>
      <c r="I23" s="180"/>
      <c r="J23" s="180"/>
      <c r="K23" s="180"/>
      <c r="L23" s="180"/>
      <c r="O23" s="669" t="s">
        <v>277</v>
      </c>
      <c r="P23" s="668" t="s">
        <v>278</v>
      </c>
      <c r="Q23" s="671" t="s">
        <v>279</v>
      </c>
    </row>
    <row r="24" spans="2:17" s="18" customFormat="1" ht="15" customHeight="1" outlineLevel="1">
      <c r="B24" s="315" t="s">
        <v>127</v>
      </c>
      <c r="C24" s="317"/>
      <c r="D24" s="317"/>
      <c r="E24" s="317"/>
      <c r="F24" s="317"/>
      <c r="G24" s="331" cm="1">
        <f t="array" ref="G24">INDEX(G26:G28,$D$7)</f>
        <v>4550</v>
      </c>
      <c r="H24" s="330" cm="1">
        <f t="array" ref="H24">INDEX(H26:H28,$D$7)</f>
        <v>4700</v>
      </c>
      <c r="I24" s="330" cm="1">
        <f t="array" ref="I24">INDEX(I26:I28,$D$7)</f>
        <v>4850</v>
      </c>
      <c r="J24" s="330" cm="1">
        <f t="array" ref="J24">INDEX(J26:J28,$D$7)</f>
        <v>5000</v>
      </c>
      <c r="K24" s="330" cm="1">
        <f t="array" ref="K24">INDEX(K26:K28,$D$7)</f>
        <v>5125</v>
      </c>
      <c r="L24" s="329" cm="1">
        <f t="array" ref="L24">INDEX(L26:L28,$D$7)</f>
        <v>5300</v>
      </c>
      <c r="O24" s="672">
        <f>SUM(Inputs!G24:L24)</f>
        <v>29525</v>
      </c>
      <c r="P24" s="673">
        <f>SUM(G24:L24)</f>
        <v>29525</v>
      </c>
      <c r="Q24" s="806">
        <f>IF(O24=0,0,IF(O24=P24,1,0))</f>
        <v>1</v>
      </c>
    </row>
    <row r="25" spans="2:17" s="18" customFormat="1" ht="15" customHeight="1" outlineLevel="1">
      <c r="B25" s="114"/>
      <c r="C25" s="317"/>
      <c r="D25" s="317"/>
      <c r="E25" s="317"/>
      <c r="F25" s="317"/>
      <c r="G25" s="328"/>
      <c r="H25" s="327"/>
      <c r="I25" s="326"/>
      <c r="J25" s="325"/>
      <c r="K25" s="325"/>
      <c r="L25" s="325"/>
    </row>
    <row r="26" spans="2:17" s="18" customFormat="1" ht="15" customHeight="1" outlineLevel="1">
      <c r="B26" s="322" t="str">
        <f>$B$12</f>
        <v>Best Case</v>
      </c>
      <c r="C26" s="101"/>
      <c r="D26" s="101"/>
      <c r="E26" s="101"/>
      <c r="F26" s="101"/>
      <c r="G26" s="314">
        <v>4000</v>
      </c>
      <c r="H26" s="313">
        <v>4300</v>
      </c>
      <c r="I26" s="313">
        <v>4400</v>
      </c>
      <c r="J26" s="313">
        <v>4600</v>
      </c>
      <c r="K26" s="313">
        <v>4800</v>
      </c>
      <c r="L26" s="324">
        <v>4900</v>
      </c>
    </row>
    <row r="27" spans="2:17" s="18" customFormat="1" ht="15" customHeight="1" outlineLevel="1">
      <c r="B27" s="322" t="str">
        <f>$B$13</f>
        <v>Base Case</v>
      </c>
      <c r="C27" s="101"/>
      <c r="D27" s="101"/>
      <c r="E27" s="101"/>
      <c r="F27" s="101"/>
      <c r="G27" s="311">
        <v>4550</v>
      </c>
      <c r="H27" s="273">
        <v>4700</v>
      </c>
      <c r="I27" s="273">
        <v>4850</v>
      </c>
      <c r="J27" s="273">
        <v>5000</v>
      </c>
      <c r="K27" s="273">
        <v>5125</v>
      </c>
      <c r="L27" s="323">
        <v>5300</v>
      </c>
    </row>
    <row r="28" spans="2:17" s="18" customFormat="1" ht="15" customHeight="1" outlineLevel="1">
      <c r="B28" s="322" t="str">
        <f>$B$14</f>
        <v>Worst Case</v>
      </c>
      <c r="C28" s="101"/>
      <c r="D28" s="101"/>
      <c r="E28" s="101"/>
      <c r="F28" s="101"/>
      <c r="G28" s="308">
        <v>5000</v>
      </c>
      <c r="H28" s="307">
        <v>5200</v>
      </c>
      <c r="I28" s="307">
        <v>5400</v>
      </c>
      <c r="J28" s="307">
        <v>5500</v>
      </c>
      <c r="K28" s="307">
        <v>5600</v>
      </c>
      <c r="L28" s="321">
        <v>5800</v>
      </c>
    </row>
    <row r="29" spans="2:17" s="18" customFormat="1" ht="15" customHeight="1" outlineLevel="1">
      <c r="B29" s="180"/>
      <c r="C29" s="180"/>
      <c r="D29" s="180"/>
      <c r="E29" s="180"/>
      <c r="F29" s="180"/>
      <c r="G29" s="180"/>
      <c r="H29" s="180"/>
      <c r="I29" s="180"/>
      <c r="J29" s="180"/>
      <c r="K29" s="180"/>
      <c r="L29" s="180"/>
    </row>
    <row r="30" spans="2:17" s="18" customFormat="1" ht="15" customHeight="1" outlineLevel="1">
      <c r="B30" s="180"/>
      <c r="C30" s="180"/>
      <c r="D30" s="180"/>
      <c r="E30" s="180"/>
      <c r="F30" s="180"/>
      <c r="G30" s="180"/>
      <c r="H30" s="180"/>
      <c r="I30" s="180"/>
      <c r="J30" s="180"/>
      <c r="K30" s="180"/>
      <c r="L30" s="180"/>
    </row>
    <row r="31" spans="2:17" s="18" customFormat="1" ht="15" customHeight="1" outlineLevel="1">
      <c r="B31" s="315" t="s">
        <v>126</v>
      </c>
      <c r="C31" s="317"/>
      <c r="D31" s="317"/>
      <c r="E31" s="317"/>
      <c r="F31" s="317"/>
      <c r="G31" s="320">
        <v>3.5000000000000003E-2</v>
      </c>
      <c r="H31" s="319">
        <v>0.03</v>
      </c>
      <c r="I31" s="319">
        <v>0.03</v>
      </c>
      <c r="J31" s="319">
        <v>2.5000000000000001E-2</v>
      </c>
      <c r="K31" s="319">
        <v>2.5000000000000001E-2</v>
      </c>
      <c r="L31" s="318">
        <v>1.4999999999999999E-2</v>
      </c>
    </row>
    <row r="32" spans="2:17" s="18" customFormat="1" ht="15" customHeight="1" outlineLevel="1">
      <c r="B32" s="114"/>
      <c r="C32" s="317"/>
      <c r="D32" s="317"/>
      <c r="E32" s="317"/>
      <c r="F32" s="317"/>
      <c r="G32" s="316"/>
      <c r="H32" s="316"/>
      <c r="I32" s="316"/>
      <c r="J32" s="316"/>
      <c r="K32" s="316"/>
      <c r="L32" s="316"/>
    </row>
    <row r="33" spans="1:17" s="18" customFormat="1" ht="15" customHeight="1" outlineLevel="1">
      <c r="B33" s="114"/>
      <c r="C33" s="317"/>
      <c r="D33" s="317"/>
      <c r="E33" s="317"/>
      <c r="F33" s="317"/>
      <c r="G33" s="316"/>
      <c r="H33" s="316"/>
      <c r="I33" s="316"/>
      <c r="J33" s="316"/>
      <c r="K33" s="316"/>
      <c r="L33" s="316"/>
    </row>
    <row r="34" spans="1:17" s="18" customFormat="1" ht="15" customHeight="1" outlineLevel="1" thickBot="1">
      <c r="B34" s="315" t="s">
        <v>125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O34" s="662" t="s">
        <v>277</v>
      </c>
      <c r="P34" s="663" t="s">
        <v>278</v>
      </c>
      <c r="Q34" s="664" t="s">
        <v>279</v>
      </c>
    </row>
    <row r="35" spans="1:17" s="18" customFormat="1" ht="15" customHeight="1" outlineLevel="1">
      <c r="B35" s="309" t="s">
        <v>124</v>
      </c>
      <c r="C35" s="180"/>
      <c r="D35" s="180"/>
      <c r="E35" s="213" t="s">
        <v>121</v>
      </c>
      <c r="F35" s="180"/>
      <c r="G35" s="314">
        <v>45</v>
      </c>
      <c r="H35" s="313">
        <v>45</v>
      </c>
      <c r="I35" s="313">
        <v>45</v>
      </c>
      <c r="J35" s="313">
        <v>45</v>
      </c>
      <c r="K35" s="313">
        <v>45</v>
      </c>
      <c r="L35" s="312">
        <f>K35</f>
        <v>45</v>
      </c>
      <c r="O35" s="665">
        <f>Inputs!L35</f>
        <v>45</v>
      </c>
      <c r="P35" s="674">
        <f>L35</f>
        <v>45</v>
      </c>
      <c r="Q35" s="808">
        <f>IF(O35=0,0,IF(O35=P35,1,0))</f>
        <v>1</v>
      </c>
    </row>
    <row r="36" spans="1:17" s="18" customFormat="1" ht="15" customHeight="1" outlineLevel="1">
      <c r="B36" s="309" t="s">
        <v>123</v>
      </c>
      <c r="C36" s="180"/>
      <c r="D36" s="180"/>
      <c r="E36" s="213" t="s">
        <v>121</v>
      </c>
      <c r="F36" s="180"/>
      <c r="G36" s="311">
        <v>25</v>
      </c>
      <c r="H36" s="273">
        <v>25</v>
      </c>
      <c r="I36" s="273">
        <v>25</v>
      </c>
      <c r="J36" s="273">
        <v>25</v>
      </c>
      <c r="K36" s="273">
        <v>25</v>
      </c>
      <c r="L36" s="310">
        <f>K36</f>
        <v>25</v>
      </c>
      <c r="O36" s="665">
        <f>Inputs!L36</f>
        <v>25</v>
      </c>
      <c r="P36" s="674">
        <f t="shared" ref="P36:P37" si="0">L36</f>
        <v>25</v>
      </c>
      <c r="Q36" s="808">
        <f t="shared" ref="Q36:Q37" si="1">IF(O36=0,0,IF(O36=P36,1,0))</f>
        <v>1</v>
      </c>
    </row>
    <row r="37" spans="1:17" s="18" customFormat="1" ht="15" customHeight="1" outlineLevel="1">
      <c r="B37" s="309" t="s">
        <v>122</v>
      </c>
      <c r="C37" s="180"/>
      <c r="D37" s="180"/>
      <c r="E37" s="213" t="s">
        <v>121</v>
      </c>
      <c r="F37" s="180"/>
      <c r="G37" s="308">
        <v>40</v>
      </c>
      <c r="H37" s="307">
        <v>40</v>
      </c>
      <c r="I37" s="307">
        <v>40</v>
      </c>
      <c r="J37" s="307">
        <v>40</v>
      </c>
      <c r="K37" s="307">
        <v>40</v>
      </c>
      <c r="L37" s="306">
        <f>K37</f>
        <v>40</v>
      </c>
      <c r="O37" s="676">
        <f>Inputs!L37</f>
        <v>40</v>
      </c>
      <c r="P37" s="675">
        <f t="shared" si="0"/>
        <v>40</v>
      </c>
      <c r="Q37" s="809">
        <f t="shared" si="1"/>
        <v>1</v>
      </c>
    </row>
    <row r="38" spans="1:17" s="18" customFormat="1" ht="15" customHeight="1" outlineLevel="1">
      <c r="C38" s="180"/>
      <c r="D38" s="180"/>
      <c r="E38" s="180"/>
      <c r="F38" s="180"/>
      <c r="G38" s="180"/>
      <c r="H38" s="180"/>
      <c r="I38" s="180"/>
      <c r="J38" s="180"/>
      <c r="K38" s="180"/>
      <c r="L38" s="180"/>
      <c r="Q38" s="814"/>
    </row>
    <row r="39" spans="1:17" s="18" customFormat="1" ht="15" customHeight="1" outlineLevel="1">
      <c r="B39" s="305"/>
      <c r="C39" s="180"/>
      <c r="D39" s="180"/>
      <c r="E39" s="180"/>
      <c r="F39" s="180"/>
      <c r="G39" s="180"/>
      <c r="H39" s="180"/>
      <c r="I39" s="180"/>
      <c r="J39" s="180"/>
      <c r="K39" s="180"/>
      <c r="L39" s="180"/>
      <c r="Q39" s="688" t="str">
        <f>IF(SUM(Q9:Q37)=6,"COMPLETE","")</f>
        <v>COMPLETE</v>
      </c>
    </row>
    <row r="40" spans="1:17" s="131" customFormat="1" ht="15" customHeight="1" outlineLevel="1">
      <c r="C40" s="140"/>
      <c r="D40" s="132"/>
      <c r="E40" s="132"/>
      <c r="F40" s="132"/>
      <c r="G40" s="132"/>
      <c r="H40" s="132"/>
      <c r="I40" s="136"/>
      <c r="J40" s="136"/>
      <c r="K40" s="136"/>
      <c r="L40" s="38" t="s">
        <v>120</v>
      </c>
    </row>
    <row r="41" spans="1:17" s="18" customFormat="1" ht="15" customHeight="1" outlineLevel="1">
      <c r="B41" s="101"/>
      <c r="C41" s="101"/>
      <c r="D41" s="101"/>
      <c r="E41" s="101"/>
      <c r="F41" s="101"/>
      <c r="G41" s="101"/>
      <c r="H41" s="225"/>
      <c r="I41" s="225"/>
      <c r="J41" s="225"/>
      <c r="K41" s="225"/>
      <c r="L41" s="225"/>
      <c r="M41" s="225"/>
    </row>
    <row r="42" spans="1:17" s="18" customFormat="1" ht="15" customHeight="1" outlineLevel="1">
      <c r="B42" s="227"/>
      <c r="C42" s="227"/>
      <c r="D42" s="227"/>
      <c r="E42" s="227"/>
      <c r="F42" s="227"/>
      <c r="G42" s="227"/>
      <c r="H42" s="226"/>
      <c r="I42" s="226"/>
      <c r="J42" s="226"/>
      <c r="K42" s="226"/>
      <c r="L42" s="226"/>
      <c r="M42" s="225"/>
    </row>
    <row r="43" spans="1:17" s="18" customFormat="1" ht="15" customHeight="1">
      <c r="B43" s="101"/>
      <c r="C43" s="101"/>
      <c r="D43" s="101"/>
      <c r="E43" s="101"/>
      <c r="F43" s="101"/>
      <c r="G43" s="101"/>
      <c r="H43" s="225"/>
      <c r="I43" s="225"/>
      <c r="J43" s="225"/>
      <c r="K43" s="225"/>
      <c r="L43" s="225"/>
      <c r="M43" s="225"/>
    </row>
    <row r="44" spans="1:17" ht="15" customHeight="1">
      <c r="A44" s="131" t="s">
        <v>0</v>
      </c>
      <c r="B44" s="144" t="s">
        <v>74</v>
      </c>
      <c r="C44" s="143"/>
      <c r="D44" s="143"/>
      <c r="E44" s="143"/>
      <c r="F44" s="142"/>
      <c r="G44" s="141"/>
      <c r="H44" s="141"/>
      <c r="I44" s="141"/>
      <c r="J44" s="141"/>
      <c r="K44" s="141"/>
      <c r="L44" s="141"/>
      <c r="M44" s="138"/>
    </row>
    <row r="45" spans="1:17" ht="15" customHeight="1" outlineLevel="1">
      <c r="A45" s="131"/>
      <c r="B45" s="304"/>
      <c r="C45" s="140"/>
      <c r="D45" s="140"/>
      <c r="E45" s="140"/>
      <c r="F45" s="139"/>
      <c r="G45" s="138"/>
      <c r="H45" s="138"/>
      <c r="I45" s="138"/>
      <c r="J45" s="138"/>
      <c r="K45" s="138"/>
      <c r="L45" s="138"/>
      <c r="M45" s="138"/>
    </row>
    <row r="46" spans="1:17" ht="15" customHeight="1" outlineLevel="1">
      <c r="A46" s="131"/>
      <c r="B46" s="122" t="s">
        <v>40</v>
      </c>
      <c r="C46" s="140"/>
      <c r="D46" s="140"/>
      <c r="E46" s="140"/>
      <c r="F46" s="132"/>
      <c r="G46" s="132"/>
      <c r="H46" s="132"/>
      <c r="I46" s="136"/>
      <c r="J46" s="136"/>
      <c r="K46" s="136"/>
      <c r="L46" s="136"/>
      <c r="M46" s="136"/>
    </row>
    <row r="47" spans="1:17" ht="15" customHeight="1" outlineLevel="1">
      <c r="A47" s="131"/>
      <c r="C47" s="140"/>
      <c r="D47" s="140"/>
      <c r="E47" s="140"/>
      <c r="F47" s="132"/>
      <c r="G47" s="221"/>
      <c r="H47" s="221"/>
      <c r="I47" s="220"/>
      <c r="J47" s="220"/>
      <c r="K47" s="220"/>
      <c r="L47" s="220"/>
      <c r="M47" s="220"/>
    </row>
    <row r="48" spans="1:17" ht="15" customHeight="1" outlineLevel="1">
      <c r="A48" s="131"/>
      <c r="B48" s="303"/>
      <c r="C48" s="302"/>
      <c r="D48" s="302"/>
      <c r="E48" s="302"/>
      <c r="F48" s="301"/>
      <c r="G48" s="300"/>
      <c r="H48" s="298" t="s">
        <v>103</v>
      </c>
      <c r="I48" s="299" t="s">
        <v>119</v>
      </c>
      <c r="J48" s="299" t="s">
        <v>119</v>
      </c>
      <c r="K48" s="298" t="s">
        <v>118</v>
      </c>
      <c r="L48" s="297" t="s">
        <v>117</v>
      </c>
    </row>
    <row r="49" spans="1:25" ht="21.75" customHeight="1" outlineLevel="1" thickBot="1">
      <c r="A49" s="131"/>
      <c r="B49" s="114" t="s">
        <v>116</v>
      </c>
      <c r="C49" s="114"/>
      <c r="D49" s="296" t="s">
        <v>115</v>
      </c>
      <c r="E49" s="114"/>
      <c r="F49" s="295" t="s">
        <v>114</v>
      </c>
      <c r="G49" s="295" t="s">
        <v>36</v>
      </c>
      <c r="H49" s="293" t="s">
        <v>113</v>
      </c>
      <c r="I49" s="294" t="s">
        <v>36</v>
      </c>
      <c r="J49" s="294" t="s">
        <v>112</v>
      </c>
      <c r="K49" s="293" t="s">
        <v>111</v>
      </c>
      <c r="L49" s="293" t="s">
        <v>110</v>
      </c>
    </row>
    <row r="50" spans="1:25" ht="15" customHeight="1" outlineLevel="1" thickBot="1">
      <c r="A50" s="131"/>
      <c r="B50" s="292"/>
      <c r="C50" s="292"/>
      <c r="D50" s="292"/>
      <c r="E50" s="292"/>
      <c r="F50" s="288"/>
      <c r="G50" s="288"/>
      <c r="H50" s="291"/>
      <c r="I50" s="290"/>
      <c r="J50" s="290"/>
      <c r="K50" s="289"/>
      <c r="L50" s="288"/>
      <c r="O50" s="669" t="s">
        <v>277</v>
      </c>
      <c r="P50" s="668" t="s">
        <v>278</v>
      </c>
      <c r="Q50" s="671" t="s">
        <v>279</v>
      </c>
      <c r="S50" s="669" t="s">
        <v>277</v>
      </c>
      <c r="T50" s="668" t="s">
        <v>278</v>
      </c>
      <c r="U50" s="671" t="s">
        <v>279</v>
      </c>
      <c r="W50" s="669" t="s">
        <v>277</v>
      </c>
      <c r="X50" s="668" t="s">
        <v>278</v>
      </c>
      <c r="Y50" s="671" t="s">
        <v>279</v>
      </c>
    </row>
    <row r="51" spans="1:25" ht="15" customHeight="1" outlineLevel="1">
      <c r="A51" s="131"/>
      <c r="B51" s="287" t="s">
        <v>109</v>
      </c>
      <c r="C51" s="193"/>
      <c r="D51" s="286" t="s">
        <v>104</v>
      </c>
      <c r="E51" s="286"/>
      <c r="F51" s="273">
        <v>63702</v>
      </c>
      <c r="G51" s="273">
        <v>375499.31244000001</v>
      </c>
      <c r="H51" s="285">
        <v>0.315</v>
      </c>
      <c r="I51" s="284">
        <f>F51/G51</f>
        <v>0.16964611622339193</v>
      </c>
      <c r="J51" s="284">
        <f>F51/(F51+G51)</f>
        <v>0.14504055018893514</v>
      </c>
      <c r="K51" s="283">
        <v>0.85</v>
      </c>
      <c r="L51" s="282">
        <f>K51/(1+(1-H51)*Inputs!I51)</f>
        <v>0.76150709591097243</v>
      </c>
      <c r="O51" s="678">
        <f>SUM(Inputs!I51:I55)</f>
        <v>0.80833165414876373</v>
      </c>
      <c r="P51" s="677">
        <f>SUM(I51:I55)</f>
        <v>0.80833165414876373</v>
      </c>
      <c r="Q51" s="806">
        <f>IF(O51=0,0,IF(O51=P51,1,0))</f>
        <v>1</v>
      </c>
      <c r="S51" s="678">
        <f>SUM(Inputs!J51:J55)</f>
        <v>0.69439549538946588</v>
      </c>
      <c r="T51" s="677">
        <f>SUM(J51:J55)</f>
        <v>0.69439549538946588</v>
      </c>
      <c r="U51" s="806">
        <f>IF(S51=0,0,IF(S51=T51,1,0))</f>
        <v>1</v>
      </c>
      <c r="W51" s="679">
        <f>SUM(Inputs!L51:L55)</f>
        <v>4.5638765222403403</v>
      </c>
      <c r="X51" s="680">
        <f>SUM(L51:L55)</f>
        <v>4.5638765222403403</v>
      </c>
      <c r="Y51" s="806">
        <f>IF(W51=0,0,IF(W51=X51,1,0))</f>
        <v>1</v>
      </c>
    </row>
    <row r="52" spans="1:25" ht="15" customHeight="1" outlineLevel="1">
      <c r="A52" s="131"/>
      <c r="B52" s="287" t="s">
        <v>108</v>
      </c>
      <c r="C52" s="193"/>
      <c r="D52" s="286" t="s">
        <v>104</v>
      </c>
      <c r="E52" s="286"/>
      <c r="F52" s="273">
        <v>43422</v>
      </c>
      <c r="G52" s="273">
        <v>311425.20292000001</v>
      </c>
      <c r="H52" s="285">
        <v>0.32200000000000001</v>
      </c>
      <c r="I52" s="284">
        <f>F52/G52</f>
        <v>0.13942994848478718</v>
      </c>
      <c r="J52" s="284">
        <f>F52/(F52+G52)</f>
        <v>0.12236816196572768</v>
      </c>
      <c r="K52" s="283">
        <v>1.01098</v>
      </c>
      <c r="L52" s="282">
        <f>K52/(1+(1-H52)*Inputs!I52)</f>
        <v>0.92366290781830651</v>
      </c>
    </row>
    <row r="53" spans="1:25" ht="15" customHeight="1" outlineLevel="1">
      <c r="A53" s="131"/>
      <c r="B53" s="287" t="s">
        <v>107</v>
      </c>
      <c r="C53" s="193"/>
      <c r="D53" s="286" t="s">
        <v>104</v>
      </c>
      <c r="E53" s="286"/>
      <c r="F53" s="273">
        <v>26211</v>
      </c>
      <c r="G53" s="273">
        <v>131995.55592000001</v>
      </c>
      <c r="H53" s="285">
        <v>0.31900000000000001</v>
      </c>
      <c r="I53" s="284">
        <f>F53/G53</f>
        <v>0.19857486729239571</v>
      </c>
      <c r="J53" s="284">
        <f>F53/(F53+G53)</f>
        <v>0.16567581442866416</v>
      </c>
      <c r="K53" s="283">
        <v>1.3357300000000001</v>
      </c>
      <c r="L53" s="282">
        <f>K53/(1+(1-H53)*Inputs!I53)</f>
        <v>1.1766167264761553</v>
      </c>
    </row>
    <row r="54" spans="1:25" ht="15" customHeight="1" outlineLevel="1">
      <c r="A54" s="131"/>
      <c r="B54" s="287" t="s">
        <v>106</v>
      </c>
      <c r="C54" s="193"/>
      <c r="D54" s="286" t="s">
        <v>104</v>
      </c>
      <c r="E54" s="286"/>
      <c r="F54" s="273">
        <v>15109</v>
      </c>
      <c r="G54" s="273">
        <v>95746.137521500015</v>
      </c>
      <c r="H54" s="285">
        <v>0.33</v>
      </c>
      <c r="I54" s="284">
        <f>F54/G54</f>
        <v>0.15780271028277501</v>
      </c>
      <c r="J54" s="284">
        <f>F54/(F54+G54)</f>
        <v>0.13629499126343744</v>
      </c>
      <c r="K54" s="283">
        <v>0.99399000000000004</v>
      </c>
      <c r="L54" s="282">
        <f>K54/(1+(1-H54)*Inputs!I54)</f>
        <v>0.89894636430071528</v>
      </c>
    </row>
    <row r="55" spans="1:25" ht="15" customHeight="1" outlineLevel="1">
      <c r="A55" s="131"/>
      <c r="B55" s="281" t="s">
        <v>105</v>
      </c>
      <c r="C55" s="281"/>
      <c r="D55" s="280" t="s">
        <v>104</v>
      </c>
      <c r="E55" s="280"/>
      <c r="F55" s="279">
        <v>95234</v>
      </c>
      <c r="G55" s="279">
        <v>666540.62970659998</v>
      </c>
      <c r="H55" s="278">
        <v>0.30199999999999999</v>
      </c>
      <c r="I55" s="277">
        <f>F55/G55</f>
        <v>0.14287801186541382</v>
      </c>
      <c r="J55" s="277">
        <f>F55/(F55+G55)</f>
        <v>0.12501597754270144</v>
      </c>
      <c r="K55" s="276">
        <v>0.88324000000000003</v>
      </c>
      <c r="L55" s="275">
        <f>K55/(1+(1-H55)*Inputs!I55)</f>
        <v>0.80314342773419056</v>
      </c>
    </row>
    <row r="56" spans="1:25" ht="15" customHeight="1" outlineLevel="1">
      <c r="A56" s="131"/>
      <c r="C56" s="274"/>
      <c r="D56" s="104"/>
      <c r="E56" s="104"/>
      <c r="F56" s="273"/>
      <c r="G56" s="273"/>
      <c r="H56" s="250"/>
      <c r="I56" s="272"/>
      <c r="J56" s="272"/>
      <c r="K56" s="271"/>
      <c r="L56" s="270"/>
    </row>
    <row r="57" spans="1:25" ht="15" customHeight="1" outlineLevel="1">
      <c r="A57" s="131"/>
      <c r="B57" s="122"/>
      <c r="C57" s="140"/>
      <c r="D57" s="140"/>
      <c r="E57" s="140"/>
      <c r="F57" s="132"/>
      <c r="G57" s="269" t="s">
        <v>103</v>
      </c>
      <c r="H57" s="268">
        <f>AVERAGE(H51:H55)</f>
        <v>0.31759999999999999</v>
      </c>
      <c r="I57" s="267">
        <f>AVERAGE(I51:I55)</f>
        <v>0.16166633082975274</v>
      </c>
      <c r="J57" s="267">
        <f>AVERAGE(J51:J55)</f>
        <v>0.13887909907789317</v>
      </c>
      <c r="K57" s="266">
        <f>AVERAGE(K51:K55)</f>
        <v>1.014788</v>
      </c>
      <c r="L57" s="266">
        <f>AVERAGE(L51:L55)</f>
        <v>0.91277530444806809</v>
      </c>
    </row>
    <row r="58" spans="1:25" ht="15" customHeight="1" outlineLevel="1">
      <c r="A58" s="131"/>
      <c r="B58" s="122"/>
      <c r="C58" s="140"/>
      <c r="D58" s="140"/>
      <c r="E58" s="140"/>
      <c r="F58" s="132"/>
      <c r="G58" s="265" t="s">
        <v>102</v>
      </c>
      <c r="H58" s="264">
        <f>MEDIAN(H51:H55)</f>
        <v>0.31900000000000001</v>
      </c>
      <c r="I58" s="263">
        <f>MEDIAN(I51:I55)</f>
        <v>0.15780271028277501</v>
      </c>
      <c r="J58" s="263">
        <f>MEDIAN(J51:J55)</f>
        <v>0.13629499126343744</v>
      </c>
      <c r="K58" s="262">
        <f>MEDIAN(K51:K55)</f>
        <v>0.99399000000000004</v>
      </c>
      <c r="L58" s="262">
        <f>MEDIAN(L51:L55)</f>
        <v>0.89894636430071528</v>
      </c>
    </row>
    <row r="59" spans="1:25" ht="15" customHeight="1" outlineLevel="1">
      <c r="A59" s="131"/>
      <c r="B59" s="122"/>
      <c r="C59" s="140"/>
      <c r="D59" s="140"/>
      <c r="E59" s="140"/>
      <c r="F59" s="132"/>
      <c r="G59" s="132"/>
      <c r="H59" s="261"/>
      <c r="I59" s="260"/>
      <c r="J59" s="260"/>
      <c r="K59" s="259"/>
      <c r="L59" s="259"/>
    </row>
    <row r="60" spans="1:25" ht="15" customHeight="1" outlineLevel="1">
      <c r="A60" s="131"/>
      <c r="B60" s="104"/>
      <c r="C60" s="140"/>
      <c r="D60" s="140"/>
      <c r="E60" s="140"/>
      <c r="F60" s="258"/>
      <c r="G60" s="257"/>
      <c r="H60" s="257"/>
      <c r="I60" s="256"/>
      <c r="J60" s="256"/>
      <c r="K60" s="256"/>
      <c r="L60" s="256"/>
      <c r="M60" s="256"/>
    </row>
    <row r="61" spans="1:25" ht="15" customHeight="1" outlineLevel="1">
      <c r="A61" s="131"/>
      <c r="B61" s="242" t="s">
        <v>101</v>
      </c>
      <c r="C61" s="35"/>
      <c r="D61" s="35"/>
      <c r="E61" s="35"/>
      <c r="F61" s="240"/>
      <c r="H61" s="242" t="s">
        <v>94</v>
      </c>
      <c r="I61" s="241"/>
      <c r="J61" s="35"/>
      <c r="K61" s="241"/>
      <c r="L61" s="240"/>
    </row>
    <row r="62" spans="1:25" s="102" customFormat="1" ht="15" customHeight="1" outlineLevel="1">
      <c r="B62" s="239"/>
      <c r="C62" s="239"/>
      <c r="D62" s="239"/>
      <c r="E62" s="239"/>
      <c r="F62" s="239"/>
      <c r="H62" s="239"/>
      <c r="I62" s="239"/>
      <c r="J62" s="239"/>
      <c r="K62" s="239"/>
      <c r="L62" s="239"/>
      <c r="O62" s="34"/>
      <c r="P62" s="34"/>
      <c r="Q62" s="34"/>
    </row>
    <row r="63" spans="1:25" s="102" customFormat="1" ht="15" customHeight="1" outlineLevel="1" thickBot="1">
      <c r="B63" s="229" t="s">
        <v>100</v>
      </c>
      <c r="C63" s="34"/>
      <c r="D63" s="100"/>
      <c r="E63" s="100"/>
      <c r="F63" s="250">
        <v>4.7E-2</v>
      </c>
      <c r="H63" s="229" t="s">
        <v>99</v>
      </c>
      <c r="I63" s="34"/>
      <c r="J63" s="34"/>
      <c r="K63" s="34"/>
      <c r="L63" s="250">
        <v>2.4E-2</v>
      </c>
      <c r="O63" s="662" t="s">
        <v>277</v>
      </c>
      <c r="P63" s="663" t="s">
        <v>278</v>
      </c>
      <c r="Q63" s="664" t="s">
        <v>279</v>
      </c>
      <c r="S63" s="662" t="s">
        <v>277</v>
      </c>
      <c r="T63" s="663" t="s">
        <v>278</v>
      </c>
      <c r="U63" s="664" t="s">
        <v>279</v>
      </c>
    </row>
    <row r="64" spans="1:25" ht="15" customHeight="1" outlineLevel="1">
      <c r="A64" s="131"/>
      <c r="B64" s="229" t="s">
        <v>98</v>
      </c>
      <c r="F64" s="255">
        <f>Inputs!L57</f>
        <v>0.91277530444806809</v>
      </c>
      <c r="H64" s="229" t="s">
        <v>95</v>
      </c>
      <c r="J64" s="102"/>
      <c r="L64" s="234">
        <f>Inputs!F66</f>
        <v>4.8199905341354751E-2</v>
      </c>
      <c r="O64" s="691">
        <f>Inputs!F64</f>
        <v>0.91277530444806809</v>
      </c>
      <c r="P64" s="690">
        <f>F64</f>
        <v>0.91277530444806809</v>
      </c>
      <c r="Q64" s="808">
        <f>IF(O64=0,0,IF(O64=P64,1,0))</f>
        <v>1</v>
      </c>
      <c r="S64" s="666">
        <f>Inputs!L64</f>
        <v>4.8199905341354751E-2</v>
      </c>
      <c r="T64" s="682">
        <f>L64</f>
        <v>4.8199905341354751E-2</v>
      </c>
      <c r="U64" s="808">
        <f>IF(S64=0,0,IF(S64=T64,1,0))</f>
        <v>1</v>
      </c>
    </row>
    <row r="65" spans="1:25" ht="15" customHeight="1" outlineLevel="1">
      <c r="A65" s="131"/>
      <c r="B65" s="254" t="s">
        <v>97</v>
      </c>
      <c r="F65" s="253">
        <f>F64*(1+(1-L73)*Inputs!F77)</f>
        <v>1.0255299008798884</v>
      </c>
      <c r="H65" s="229" t="s">
        <v>96</v>
      </c>
      <c r="L65" s="249">
        <v>3.5999999999999997E-2</v>
      </c>
      <c r="O65" s="691">
        <f>Inputs!F65</f>
        <v>1.0255299008798884</v>
      </c>
      <c r="P65" s="690">
        <f>F65</f>
        <v>1.0255299008798884</v>
      </c>
      <c r="Q65" s="808">
        <f t="shared" ref="Q65:Q66" si="2">IF(O65=0,0,IF(O65=P65,1,0))</f>
        <v>1</v>
      </c>
      <c r="S65" s="691"/>
      <c r="T65" s="690"/>
      <c r="U65" s="808"/>
    </row>
    <row r="66" spans="1:25" ht="15" customHeight="1" outlineLevel="1">
      <c r="A66" s="131"/>
      <c r="B66" s="229" t="s">
        <v>95</v>
      </c>
      <c r="F66" s="234">
        <f>F63*Inputs!F65</f>
        <v>4.8199905341354751E-2</v>
      </c>
      <c r="H66" s="229" t="s">
        <v>94</v>
      </c>
      <c r="J66" s="102"/>
      <c r="L66" s="234">
        <f>SUM(Inputs!L63:L65)</f>
        <v>0.10819990534135476</v>
      </c>
      <c r="O66" s="685">
        <f>Inputs!F66</f>
        <v>4.8199905341354751E-2</v>
      </c>
      <c r="P66" s="683">
        <f t="shared" ref="P66" si="3">F66</f>
        <v>4.8199905341354751E-2</v>
      </c>
      <c r="Q66" s="809">
        <f t="shared" si="2"/>
        <v>1</v>
      </c>
      <c r="S66" s="685">
        <f>Inputs!L66</f>
        <v>0.10819990534135476</v>
      </c>
      <c r="T66" s="683">
        <f>L66</f>
        <v>0.10819990534135476</v>
      </c>
      <c r="U66" s="809">
        <f>IF(S66=0,0,IF(S66=T66,1,0))</f>
        <v>1</v>
      </c>
    </row>
    <row r="67" spans="1:25" ht="15" customHeight="1" outlineLevel="1">
      <c r="A67" s="131"/>
    </row>
    <row r="68" spans="1:25" s="102" customFormat="1" ht="15" customHeight="1" outlineLevel="1"/>
    <row r="69" spans="1:25" s="102" customFormat="1" ht="15" customHeight="1" outlineLevel="1">
      <c r="I69" s="252"/>
      <c r="K69" s="252"/>
      <c r="L69" s="252"/>
    </row>
    <row r="70" spans="1:25" ht="15" customHeight="1" outlineLevel="1">
      <c r="A70" s="131"/>
      <c r="B70" s="242" t="s">
        <v>93</v>
      </c>
      <c r="C70" s="35"/>
      <c r="D70" s="35"/>
      <c r="E70" s="251"/>
      <c r="F70" s="251"/>
      <c r="H70" s="242" t="s">
        <v>92</v>
      </c>
      <c r="I70" s="35"/>
      <c r="J70" s="35"/>
      <c r="K70" s="35"/>
      <c r="L70" s="240"/>
    </row>
    <row r="71" spans="1:25" ht="15" customHeight="1" outlineLevel="1">
      <c r="A71" s="131"/>
      <c r="C71" s="239"/>
      <c r="D71" s="239"/>
      <c r="E71" s="239"/>
      <c r="F71" s="239"/>
      <c r="H71" s="239"/>
      <c r="I71" s="239"/>
      <c r="J71" s="239"/>
      <c r="K71" s="239"/>
      <c r="L71" s="239"/>
    </row>
    <row r="72" spans="1:25" ht="15" customHeight="1" outlineLevel="1" thickBot="1">
      <c r="A72" s="131"/>
      <c r="B72" s="122"/>
      <c r="E72" s="238" t="s">
        <v>91</v>
      </c>
      <c r="F72" s="238" t="s">
        <v>90</v>
      </c>
      <c r="H72" s="229" t="s">
        <v>89</v>
      </c>
      <c r="I72" s="102"/>
      <c r="K72" s="102"/>
      <c r="L72" s="250">
        <v>5.1999999999999998E-2</v>
      </c>
      <c r="O72" s="662" t="s">
        <v>277</v>
      </c>
      <c r="P72" s="663" t="s">
        <v>278</v>
      </c>
      <c r="Q72" s="664" t="s">
        <v>279</v>
      </c>
      <c r="W72" s="662" t="s">
        <v>277</v>
      </c>
      <c r="X72" s="663" t="s">
        <v>278</v>
      </c>
      <c r="Y72" s="664" t="s">
        <v>279</v>
      </c>
    </row>
    <row r="73" spans="1:25" ht="15" customHeight="1" outlineLevel="1">
      <c r="A73" s="131"/>
      <c r="B73" s="229" t="s">
        <v>88</v>
      </c>
      <c r="C73" s="102"/>
      <c r="D73" s="208">
        <v>19102</v>
      </c>
      <c r="E73" s="234">
        <f>D73/$D$75</f>
        <v>0.13153654404979961</v>
      </c>
      <c r="F73" s="250">
        <v>0.15</v>
      </c>
      <c r="H73" s="229" t="s">
        <v>87</v>
      </c>
      <c r="L73" s="249">
        <v>0.3</v>
      </c>
      <c r="O73" s="666">
        <f>SUM(Inputs!E73:F73)</f>
        <v>0.28153654404979961</v>
      </c>
      <c r="P73" s="682">
        <f>SUM(E73:F73)</f>
        <v>0.28153654404979961</v>
      </c>
      <c r="Q73" s="808">
        <f>IF(O73=0,0,IF(O73=P73,1,0))</f>
        <v>1</v>
      </c>
      <c r="W73" s="684"/>
      <c r="X73" s="681"/>
      <c r="Y73" s="686"/>
    </row>
    <row r="74" spans="1:25" ht="15" customHeight="1" outlineLevel="1">
      <c r="A74" s="131"/>
      <c r="B74" s="229" t="s">
        <v>86</v>
      </c>
      <c r="D74" s="248">
        <v>126120</v>
      </c>
      <c r="E74" s="247">
        <f>D74/$D$75</f>
        <v>0.86846345595020036</v>
      </c>
      <c r="F74" s="247">
        <f>1-F73</f>
        <v>0.85</v>
      </c>
      <c r="H74" s="229" t="s">
        <v>85</v>
      </c>
      <c r="L74" s="234">
        <f>L72*(1-L73)</f>
        <v>3.6399999999999995E-2</v>
      </c>
      <c r="O74" s="666">
        <f>SUM(Inputs!E74:F74)</f>
        <v>1.7184634559502003</v>
      </c>
      <c r="P74" s="682">
        <f t="shared" ref="P74:P75" si="4">SUM(E74:F74)</f>
        <v>1.7184634559502003</v>
      </c>
      <c r="Q74" s="808">
        <f t="shared" ref="Q74:Q75" si="5">IF(O74=0,0,IF(O74=P74,1,0))</f>
        <v>1</v>
      </c>
      <c r="W74" s="685">
        <f>Inputs!L74</f>
        <v>3.6399999999999995E-2</v>
      </c>
      <c r="X74" s="683">
        <f>L74</f>
        <v>3.6399999999999995E-2</v>
      </c>
      <c r="Y74" s="809">
        <f>IF(W74=0,0,IF(W74=X74,1,0))</f>
        <v>1</v>
      </c>
    </row>
    <row r="75" spans="1:25" ht="15" customHeight="1" outlineLevel="1">
      <c r="A75" s="131"/>
      <c r="B75" s="229" t="s">
        <v>84</v>
      </c>
      <c r="D75" s="246">
        <f>SUM(D73:D74)</f>
        <v>145222</v>
      </c>
      <c r="E75" s="234">
        <f>SUM(E73:E74)</f>
        <v>1</v>
      </c>
      <c r="F75" s="234">
        <f>SUM(F73:F74)</f>
        <v>1</v>
      </c>
      <c r="O75" s="666">
        <f>SUM(Inputs!E75:F75)</f>
        <v>2</v>
      </c>
      <c r="P75" s="682">
        <f t="shared" si="4"/>
        <v>2</v>
      </c>
      <c r="Q75" s="808">
        <f t="shared" si="5"/>
        <v>1</v>
      </c>
    </row>
    <row r="76" spans="1:25" ht="15" customHeight="1" outlineLevel="1">
      <c r="A76" s="131"/>
      <c r="F76" s="132"/>
      <c r="O76" s="684"/>
      <c r="P76" s="681"/>
      <c r="Q76" s="816"/>
    </row>
    <row r="77" spans="1:25" ht="15" customHeight="1" outlineLevel="1">
      <c r="A77" s="131"/>
      <c r="B77" s="245" t="s">
        <v>83</v>
      </c>
      <c r="C77" s="244"/>
      <c r="D77" s="244"/>
      <c r="E77" s="243">
        <f>Inputs!E73/Inputs!E74</f>
        <v>0.15145892800507454</v>
      </c>
      <c r="F77" s="243">
        <f>Inputs!F73/Inputs!F74</f>
        <v>0.17647058823529413</v>
      </c>
      <c r="H77" s="242" t="s">
        <v>74</v>
      </c>
      <c r="I77" s="241"/>
      <c r="J77" s="35"/>
      <c r="K77" s="240"/>
      <c r="L77" s="35"/>
      <c r="O77" s="685">
        <f>SUM(Inputs!E77:F77)</f>
        <v>0.3279295162403687</v>
      </c>
      <c r="P77" s="683">
        <f t="shared" ref="P77" si="6">SUM(E77:F77)</f>
        <v>0.3279295162403687</v>
      </c>
      <c r="Q77" s="809">
        <f t="shared" ref="Q77" si="7">IF(O77=0,0,IF(O77=P77,1,0))</f>
        <v>1</v>
      </c>
    </row>
    <row r="78" spans="1:25" s="102" customFormat="1" ht="15" customHeight="1" outlineLevel="1">
      <c r="B78" s="114"/>
      <c r="C78" s="34"/>
      <c r="D78" s="34"/>
      <c r="E78" s="34"/>
      <c r="F78" s="34"/>
      <c r="G78" s="140"/>
      <c r="H78" s="239"/>
      <c r="I78" s="239"/>
      <c r="J78" s="239"/>
      <c r="K78" s="239"/>
      <c r="L78" s="239"/>
    </row>
    <row r="79" spans="1:25" s="102" customFormat="1" ht="15" customHeight="1" outlineLevel="1" thickBot="1">
      <c r="B79" s="104"/>
      <c r="C79" s="34"/>
      <c r="D79" s="34"/>
      <c r="E79" s="34"/>
      <c r="F79" s="34"/>
      <c r="G79" s="140"/>
      <c r="K79" s="238" t="s">
        <v>82</v>
      </c>
      <c r="L79" s="238" t="s">
        <v>81</v>
      </c>
      <c r="S79" s="662" t="s">
        <v>277</v>
      </c>
      <c r="T79" s="663" t="s">
        <v>278</v>
      </c>
      <c r="U79" s="664" t="s">
        <v>279</v>
      </c>
      <c r="W79" s="662" t="s">
        <v>277</v>
      </c>
      <c r="X79" s="663" t="s">
        <v>278</v>
      </c>
      <c r="Y79" s="664" t="s">
        <v>279</v>
      </c>
    </row>
    <row r="80" spans="1:25" ht="15" customHeight="1" outlineLevel="1">
      <c r="A80" s="131"/>
      <c r="B80" s="237" t="s">
        <v>80</v>
      </c>
      <c r="C80" s="102"/>
      <c r="D80" s="235"/>
      <c r="E80" s="235"/>
      <c r="F80" s="235"/>
      <c r="H80" s="229" t="s">
        <v>79</v>
      </c>
      <c r="J80" s="102"/>
      <c r="K80" s="234">
        <f>F73</f>
        <v>0.15</v>
      </c>
      <c r="L80" s="234">
        <f>Inputs!L74</f>
        <v>3.6399999999999995E-2</v>
      </c>
      <c r="S80" s="666">
        <f>Inputs!K80</f>
        <v>0.15</v>
      </c>
      <c r="T80" s="682">
        <f>K80</f>
        <v>0.15</v>
      </c>
      <c r="U80" s="808">
        <f>IF(S80=0,0,IF(S80=T80,1,0))</f>
        <v>1</v>
      </c>
      <c r="W80" s="666">
        <f>Inputs!L80</f>
        <v>3.6399999999999995E-2</v>
      </c>
      <c r="X80" s="682">
        <f>L80</f>
        <v>3.6399999999999995E-2</v>
      </c>
      <c r="Y80" s="808">
        <f>IF(W80=0,0,IF(W80=X80,1,0))</f>
        <v>1</v>
      </c>
    </row>
    <row r="81" spans="1:25" ht="15" customHeight="1" outlineLevel="1">
      <c r="A81" s="131"/>
      <c r="B81" s="236" t="s">
        <v>78</v>
      </c>
      <c r="C81" s="102"/>
      <c r="D81" s="235"/>
      <c r="E81" s="235"/>
      <c r="F81" s="235"/>
      <c r="H81" s="229" t="s">
        <v>77</v>
      </c>
      <c r="K81" s="234">
        <f>Inputs!F74</f>
        <v>0.85</v>
      </c>
      <c r="L81" s="234">
        <f>Inputs!L66</f>
        <v>0.10819990534135476</v>
      </c>
      <c r="S81" s="685">
        <f>Inputs!K81</f>
        <v>0.85</v>
      </c>
      <c r="T81" s="683">
        <f>K81</f>
        <v>0.85</v>
      </c>
      <c r="U81" s="809">
        <f t="shared" ref="U81" si="8">IF(S81=0,0,IF(S81=T81,1,0))</f>
        <v>1</v>
      </c>
      <c r="W81" s="666">
        <f>Inputs!L81</f>
        <v>0.10819990534135476</v>
      </c>
      <c r="X81" s="682">
        <f>L81</f>
        <v>0.10819990534135476</v>
      </c>
      <c r="Y81" s="808">
        <f t="shared" ref="Y81" si="9">IF(W81=0,0,IF(W81=X81,1,0))</f>
        <v>1</v>
      </c>
    </row>
    <row r="82" spans="1:25" ht="15" customHeight="1" outlineLevel="1">
      <c r="A82" s="131"/>
      <c r="B82" s="233" t="s">
        <v>76</v>
      </c>
      <c r="W82" s="684"/>
      <c r="X82" s="681"/>
      <c r="Y82" s="816"/>
    </row>
    <row r="83" spans="1:25" ht="15" customHeight="1" outlineLevel="1">
      <c r="B83" s="232" t="s">
        <v>75</v>
      </c>
      <c r="H83" s="102"/>
      <c r="I83" s="102"/>
      <c r="J83" s="102"/>
      <c r="K83" s="102"/>
      <c r="L83" s="231"/>
      <c r="W83" s="684"/>
      <c r="X83" s="681"/>
      <c r="Y83" s="816"/>
    </row>
    <row r="84" spans="1:25" s="102" customFormat="1" ht="15" customHeight="1" outlineLevel="1" thickBot="1">
      <c r="B84" s="230"/>
      <c r="H84" s="229" t="s">
        <v>74</v>
      </c>
      <c r="I84" s="34"/>
      <c r="J84" s="34"/>
      <c r="L84" s="228">
        <f>SUMPRODUCT(Inputs!K80:K81,Inputs!L80:L81)</f>
        <v>9.7429919540151538E-2</v>
      </c>
      <c r="W84" s="685">
        <f>Inputs!L84</f>
        <v>9.7429919540151538E-2</v>
      </c>
      <c r="X84" s="683">
        <f>L84</f>
        <v>9.7429919540151538E-2</v>
      </c>
      <c r="Y84" s="809">
        <f t="shared" ref="Y84" si="10">IF(W84=0,0,IF(W84=X84,1,0))</f>
        <v>1</v>
      </c>
    </row>
    <row r="85" spans="1:25" ht="15" customHeight="1" outlineLevel="1">
      <c r="Y85" s="799"/>
    </row>
    <row r="86" spans="1:25" s="18" customFormat="1" ht="15" customHeight="1" outlineLevel="1">
      <c r="B86" s="227"/>
      <c r="C86" s="227"/>
      <c r="D86" s="227"/>
      <c r="E86" s="227"/>
      <c r="F86" s="227"/>
      <c r="G86" s="227"/>
      <c r="H86" s="226"/>
      <c r="I86" s="226"/>
      <c r="J86" s="226"/>
      <c r="K86" s="226"/>
      <c r="L86" s="226"/>
      <c r="M86" s="225"/>
      <c r="Y86" s="688" t="str">
        <f>IF(SUM(Y50:Y84)+SUM(U50:U84)+SUM(Q50:Q84)=18,"COMPLETE","")</f>
        <v>COMPLETE</v>
      </c>
    </row>
    <row r="88" spans="1:25" ht="15" customHeight="1">
      <c r="A88" s="176" t="s">
        <v>0</v>
      </c>
      <c r="B88" s="144" t="s">
        <v>62</v>
      </c>
      <c r="C88" s="143"/>
      <c r="D88" s="142"/>
      <c r="E88" s="142"/>
      <c r="F88" s="141"/>
      <c r="G88" s="141"/>
      <c r="H88" s="141"/>
      <c r="I88" s="141"/>
      <c r="J88" s="141"/>
      <c r="K88" s="141"/>
      <c r="L88" s="141"/>
      <c r="M88" s="138"/>
    </row>
    <row r="89" spans="1:25" ht="15" customHeight="1" outlineLevel="1">
      <c r="A89" s="176"/>
      <c r="B89" s="122"/>
      <c r="C89" s="224"/>
      <c r="D89" s="224"/>
      <c r="E89" s="224"/>
      <c r="F89" s="224"/>
      <c r="G89" s="183"/>
      <c r="H89" s="223"/>
      <c r="I89" s="223"/>
      <c r="J89" s="223"/>
      <c r="K89" s="223"/>
      <c r="L89" s="223"/>
      <c r="M89" s="222"/>
    </row>
    <row r="90" spans="1:25" ht="15" customHeight="1" outlineLevel="1">
      <c r="A90" s="131"/>
      <c r="B90" s="122" t="s">
        <v>40</v>
      </c>
      <c r="C90" s="140"/>
      <c r="D90" s="140"/>
      <c r="E90" s="140"/>
      <c r="F90" s="132"/>
      <c r="G90" s="132"/>
      <c r="H90" s="132"/>
      <c r="I90" s="136"/>
      <c r="J90" s="136"/>
      <c r="K90" s="136"/>
      <c r="L90" s="136"/>
      <c r="M90" s="136"/>
    </row>
    <row r="91" spans="1:25" ht="15" customHeight="1" outlineLevel="1">
      <c r="A91" s="131"/>
      <c r="C91" s="140"/>
      <c r="D91" s="140"/>
      <c r="E91" s="140"/>
      <c r="F91" s="132"/>
      <c r="G91" s="221"/>
      <c r="H91" s="221"/>
      <c r="I91" s="220"/>
      <c r="J91" s="220"/>
      <c r="K91" s="220"/>
      <c r="L91" s="220"/>
      <c r="M91" s="220"/>
    </row>
    <row r="92" spans="1:25" ht="15" customHeight="1" outlineLevel="1">
      <c r="A92" s="131"/>
      <c r="C92" s="140"/>
      <c r="D92" s="140"/>
      <c r="E92" s="140"/>
      <c r="F92" s="132"/>
      <c r="G92" s="221"/>
      <c r="H92" s="221"/>
      <c r="I92" s="220"/>
      <c r="J92" s="220"/>
      <c r="K92" s="220"/>
      <c r="L92" s="220"/>
      <c r="M92" s="220"/>
    </row>
    <row r="93" spans="1:25" ht="15" customHeight="1" outlineLevel="1">
      <c r="A93" s="176"/>
      <c r="B93" s="205" t="s">
        <v>73</v>
      </c>
      <c r="C93" s="204"/>
      <c r="D93" s="204"/>
      <c r="E93" s="204"/>
      <c r="F93" s="204"/>
      <c r="G93" s="204"/>
      <c r="H93" s="205" t="str">
        <f>CONCATENATE("End of ",G5-1," Balances")</f>
        <v>End of 2022 Balances</v>
      </c>
    </row>
    <row r="94" spans="1:25" ht="15" customHeight="1" outlineLevel="1">
      <c r="A94" s="176"/>
      <c r="B94" s="219" t="s">
        <v>72</v>
      </c>
      <c r="C94" s="203"/>
      <c r="D94" s="218"/>
      <c r="E94" s="202" t="s">
        <v>68</v>
      </c>
      <c r="F94" s="217">
        <v>45016</v>
      </c>
      <c r="G94" s="204"/>
      <c r="H94" s="203" t="s">
        <v>33</v>
      </c>
      <c r="I94" s="203"/>
      <c r="J94" s="216"/>
      <c r="K94" s="72"/>
      <c r="L94" s="201">
        <v>18642</v>
      </c>
    </row>
    <row r="95" spans="1:25" ht="15" customHeight="1" outlineLevel="1">
      <c r="A95" s="176"/>
      <c r="B95" s="191" t="s">
        <v>71</v>
      </c>
      <c r="C95" s="101"/>
      <c r="D95" s="193"/>
      <c r="E95" s="213" t="s">
        <v>68</v>
      </c>
      <c r="F95" s="215">
        <v>45107</v>
      </c>
      <c r="G95" s="204"/>
      <c r="H95" s="204" t="s">
        <v>70</v>
      </c>
      <c r="I95" s="214"/>
      <c r="J95" s="204"/>
      <c r="L95" s="198">
        <v>65014</v>
      </c>
    </row>
    <row r="96" spans="1:25" ht="15" customHeight="1" outlineLevel="1">
      <c r="A96" s="176"/>
      <c r="B96" s="101" t="s">
        <v>69</v>
      </c>
      <c r="C96" s="193"/>
      <c r="D96" s="193"/>
      <c r="E96" s="213" t="s">
        <v>68</v>
      </c>
      <c r="F96" s="215">
        <v>45291</v>
      </c>
      <c r="G96" s="204"/>
      <c r="H96" s="204" t="s">
        <v>67</v>
      </c>
      <c r="I96" s="214"/>
      <c r="J96" s="214"/>
      <c r="L96" s="198">
        <v>39211</v>
      </c>
    </row>
    <row r="97" spans="1:17" ht="15" customHeight="1" outlineLevel="1">
      <c r="A97" s="176"/>
      <c r="B97" s="101" t="s">
        <v>66</v>
      </c>
      <c r="C97" s="101"/>
      <c r="D97" s="193"/>
      <c r="E97" s="213" t="s">
        <v>65</v>
      </c>
      <c r="F97" s="212">
        <f>YEAR(F96)</f>
        <v>2023</v>
      </c>
      <c r="G97" s="204"/>
      <c r="H97" s="204" t="s">
        <v>64</v>
      </c>
      <c r="I97" s="204"/>
      <c r="J97" s="204"/>
      <c r="L97" s="211">
        <v>24128</v>
      </c>
    </row>
    <row r="98" spans="1:17" ht="15" customHeight="1" outlineLevel="1">
      <c r="A98" s="176"/>
      <c r="B98" s="191" t="s">
        <v>16</v>
      </c>
      <c r="C98" s="193"/>
      <c r="D98" s="193"/>
      <c r="E98" s="193"/>
      <c r="F98" s="210">
        <f>IF(F94&gt;F95,1,0)</f>
        <v>0</v>
      </c>
      <c r="G98" s="196"/>
    </row>
    <row r="99" spans="1:17" ht="15" customHeight="1" outlineLevel="1">
      <c r="A99" s="176"/>
      <c r="B99" s="191" t="s">
        <v>14</v>
      </c>
      <c r="C99" s="101"/>
      <c r="D99" s="101"/>
      <c r="E99" s="193"/>
      <c r="F99" s="210">
        <f>IF(F95&gt;F96,1,0)</f>
        <v>0</v>
      </c>
    </row>
    <row r="100" spans="1:17" ht="15" customHeight="1" outlineLevel="1">
      <c r="A100" s="176"/>
      <c r="B100" s="101" t="s">
        <v>63</v>
      </c>
      <c r="C100" s="209"/>
      <c r="D100" s="209"/>
      <c r="E100" s="193"/>
      <c r="F100" s="208">
        <v>365</v>
      </c>
    </row>
    <row r="101" spans="1:17" ht="15" customHeight="1" outlineLevel="1">
      <c r="A101" s="176"/>
      <c r="B101" s="101"/>
      <c r="C101" s="209"/>
      <c r="D101" s="209"/>
      <c r="E101" s="193"/>
      <c r="F101" s="208"/>
    </row>
    <row r="102" spans="1:17" ht="15" customHeight="1" outlineLevel="1">
      <c r="A102" s="176"/>
    </row>
    <row r="103" spans="1:17" ht="15" customHeight="1" outlineLevel="1">
      <c r="A103" s="176"/>
      <c r="H103" s="207" t="s">
        <v>62</v>
      </c>
      <c r="I103" s="206"/>
      <c r="J103" s="206"/>
      <c r="K103" s="206"/>
      <c r="L103" s="206"/>
    </row>
    <row r="104" spans="1:17" ht="15" customHeight="1" outlineLevel="1">
      <c r="A104" s="176"/>
      <c r="B104" s="205" t="s">
        <v>61</v>
      </c>
      <c r="C104" s="204"/>
      <c r="D104" s="204"/>
      <c r="E104" s="204"/>
      <c r="F104" s="204"/>
      <c r="G104" s="196"/>
      <c r="H104" s="101" t="s">
        <v>60</v>
      </c>
      <c r="I104" s="101"/>
      <c r="J104" s="101"/>
      <c r="K104" s="182" t="s">
        <v>59</v>
      </c>
      <c r="L104" s="198">
        <v>1600</v>
      </c>
    </row>
    <row r="105" spans="1:17" ht="15" customHeight="1" outlineLevel="1">
      <c r="A105" s="176"/>
      <c r="B105" s="203" t="s">
        <v>32</v>
      </c>
      <c r="C105" s="203"/>
      <c r="D105" s="203"/>
      <c r="E105" s="202" t="s">
        <v>31</v>
      </c>
      <c r="F105" s="201">
        <v>34200</v>
      </c>
      <c r="G105" s="196"/>
      <c r="H105" s="101" t="s">
        <v>58</v>
      </c>
      <c r="I105" s="200"/>
      <c r="J105" s="101"/>
      <c r="K105" s="199"/>
      <c r="L105" s="198">
        <v>2520</v>
      </c>
    </row>
    <row r="106" spans="1:17" s="18" customFormat="1" ht="15" customHeight="1" outlineLevel="1">
      <c r="B106" s="109" t="s">
        <v>30</v>
      </c>
      <c r="C106" s="109"/>
      <c r="D106" s="109"/>
      <c r="E106" s="186" t="s">
        <v>29</v>
      </c>
      <c r="F106" s="185">
        <v>2.23</v>
      </c>
      <c r="G106" s="196"/>
      <c r="H106" s="101" t="s">
        <v>57</v>
      </c>
      <c r="I106" s="101"/>
      <c r="J106" s="101"/>
      <c r="K106" s="101"/>
      <c r="L106" s="194">
        <v>0.5</v>
      </c>
      <c r="M106" s="34"/>
    </row>
    <row r="107" spans="1:17" s="18" customFormat="1" ht="15" customHeight="1" outlineLevel="1">
      <c r="B107" s="101" t="s">
        <v>43</v>
      </c>
      <c r="C107" s="101"/>
      <c r="D107" s="101"/>
      <c r="E107" s="193"/>
      <c r="F107" s="197">
        <v>0.02</v>
      </c>
      <c r="G107" s="196"/>
      <c r="H107" s="109" t="s">
        <v>56</v>
      </c>
      <c r="I107" s="190"/>
      <c r="J107" s="189"/>
      <c r="K107" s="188"/>
      <c r="L107" s="195">
        <v>0.15</v>
      </c>
      <c r="M107" s="180"/>
    </row>
    <row r="108" spans="1:17" s="18" customFormat="1" ht="15" customHeight="1" outlineLevel="1" thickBot="1">
      <c r="B108" s="101" t="s">
        <v>55</v>
      </c>
      <c r="C108" s="101"/>
      <c r="D108" s="101"/>
      <c r="E108" s="182"/>
      <c r="F108" s="181">
        <v>7</v>
      </c>
      <c r="G108" s="183"/>
      <c r="H108" s="101" t="s">
        <v>54</v>
      </c>
      <c r="I108" s="101"/>
      <c r="J108" s="101"/>
      <c r="K108" s="101"/>
      <c r="L108" s="194">
        <v>0.5</v>
      </c>
      <c r="M108" s="180"/>
      <c r="O108" s="662" t="s">
        <v>277</v>
      </c>
      <c r="P108" s="663" t="s">
        <v>278</v>
      </c>
      <c r="Q108" s="664" t="s">
        <v>279</v>
      </c>
    </row>
    <row r="109" spans="1:17" s="18" customFormat="1" ht="15" customHeight="1" outlineLevel="1">
      <c r="B109" s="101" t="s">
        <v>53</v>
      </c>
      <c r="C109" s="101"/>
      <c r="D109" s="101"/>
      <c r="E109" s="193"/>
      <c r="F109" s="192">
        <f>Inputs!L84</f>
        <v>9.7429919540151538E-2</v>
      </c>
      <c r="G109" s="183"/>
      <c r="H109" s="101" t="s">
        <v>52</v>
      </c>
      <c r="I109" s="101"/>
      <c r="J109" s="101"/>
      <c r="K109" s="182" t="s">
        <v>49</v>
      </c>
      <c r="L109" s="184">
        <v>16</v>
      </c>
      <c r="M109" s="180"/>
      <c r="O109" s="666">
        <f>Inputs!F109</f>
        <v>9.7429919540151538E-2</v>
      </c>
      <c r="P109" s="682">
        <f>F109</f>
        <v>9.7429919540151538E-2</v>
      </c>
      <c r="Q109" s="808">
        <f>IF(O109=0,0,IF(O109=P109,1,0))</f>
        <v>1</v>
      </c>
    </row>
    <row r="110" spans="1:17" s="18" customFormat="1" ht="15" customHeight="1" outlineLevel="1">
      <c r="B110" s="191" t="s">
        <v>51</v>
      </c>
      <c r="C110" s="190"/>
      <c r="D110" s="189"/>
      <c r="E110" s="188"/>
      <c r="F110" s="187">
        <f>IF(F107&gt;=Inputs!F109,1,0)</f>
        <v>0</v>
      </c>
      <c r="G110" s="183"/>
      <c r="H110" s="101" t="s">
        <v>50</v>
      </c>
      <c r="I110" s="101"/>
      <c r="J110" s="101"/>
      <c r="K110" s="182" t="s">
        <v>49</v>
      </c>
      <c r="L110" s="184">
        <v>20</v>
      </c>
      <c r="M110" s="180"/>
      <c r="O110" s="685">
        <f>Inputs!F110</f>
        <v>0</v>
      </c>
      <c r="P110" s="683">
        <f>F110</f>
        <v>0</v>
      </c>
      <c r="Q110" s="809">
        <f>IF(ISBLANK(Inputs!F110),0,IF(O110=P110,1,0))</f>
        <v>1</v>
      </c>
    </row>
    <row r="111" spans="1:17" s="18" customFormat="1" ht="15" customHeight="1" outlineLevel="1">
      <c r="B111" s="109"/>
      <c r="C111" s="109"/>
      <c r="D111" s="109"/>
      <c r="E111" s="186"/>
      <c r="F111" s="185"/>
      <c r="G111" s="183"/>
      <c r="H111" s="101"/>
      <c r="I111" s="101"/>
      <c r="J111" s="101"/>
      <c r="K111" s="182"/>
      <c r="L111" s="184"/>
      <c r="M111" s="180"/>
      <c r="Q111" s="814"/>
    </row>
    <row r="112" spans="1:17" s="18" customFormat="1" ht="15" customHeight="1" outlineLevel="1">
      <c r="G112" s="183"/>
      <c r="H112" s="101"/>
      <c r="I112" s="101"/>
      <c r="J112" s="101"/>
      <c r="K112" s="182"/>
      <c r="L112" s="181"/>
      <c r="M112" s="180"/>
      <c r="Q112" s="689" t="str">
        <f>IF(SUM(Q109:Q110)=2,"COMPLETE","")</f>
        <v>COMPLETE</v>
      </c>
    </row>
    <row r="113" spans="2:12" ht="15" customHeight="1" outlineLevel="1">
      <c r="L113" s="38" t="s">
        <v>48</v>
      </c>
    </row>
    <row r="114" spans="2:12" ht="15" customHeight="1" outlineLevel="1"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 t="s">
        <v>0</v>
      </c>
    </row>
  </sheetData>
  <conditionalFormatting sqref="F98:F99">
    <cfRule type="expression" dxfId="8" priority="1">
      <formula>F98=1</formula>
    </cfRule>
  </conditionalFormatting>
  <printOptions horizontalCentered="1"/>
  <pageMargins left="0.11811023622047245" right="0.11811023622047245" top="0.11811023622047245" bottom="0.11811023622047245" header="0.11811023622047245" footer="0.11811023622047245"/>
  <pageSetup scale="88" orientation="landscape" r:id="rId1"/>
  <headerFooter>
    <oddFooter>&amp;L&amp;"Open Sans,Bold"&amp;10&amp;K002060DCF Valuation Modeling&amp;C&amp;"Open Sans,Bold"&amp;10&amp;K002060Page &amp;P of &amp;N&amp;R&amp;G</oddFoot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035D-24D8-444F-9B2D-E83F2409A5FB}">
  <sheetPr>
    <pageSetUpPr autoPageBreaks="0"/>
  </sheetPr>
  <dimension ref="A1:P453"/>
  <sheetViews>
    <sheetView showGridLines="0" zoomScale="112" zoomScaleNormal="100" zoomScaleSheetLayoutView="140" workbookViewId="0">
      <pane ySplit="1" topLeftCell="A117" activePane="bottomLeft" state="frozen"/>
      <selection pane="bottomLeft" activeCell="N422" sqref="N422"/>
    </sheetView>
  </sheetViews>
  <sheetFormatPr baseColWidth="10" defaultColWidth="9.1640625" defaultRowHeight="15" customHeight="1" outlineLevelRow="1"/>
  <cols>
    <col min="1" max="1" width="9.1640625" style="34"/>
    <col min="2" max="2" width="17.6640625" style="34" customWidth="1"/>
    <col min="3" max="3" width="11.33203125" style="34" customWidth="1"/>
    <col min="4" max="4" width="15.6640625" style="34" customWidth="1"/>
    <col min="5" max="5" width="1.6640625" style="34" customWidth="1"/>
    <col min="6" max="6" width="11.6640625" style="34" customWidth="1"/>
    <col min="7" max="14" width="10.33203125" style="34" customWidth="1"/>
    <col min="15" max="15" width="1.6640625" style="34" customWidth="1"/>
    <col min="16" max="16384" width="9.1640625" style="34"/>
  </cols>
  <sheetData>
    <row r="1" spans="1:16" ht="50" customHeight="1">
      <c r="A1" s="102"/>
      <c r="B1" s="798"/>
      <c r="C1" s="798"/>
      <c r="D1" s="798"/>
      <c r="E1" s="178"/>
      <c r="F1" s="178"/>
      <c r="G1" s="178"/>
      <c r="H1" s="178"/>
      <c r="I1" s="178"/>
      <c r="J1" s="178"/>
      <c r="K1" s="178"/>
      <c r="L1" s="178"/>
      <c r="M1" s="178"/>
      <c r="N1" s="178"/>
    </row>
    <row r="2" spans="1:16" ht="15" customHeight="1">
      <c r="A2" s="176"/>
      <c r="B2" s="660"/>
      <c r="C2" s="659"/>
      <c r="D2" s="658"/>
      <c r="E2" s="658"/>
      <c r="F2" s="657"/>
      <c r="G2" s="657"/>
      <c r="H2" s="657"/>
      <c r="I2" s="657"/>
      <c r="J2" s="657"/>
      <c r="K2" s="657"/>
      <c r="L2" s="657"/>
      <c r="M2" s="657"/>
      <c r="N2" s="657"/>
      <c r="O2" s="98"/>
    </row>
    <row r="3" spans="1:16" ht="15" customHeight="1">
      <c r="A3" s="176" t="s">
        <v>0</v>
      </c>
      <c r="B3" s="144" t="s">
        <v>276</v>
      </c>
      <c r="C3" s="143"/>
      <c r="D3" s="142"/>
      <c r="E3" s="142"/>
      <c r="F3" s="141"/>
      <c r="G3" s="141"/>
      <c r="H3" s="141"/>
      <c r="I3" s="141"/>
      <c r="J3" s="141"/>
      <c r="K3" s="141"/>
      <c r="L3" s="141"/>
      <c r="M3" s="141"/>
      <c r="N3" s="447"/>
    </row>
    <row r="4" spans="1:16" ht="15" customHeight="1" outlineLevel="1">
      <c r="A4" s="177"/>
      <c r="B4" s="305"/>
      <c r="C4" s="140"/>
      <c r="D4" s="139"/>
      <c r="E4" s="139"/>
      <c r="F4" s="138"/>
      <c r="G4" s="138"/>
      <c r="H4" s="138"/>
      <c r="I4" s="138"/>
      <c r="J4" s="138"/>
      <c r="K4" s="138"/>
      <c r="L4" s="138"/>
      <c r="M4" s="138"/>
      <c r="N4" s="656"/>
    </row>
    <row r="5" spans="1:16" ht="15" customHeight="1" outlineLevel="1" thickBot="1">
      <c r="A5" s="176"/>
      <c r="B5" s="122" t="s">
        <v>40</v>
      </c>
      <c r="C5" s="140"/>
      <c r="D5" s="132"/>
      <c r="E5" s="132"/>
      <c r="F5" s="490">
        <f>G5-1</f>
        <v>2020</v>
      </c>
      <c r="G5" s="490">
        <f>H5-1</f>
        <v>2021</v>
      </c>
      <c r="H5" s="490">
        <f>I5-1</f>
        <v>2022</v>
      </c>
      <c r="I5" s="354">
        <f>Inputs!$F$97</f>
        <v>2023</v>
      </c>
      <c r="J5" s="354">
        <f>I5+1</f>
        <v>2024</v>
      </c>
      <c r="K5" s="354">
        <f>J5+1</f>
        <v>2025</v>
      </c>
      <c r="L5" s="354">
        <f>K5+1</f>
        <v>2026</v>
      </c>
      <c r="M5" s="354">
        <f>L5+1</f>
        <v>2027</v>
      </c>
      <c r="N5" s="354" t="s">
        <v>131</v>
      </c>
    </row>
    <row r="6" spans="1:16" ht="15" customHeight="1" outlineLevel="1">
      <c r="A6" s="176"/>
      <c r="B6" s="122" t="str" cm="1">
        <f t="array" ref="B6">CONCATENATE("Model Running: ",INDEX(Inputs!$B$12:$B$14,Inputs!$D$7)," Drivers")</f>
        <v>Model Running: Base Case Drivers</v>
      </c>
      <c r="C6" s="140"/>
      <c r="D6" s="132"/>
      <c r="E6" s="132"/>
      <c r="F6" s="132"/>
      <c r="G6" s="132"/>
      <c r="H6" s="132"/>
      <c r="I6" s="136"/>
      <c r="J6" s="136"/>
      <c r="K6" s="136"/>
      <c r="L6" s="136"/>
      <c r="M6" s="136"/>
      <c r="N6" s="136"/>
    </row>
    <row r="7" spans="1:16" ht="15" customHeight="1" outlineLevel="1">
      <c r="A7" s="176"/>
      <c r="C7" s="140"/>
      <c r="D7" s="132"/>
      <c r="E7" s="132"/>
      <c r="F7" s="132"/>
      <c r="G7" s="132"/>
      <c r="H7" s="132"/>
      <c r="I7" s="136"/>
      <c r="J7" s="136"/>
      <c r="K7" s="136"/>
      <c r="L7" s="136"/>
      <c r="M7" s="136"/>
      <c r="N7" s="136"/>
    </row>
    <row r="8" spans="1:16" s="102" customFormat="1" ht="15" customHeight="1" outlineLevel="1">
      <c r="B8" s="468" t="s">
        <v>63</v>
      </c>
      <c r="C8" s="655">
        <f>Inputs!$F$100</f>
        <v>365</v>
      </c>
      <c r="D8" s="105"/>
      <c r="E8" s="230"/>
      <c r="F8" s="557">
        <v>365</v>
      </c>
      <c r="G8" s="556">
        <v>365</v>
      </c>
      <c r="H8" s="556">
        <v>365</v>
      </c>
      <c r="I8" s="654">
        <f t="shared" ref="I8:N8" si="0">$C$8</f>
        <v>365</v>
      </c>
      <c r="J8" s="654">
        <f t="shared" si="0"/>
        <v>365</v>
      </c>
      <c r="K8" s="654">
        <f t="shared" si="0"/>
        <v>365</v>
      </c>
      <c r="L8" s="654">
        <f t="shared" si="0"/>
        <v>365</v>
      </c>
      <c r="M8" s="654">
        <f t="shared" si="0"/>
        <v>365</v>
      </c>
      <c r="N8" s="653">
        <f t="shared" si="0"/>
        <v>365</v>
      </c>
    </row>
    <row r="9" spans="1:16" ht="15" customHeight="1" outlineLevel="1">
      <c r="A9" s="131"/>
      <c r="B9" s="466" t="s">
        <v>60</v>
      </c>
      <c r="C9" s="362">
        <f>Inputs!$L$104</f>
        <v>1600</v>
      </c>
      <c r="D9" s="105"/>
      <c r="E9" s="132"/>
      <c r="F9" s="126"/>
      <c r="G9" s="126"/>
      <c r="H9" s="126"/>
      <c r="I9" s="126"/>
      <c r="J9" s="126"/>
      <c r="K9" s="126"/>
      <c r="L9" s="126"/>
      <c r="M9" s="126"/>
      <c r="N9" s="126"/>
    </row>
    <row r="10" spans="1:16" ht="15" customHeight="1" outlineLevel="1">
      <c r="A10" s="131"/>
      <c r="B10" s="122"/>
      <c r="C10" s="140"/>
      <c r="D10" s="132"/>
      <c r="E10" s="132"/>
      <c r="F10" s="132"/>
      <c r="G10" s="132"/>
      <c r="H10" s="132"/>
      <c r="I10" s="131"/>
      <c r="J10" s="131"/>
      <c r="K10" s="131"/>
      <c r="L10" s="131"/>
      <c r="M10" s="131"/>
      <c r="N10" s="405"/>
    </row>
    <row r="11" spans="1:16" ht="15" customHeight="1" outlineLevel="1">
      <c r="A11" s="131"/>
      <c r="B11" s="122"/>
      <c r="C11" s="140"/>
      <c r="D11" s="132"/>
      <c r="E11" s="132"/>
      <c r="F11" s="132"/>
      <c r="G11" s="132"/>
      <c r="H11" s="132"/>
      <c r="I11" s="131"/>
      <c r="J11" s="131"/>
      <c r="K11" s="131"/>
      <c r="L11" s="131"/>
      <c r="M11" s="131"/>
      <c r="N11" s="405"/>
    </row>
    <row r="12" spans="1:16" s="102" customFormat="1" ht="15" customHeight="1" outlineLevel="1">
      <c r="B12" s="114" t="s">
        <v>275</v>
      </c>
      <c r="C12" s="108"/>
      <c r="D12" s="561"/>
      <c r="E12" s="230"/>
      <c r="F12" s="652"/>
      <c r="G12" s="252"/>
      <c r="H12" s="252"/>
      <c r="I12" s="131"/>
      <c r="J12" s="131"/>
      <c r="K12" s="131"/>
      <c r="L12" s="131"/>
      <c r="M12" s="131"/>
      <c r="N12" s="405"/>
    </row>
    <row r="13" spans="1:16" s="102" customFormat="1" ht="15" customHeight="1" outlineLevel="1">
      <c r="B13" s="104"/>
      <c r="C13" s="108"/>
      <c r="D13" s="561"/>
      <c r="E13" s="230"/>
      <c r="F13" s="252"/>
      <c r="G13" s="252"/>
      <c r="H13" s="252"/>
      <c r="I13" s="252"/>
      <c r="J13" s="252"/>
      <c r="K13" s="252"/>
      <c r="L13" s="252"/>
      <c r="M13" s="252"/>
      <c r="N13" s="620"/>
    </row>
    <row r="14" spans="1:16" ht="15" customHeight="1" outlineLevel="1">
      <c r="A14" s="131"/>
      <c r="B14" s="229" t="s">
        <v>129</v>
      </c>
      <c r="C14" s="140"/>
      <c r="D14" s="132"/>
      <c r="E14" s="132"/>
      <c r="F14" s="132"/>
      <c r="G14" s="221">
        <f>G16/F16-1</f>
        <v>1.9650655021834051E-2</v>
      </c>
      <c r="H14" s="221">
        <f>H16/G16-1</f>
        <v>2.0699500356887945E-2</v>
      </c>
      <c r="I14" s="651">
        <f>Inputs!G10</f>
        <v>0.02</v>
      </c>
      <c r="J14" s="651">
        <f>Inputs!H10</f>
        <v>0.01</v>
      </c>
      <c r="K14" s="651">
        <f>Inputs!I10</f>
        <v>0.01</v>
      </c>
      <c r="L14" s="651">
        <f>Inputs!J10</f>
        <v>5.0000000000000001E-3</v>
      </c>
      <c r="M14" s="651">
        <f>Inputs!K10</f>
        <v>5.0000000000000001E-3</v>
      </c>
      <c r="N14" s="650">
        <f>Inputs!L10</f>
        <v>5.0000000000000001E-3</v>
      </c>
      <c r="P14" s="800">
        <f>'Model-R'!S14</f>
        <v>1</v>
      </c>
    </row>
    <row r="15" spans="1:16" ht="15" customHeight="1" outlineLevel="1">
      <c r="A15" s="131"/>
      <c r="B15" s="229"/>
      <c r="C15" s="140"/>
      <c r="D15" s="132"/>
      <c r="E15" s="132"/>
      <c r="F15" s="132"/>
      <c r="G15" s="221"/>
      <c r="H15" s="221"/>
      <c r="I15" s="220"/>
      <c r="J15" s="220"/>
      <c r="K15" s="220"/>
      <c r="L15" s="220"/>
      <c r="M15" s="220"/>
      <c r="N15" s="649"/>
      <c r="P15" s="799"/>
    </row>
    <row r="16" spans="1:16" ht="15" customHeight="1" outlineLevel="1">
      <c r="A16" s="131"/>
      <c r="B16" s="229" t="s">
        <v>265</v>
      </c>
      <c r="C16" s="140"/>
      <c r="D16" s="561" t="s">
        <v>59</v>
      </c>
      <c r="E16" s="132"/>
      <c r="F16" s="391">
        <v>1374</v>
      </c>
      <c r="G16" s="391">
        <v>1401</v>
      </c>
      <c r="H16" s="391">
        <v>1430</v>
      </c>
      <c r="I16" s="126">
        <f t="shared" ref="I16:N16" si="1">H16*(1+I14)</f>
        <v>1458.6000000000001</v>
      </c>
      <c r="J16" s="126">
        <f t="shared" si="1"/>
        <v>1473.1860000000001</v>
      </c>
      <c r="K16" s="126">
        <f t="shared" si="1"/>
        <v>1487.9178600000002</v>
      </c>
      <c r="L16" s="126">
        <f t="shared" si="1"/>
        <v>1495.3574493000001</v>
      </c>
      <c r="M16" s="126">
        <f t="shared" si="1"/>
        <v>1502.8342365465001</v>
      </c>
      <c r="N16" s="614">
        <f t="shared" si="1"/>
        <v>1510.3484077292323</v>
      </c>
      <c r="P16" s="799"/>
    </row>
    <row r="17" spans="1:16" s="102" customFormat="1" ht="15" customHeight="1" outlineLevel="1">
      <c r="B17" s="229" t="s">
        <v>60</v>
      </c>
      <c r="C17" s="108"/>
      <c r="D17" s="561" t="s">
        <v>59</v>
      </c>
      <c r="E17" s="230"/>
      <c r="F17" s="391">
        <v>1600</v>
      </c>
      <c r="G17" s="391">
        <v>1600</v>
      </c>
      <c r="H17" s="391">
        <v>1600</v>
      </c>
      <c r="I17" s="126">
        <f t="shared" ref="I17:N17" si="2">$C$9</f>
        <v>1600</v>
      </c>
      <c r="J17" s="126">
        <f t="shared" si="2"/>
        <v>1600</v>
      </c>
      <c r="K17" s="126">
        <f t="shared" si="2"/>
        <v>1600</v>
      </c>
      <c r="L17" s="126">
        <f t="shared" si="2"/>
        <v>1600</v>
      </c>
      <c r="M17" s="126">
        <f t="shared" si="2"/>
        <v>1600</v>
      </c>
      <c r="N17" s="648">
        <f t="shared" si="2"/>
        <v>1600</v>
      </c>
      <c r="P17" s="799"/>
    </row>
    <row r="18" spans="1:16" s="102" customFormat="1" ht="15" customHeight="1" outlineLevel="1">
      <c r="B18" s="229" t="s">
        <v>274</v>
      </c>
      <c r="C18" s="140"/>
      <c r="D18" s="132"/>
      <c r="E18" s="132"/>
      <c r="F18" s="647">
        <f t="shared" ref="F18:N18" si="3">F16/F17</f>
        <v>0.85875000000000001</v>
      </c>
      <c r="G18" s="647">
        <f t="shared" si="3"/>
        <v>0.87562499999999999</v>
      </c>
      <c r="H18" s="647">
        <f t="shared" si="3"/>
        <v>0.89375000000000004</v>
      </c>
      <c r="I18" s="647">
        <f t="shared" si="3"/>
        <v>0.91162500000000013</v>
      </c>
      <c r="J18" s="647">
        <f t="shared" si="3"/>
        <v>0.92074125000000007</v>
      </c>
      <c r="K18" s="647">
        <f t="shared" si="3"/>
        <v>0.92994866250000019</v>
      </c>
      <c r="L18" s="647">
        <f t="shared" si="3"/>
        <v>0.93459840581250009</v>
      </c>
      <c r="M18" s="647">
        <f t="shared" si="3"/>
        <v>0.93927139784156255</v>
      </c>
      <c r="N18" s="646">
        <f t="shared" si="3"/>
        <v>0.94396775483077022</v>
      </c>
      <c r="P18" s="799"/>
    </row>
    <row r="19" spans="1:16" ht="15" customHeight="1" outlineLevel="1">
      <c r="A19" s="131"/>
      <c r="C19" s="140"/>
      <c r="D19" s="561"/>
      <c r="E19" s="132"/>
      <c r="F19" s="126"/>
      <c r="G19" s="126"/>
      <c r="H19" s="126"/>
      <c r="I19" s="126"/>
      <c r="J19" s="126"/>
      <c r="K19" s="126"/>
      <c r="L19" s="126"/>
      <c r="M19" s="126"/>
      <c r="N19" s="126"/>
      <c r="P19" s="799"/>
    </row>
    <row r="20" spans="1:16" ht="15" customHeight="1" outlineLevel="1">
      <c r="A20" s="131"/>
      <c r="B20" s="35"/>
      <c r="C20" s="240"/>
      <c r="D20" s="611"/>
      <c r="E20" s="356"/>
      <c r="F20" s="389"/>
      <c r="G20" s="389"/>
      <c r="H20" s="389"/>
      <c r="I20" s="389"/>
      <c r="J20" s="389"/>
      <c r="K20" s="389"/>
      <c r="L20" s="389"/>
      <c r="M20" s="389"/>
      <c r="N20" s="389"/>
      <c r="P20" s="799"/>
    </row>
    <row r="21" spans="1:16" ht="15" customHeight="1" outlineLevel="1">
      <c r="A21" s="131"/>
      <c r="B21" s="122"/>
      <c r="C21" s="140"/>
      <c r="D21" s="132"/>
      <c r="E21" s="132"/>
      <c r="F21" s="132"/>
      <c r="G21" s="132"/>
      <c r="H21" s="132"/>
      <c r="I21" s="131"/>
      <c r="J21" s="131"/>
      <c r="K21" s="131"/>
      <c r="L21" s="131"/>
      <c r="M21" s="131"/>
      <c r="N21" s="131"/>
      <c r="P21" s="799"/>
    </row>
    <row r="22" spans="1:16" ht="15" customHeight="1" outlineLevel="1">
      <c r="A22" s="131"/>
      <c r="B22" s="122"/>
      <c r="C22" s="140"/>
      <c r="D22" s="132"/>
      <c r="E22" s="132"/>
      <c r="F22" s="132"/>
      <c r="G22" s="132"/>
      <c r="H22" s="132"/>
      <c r="I22" s="131"/>
      <c r="J22" s="131"/>
      <c r="K22" s="131"/>
      <c r="L22" s="131"/>
      <c r="M22" s="131"/>
      <c r="N22" s="131"/>
      <c r="P22" s="799"/>
    </row>
    <row r="23" spans="1:16" s="102" customFormat="1" ht="15" customHeight="1" outlineLevel="1">
      <c r="B23" s="114" t="s">
        <v>273</v>
      </c>
      <c r="C23" s="108"/>
      <c r="D23" s="561"/>
      <c r="E23" s="230"/>
      <c r="F23" s="252"/>
      <c r="G23" s="252"/>
      <c r="H23" s="252"/>
      <c r="I23" s="252"/>
      <c r="J23" s="252"/>
      <c r="K23" s="252"/>
      <c r="L23" s="252"/>
      <c r="M23" s="252"/>
      <c r="N23" s="252"/>
      <c r="P23" s="799"/>
    </row>
    <row r="24" spans="1:16" s="102" customFormat="1" ht="15" customHeight="1" outlineLevel="1">
      <c r="B24" s="104"/>
      <c r="C24" s="108"/>
      <c r="D24" s="561"/>
      <c r="E24" s="230"/>
      <c r="F24" s="252"/>
      <c r="G24" s="252"/>
      <c r="H24" s="252"/>
      <c r="I24" s="252"/>
      <c r="J24" s="252"/>
      <c r="K24" s="252"/>
      <c r="L24" s="252"/>
      <c r="M24" s="252"/>
      <c r="N24" s="252"/>
      <c r="P24" s="799"/>
    </row>
    <row r="25" spans="1:16" ht="15" customHeight="1" outlineLevel="1">
      <c r="A25" s="131"/>
      <c r="B25" s="229" t="s">
        <v>63</v>
      </c>
      <c r="C25" s="140"/>
      <c r="D25" s="132"/>
      <c r="E25" s="132"/>
      <c r="F25" s="126">
        <f t="shared" ref="F25:N25" si="4">F8</f>
        <v>365</v>
      </c>
      <c r="G25" s="126">
        <f t="shared" si="4"/>
        <v>365</v>
      </c>
      <c r="H25" s="126">
        <f t="shared" si="4"/>
        <v>365</v>
      </c>
      <c r="I25" s="126">
        <f t="shared" si="4"/>
        <v>365</v>
      </c>
      <c r="J25" s="126">
        <f t="shared" si="4"/>
        <v>365</v>
      </c>
      <c r="K25" s="126">
        <f t="shared" si="4"/>
        <v>365</v>
      </c>
      <c r="L25" s="126">
        <f t="shared" si="4"/>
        <v>365</v>
      </c>
      <c r="M25" s="126">
        <f t="shared" si="4"/>
        <v>365</v>
      </c>
      <c r="N25" s="406">
        <f t="shared" si="4"/>
        <v>365</v>
      </c>
      <c r="P25" s="799"/>
    </row>
    <row r="26" spans="1:16" ht="15" customHeight="1" outlineLevel="1">
      <c r="A26" s="131"/>
      <c r="B26" s="229" t="s">
        <v>265</v>
      </c>
      <c r="C26" s="140"/>
      <c r="D26" s="561" t="s">
        <v>59</v>
      </c>
      <c r="E26" s="132"/>
      <c r="F26" s="389">
        <f t="shared" ref="F26:N26" si="5">F16</f>
        <v>1374</v>
      </c>
      <c r="G26" s="389">
        <f t="shared" si="5"/>
        <v>1401</v>
      </c>
      <c r="H26" s="389">
        <f t="shared" si="5"/>
        <v>1430</v>
      </c>
      <c r="I26" s="126">
        <f t="shared" si="5"/>
        <v>1458.6000000000001</v>
      </c>
      <c r="J26" s="389">
        <f t="shared" si="5"/>
        <v>1473.1860000000001</v>
      </c>
      <c r="K26" s="389">
        <f t="shared" si="5"/>
        <v>1487.9178600000002</v>
      </c>
      <c r="L26" s="389">
        <f t="shared" si="5"/>
        <v>1495.3574493000001</v>
      </c>
      <c r="M26" s="389">
        <f t="shared" si="5"/>
        <v>1502.8342365465001</v>
      </c>
      <c r="N26" s="614">
        <f t="shared" si="5"/>
        <v>1510.3484077292323</v>
      </c>
      <c r="P26" s="799"/>
    </row>
    <row r="27" spans="1:16" ht="15" customHeight="1" outlineLevel="1">
      <c r="A27" s="131"/>
      <c r="B27" s="229" t="s">
        <v>265</v>
      </c>
      <c r="C27" s="140"/>
      <c r="D27" s="561" t="s">
        <v>269</v>
      </c>
      <c r="E27" s="132"/>
      <c r="F27" s="126">
        <f t="shared" ref="F27:N27" si="6">F26*F25</f>
        <v>501510</v>
      </c>
      <c r="G27" s="126">
        <f t="shared" si="6"/>
        <v>511365</v>
      </c>
      <c r="H27" s="126">
        <f t="shared" si="6"/>
        <v>521950</v>
      </c>
      <c r="I27" s="407">
        <f t="shared" si="6"/>
        <v>532389</v>
      </c>
      <c r="J27" s="126">
        <f t="shared" si="6"/>
        <v>537712.89</v>
      </c>
      <c r="K27" s="126">
        <f t="shared" si="6"/>
        <v>543090.01890000014</v>
      </c>
      <c r="L27" s="126">
        <f t="shared" si="6"/>
        <v>545805.4689945</v>
      </c>
      <c r="M27" s="126">
        <f t="shared" si="6"/>
        <v>548534.49633947248</v>
      </c>
      <c r="N27" s="406">
        <f t="shared" si="6"/>
        <v>551277.16882116976</v>
      </c>
      <c r="P27" s="799"/>
    </row>
    <row r="28" spans="1:16" ht="15" customHeight="1" outlineLevel="1">
      <c r="A28" s="131"/>
      <c r="B28" s="104"/>
      <c r="C28" s="140"/>
      <c r="D28" s="561"/>
      <c r="E28" s="132"/>
      <c r="F28" s="126"/>
      <c r="G28" s="126"/>
      <c r="H28" s="126"/>
      <c r="I28" s="619"/>
      <c r="J28" s="619"/>
      <c r="K28" s="619"/>
      <c r="L28" s="619"/>
      <c r="M28" s="619"/>
      <c r="N28" s="645"/>
      <c r="P28" s="799"/>
    </row>
    <row r="29" spans="1:16" ht="15" customHeight="1" outlineLevel="1">
      <c r="A29" s="131"/>
      <c r="B29" s="104"/>
      <c r="C29" s="140"/>
      <c r="D29" s="561"/>
      <c r="E29" s="132"/>
      <c r="F29" s="126"/>
      <c r="G29" s="126"/>
      <c r="H29" s="126"/>
      <c r="I29" s="619"/>
      <c r="J29" s="619"/>
      <c r="K29" s="619"/>
      <c r="L29" s="619"/>
      <c r="M29" s="619"/>
      <c r="N29" s="645"/>
      <c r="P29" s="799"/>
    </row>
    <row r="30" spans="1:16" s="102" customFormat="1" ht="15" customHeight="1" outlineLevel="1">
      <c r="B30" s="114" t="s">
        <v>272</v>
      </c>
      <c r="C30" s="108"/>
      <c r="D30" s="561"/>
      <c r="E30" s="561"/>
      <c r="F30" s="561"/>
      <c r="G30" s="561"/>
      <c r="H30" s="561"/>
      <c r="I30" s="561"/>
      <c r="J30" s="561"/>
      <c r="K30" s="561"/>
      <c r="L30" s="561"/>
      <c r="M30" s="126"/>
      <c r="N30" s="614"/>
      <c r="P30" s="799"/>
    </row>
    <row r="31" spans="1:16" s="102" customFormat="1" ht="15" customHeight="1" outlineLevel="1">
      <c r="B31" s="104"/>
      <c r="C31" s="108"/>
      <c r="D31" s="561"/>
      <c r="E31" s="230"/>
      <c r="F31" s="252"/>
      <c r="G31" s="252"/>
      <c r="H31" s="252"/>
      <c r="I31" s="252"/>
      <c r="J31" s="252"/>
      <c r="K31" s="252"/>
      <c r="L31" s="252"/>
      <c r="M31" s="252"/>
      <c r="N31" s="643"/>
      <c r="P31" s="799"/>
    </row>
    <row r="32" spans="1:16" ht="15" customHeight="1" outlineLevel="1">
      <c r="A32" s="131"/>
      <c r="B32" s="229" t="s">
        <v>128</v>
      </c>
      <c r="C32" s="140"/>
      <c r="D32" s="132"/>
      <c r="E32" s="132"/>
      <c r="F32" s="356"/>
      <c r="G32" s="644">
        <f>G33/F33-1</f>
        <v>1.701341629399189E-2</v>
      </c>
      <c r="H32" s="644">
        <f>H33/G33-1</f>
        <v>2.1030494216614182E-2</v>
      </c>
      <c r="I32" s="634">
        <f>Inputs!G17</f>
        <v>0.03</v>
      </c>
      <c r="J32" s="634">
        <f>Inputs!H17</f>
        <v>0.01</v>
      </c>
      <c r="K32" s="634">
        <f>Inputs!I17</f>
        <v>0.01</v>
      </c>
      <c r="L32" s="634">
        <f>Inputs!J17</f>
        <v>0.01</v>
      </c>
      <c r="M32" s="634">
        <f>Inputs!K17</f>
        <v>5.0000000000000001E-3</v>
      </c>
      <c r="N32" s="633">
        <f>Inputs!L17</f>
        <v>5.0000000000000001E-3</v>
      </c>
      <c r="P32" s="800">
        <f>'Model-R'!S32</f>
        <v>1</v>
      </c>
    </row>
    <row r="33" spans="1:15" ht="15" customHeight="1" outlineLevel="1">
      <c r="A33" s="131"/>
      <c r="B33" s="229" t="s">
        <v>271</v>
      </c>
      <c r="C33" s="140"/>
      <c r="D33" s="561" t="s">
        <v>254</v>
      </c>
      <c r="E33" s="132"/>
      <c r="F33" s="257">
        <v>102.86</v>
      </c>
      <c r="G33" s="257">
        <v>104.61</v>
      </c>
      <c r="H33" s="257">
        <v>106.81</v>
      </c>
      <c r="I33" s="256">
        <f t="shared" ref="I33:N33" si="7">H33*(1+I32)</f>
        <v>110.01430000000001</v>
      </c>
      <c r="J33" s="256">
        <f t="shared" si="7"/>
        <v>111.11444300000001</v>
      </c>
      <c r="K33" s="256">
        <f t="shared" si="7"/>
        <v>112.22558743</v>
      </c>
      <c r="L33" s="256">
        <f t="shared" si="7"/>
        <v>113.3478433043</v>
      </c>
      <c r="M33" s="256">
        <f t="shared" si="7"/>
        <v>113.91458252082148</v>
      </c>
      <c r="N33" s="618">
        <f t="shared" si="7"/>
        <v>114.48415543342558</v>
      </c>
    </row>
    <row r="34" spans="1:15" ht="15" customHeight="1" outlineLevel="1">
      <c r="A34" s="131"/>
      <c r="C34" s="140"/>
      <c r="D34" s="561"/>
      <c r="E34" s="132"/>
      <c r="F34" s="257"/>
      <c r="G34" s="257"/>
      <c r="H34" s="257"/>
      <c r="I34" s="256"/>
      <c r="J34" s="256"/>
      <c r="K34" s="256"/>
      <c r="L34" s="256"/>
      <c r="M34" s="256"/>
      <c r="N34" s="615"/>
    </row>
    <row r="35" spans="1:15" ht="15" customHeight="1" outlineLevel="1">
      <c r="A35" s="131"/>
      <c r="C35" s="140"/>
      <c r="D35" s="561"/>
      <c r="E35" s="132"/>
      <c r="F35" s="257"/>
      <c r="G35" s="257"/>
      <c r="H35" s="257"/>
      <c r="I35" s="256"/>
      <c r="J35" s="256"/>
      <c r="K35" s="256"/>
      <c r="L35" s="256"/>
      <c r="M35" s="256"/>
      <c r="N35" s="615"/>
    </row>
    <row r="36" spans="1:15" s="102" customFormat="1" ht="15" customHeight="1" outlineLevel="1">
      <c r="B36" s="114" t="s">
        <v>270</v>
      </c>
      <c r="C36" s="108"/>
      <c r="D36" s="561"/>
      <c r="E36" s="230"/>
      <c r="F36" s="252"/>
      <c r="G36" s="252"/>
      <c r="H36" s="252"/>
      <c r="I36" s="252"/>
      <c r="J36" s="252"/>
      <c r="K36" s="252"/>
      <c r="L36" s="252"/>
      <c r="M36" s="252"/>
      <c r="N36" s="643"/>
    </row>
    <row r="37" spans="1:15" s="102" customFormat="1" ht="15" customHeight="1" outlineLevel="1">
      <c r="B37" s="104"/>
      <c r="C37" s="108"/>
      <c r="D37" s="561"/>
      <c r="E37" s="230"/>
      <c r="F37" s="252"/>
      <c r="G37" s="252"/>
      <c r="H37" s="252"/>
      <c r="I37" s="252"/>
      <c r="J37" s="252"/>
      <c r="K37" s="252"/>
      <c r="L37" s="252"/>
      <c r="M37" s="252"/>
      <c r="N37" s="643"/>
    </row>
    <row r="38" spans="1:15" ht="15" customHeight="1" outlineLevel="1">
      <c r="A38" s="131"/>
      <c r="B38" s="229" t="s">
        <v>265</v>
      </c>
      <c r="C38" s="140"/>
      <c r="D38" s="561" t="s">
        <v>269</v>
      </c>
      <c r="E38" s="132"/>
      <c r="F38" s="126">
        <f t="shared" ref="F38:N38" si="8">F27</f>
        <v>501510</v>
      </c>
      <c r="G38" s="126">
        <f t="shared" si="8"/>
        <v>511365</v>
      </c>
      <c r="H38" s="126">
        <f t="shared" si="8"/>
        <v>521950</v>
      </c>
      <c r="I38" s="126">
        <f t="shared" si="8"/>
        <v>532389</v>
      </c>
      <c r="J38" s="126">
        <f t="shared" si="8"/>
        <v>537712.89</v>
      </c>
      <c r="K38" s="126">
        <f t="shared" si="8"/>
        <v>543090.01890000014</v>
      </c>
      <c r="L38" s="126">
        <f t="shared" si="8"/>
        <v>545805.4689945</v>
      </c>
      <c r="M38" s="126">
        <f t="shared" si="8"/>
        <v>548534.49633947248</v>
      </c>
      <c r="N38" s="614">
        <f t="shared" si="8"/>
        <v>551277.16882116976</v>
      </c>
    </row>
    <row r="39" spans="1:15" ht="15" customHeight="1" outlineLevel="1">
      <c r="A39" s="131"/>
      <c r="B39" s="229" t="s">
        <v>268</v>
      </c>
      <c r="C39" s="140"/>
      <c r="D39" s="561" t="s">
        <v>254</v>
      </c>
      <c r="E39" s="132"/>
      <c r="F39" s="392">
        <f t="shared" ref="F39:N39" si="9">F33</f>
        <v>102.86</v>
      </c>
      <c r="G39" s="392">
        <f t="shared" si="9"/>
        <v>104.61</v>
      </c>
      <c r="H39" s="392">
        <f t="shared" si="9"/>
        <v>106.81</v>
      </c>
      <c r="I39" s="392">
        <f t="shared" si="9"/>
        <v>110.01430000000001</v>
      </c>
      <c r="J39" s="392">
        <f t="shared" si="9"/>
        <v>111.11444300000001</v>
      </c>
      <c r="K39" s="392">
        <f t="shared" si="9"/>
        <v>112.22558743</v>
      </c>
      <c r="L39" s="392">
        <f t="shared" si="9"/>
        <v>113.3478433043</v>
      </c>
      <c r="M39" s="392">
        <f t="shared" si="9"/>
        <v>113.91458252082148</v>
      </c>
      <c r="N39" s="615">
        <f t="shared" si="9"/>
        <v>114.48415543342558</v>
      </c>
    </row>
    <row r="40" spans="1:15" ht="15" customHeight="1" outlineLevel="1" thickBot="1">
      <c r="A40" s="131"/>
      <c r="B40" s="229" t="s">
        <v>239</v>
      </c>
      <c r="C40" s="140"/>
      <c r="D40" s="561"/>
      <c r="E40" s="132"/>
      <c r="F40" s="642">
        <f t="shared" ref="F40:N40" si="10">F38*F39/1000</f>
        <v>51585.318599999999</v>
      </c>
      <c r="G40" s="642">
        <f t="shared" si="10"/>
        <v>53493.892650000002</v>
      </c>
      <c r="H40" s="642">
        <f t="shared" si="10"/>
        <v>55749.479500000001</v>
      </c>
      <c r="I40" s="642">
        <f t="shared" si="10"/>
        <v>58570.403162700008</v>
      </c>
      <c r="J40" s="642">
        <f t="shared" si="10"/>
        <v>59747.668266270273</v>
      </c>
      <c r="K40" s="642">
        <f t="shared" si="10"/>
        <v>60948.59639842232</v>
      </c>
      <c r="L40" s="642">
        <f t="shared" si="10"/>
        <v>61865.872774218558</v>
      </c>
      <c r="M40" s="642">
        <f t="shared" si="10"/>
        <v>62486.078148780085</v>
      </c>
      <c r="N40" s="641">
        <f t="shared" si="10"/>
        <v>63112.501082221599</v>
      </c>
    </row>
    <row r="41" spans="1:15" ht="15" customHeight="1" outlineLevel="1">
      <c r="A41" s="131"/>
      <c r="C41" s="140"/>
      <c r="D41" s="561"/>
      <c r="E41" s="132"/>
      <c r="F41" s="126"/>
      <c r="G41" s="126"/>
      <c r="H41" s="126"/>
      <c r="I41" s="126"/>
      <c r="J41" s="126"/>
      <c r="K41" s="126"/>
      <c r="L41" s="126"/>
      <c r="M41" s="126"/>
      <c r="N41" s="126"/>
    </row>
    <row r="42" spans="1:15" ht="15" customHeight="1" outlineLevel="1">
      <c r="A42" s="131"/>
      <c r="C42" s="140"/>
      <c r="D42" s="561"/>
      <c r="E42" s="132"/>
      <c r="F42" s="126"/>
      <c r="G42" s="126"/>
      <c r="H42" s="126"/>
      <c r="I42" s="126"/>
      <c r="J42" s="126"/>
      <c r="K42" s="126"/>
      <c r="L42" s="126"/>
      <c r="M42" s="126"/>
      <c r="N42" s="126"/>
    </row>
    <row r="43" spans="1:15" ht="15" customHeight="1" outlineLevel="1">
      <c r="A43" s="131"/>
      <c r="B43" s="104" t="s">
        <v>267</v>
      </c>
      <c r="C43" s="140"/>
      <c r="D43" s="717" t="str">
        <f>'Model-R'!S43</f>
        <v>COMPLETE</v>
      </c>
      <c r="E43" s="132"/>
      <c r="F43" s="639">
        <f t="shared" ref="F43:N43" si="11">IF(F18&gt;=1,1,0)</f>
        <v>0</v>
      </c>
      <c r="G43" s="638">
        <f t="shared" si="11"/>
        <v>0</v>
      </c>
      <c r="H43" s="638">
        <f t="shared" si="11"/>
        <v>0</v>
      </c>
      <c r="I43" s="638">
        <f t="shared" si="11"/>
        <v>0</v>
      </c>
      <c r="J43" s="638">
        <f t="shared" si="11"/>
        <v>0</v>
      </c>
      <c r="K43" s="638">
        <f t="shared" si="11"/>
        <v>0</v>
      </c>
      <c r="L43" s="638">
        <f t="shared" si="11"/>
        <v>0</v>
      </c>
      <c r="M43" s="638">
        <f t="shared" si="11"/>
        <v>0</v>
      </c>
      <c r="N43" s="637">
        <f t="shared" si="11"/>
        <v>0</v>
      </c>
    </row>
    <row r="44" spans="1:15" ht="15" customHeight="1" outlineLevel="1">
      <c r="A44" s="131"/>
      <c r="B44" s="122"/>
      <c r="C44" s="140"/>
      <c r="D44" s="132"/>
      <c r="E44" s="132"/>
      <c r="F44" s="132"/>
      <c r="G44" s="132"/>
      <c r="H44" s="132"/>
      <c r="I44" s="131"/>
      <c r="J44" s="131"/>
      <c r="K44" s="131"/>
      <c r="L44" s="131"/>
      <c r="M44" s="131"/>
      <c r="N44" s="405"/>
    </row>
    <row r="45" spans="1:15" ht="15" customHeight="1" outlineLevel="1"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</row>
    <row r="46" spans="1:15" s="102" customFormat="1" ht="15" customHeight="1">
      <c r="B46" s="230"/>
      <c r="C46" s="230"/>
      <c r="D46" s="230"/>
      <c r="E46" s="230"/>
      <c r="F46" s="230"/>
      <c r="G46" s="230"/>
      <c r="H46" s="230"/>
      <c r="I46" s="230"/>
      <c r="J46" s="230"/>
      <c r="K46" s="230"/>
      <c r="L46" s="230"/>
      <c r="M46" s="230"/>
      <c r="N46" s="230"/>
      <c r="O46" s="377"/>
    </row>
    <row r="47" spans="1:15" ht="15" customHeight="1">
      <c r="A47" s="102" t="s">
        <v>0</v>
      </c>
      <c r="B47" s="144" t="s">
        <v>266</v>
      </c>
      <c r="C47" s="143"/>
      <c r="D47" s="142"/>
      <c r="E47" s="142"/>
      <c r="F47" s="141"/>
      <c r="G47" s="141"/>
      <c r="H47" s="141"/>
      <c r="I47" s="141"/>
      <c r="J47" s="141"/>
      <c r="K47" s="141"/>
      <c r="L47" s="141"/>
      <c r="M47" s="141"/>
      <c r="N47" s="447"/>
      <c r="O47" s="98"/>
    </row>
    <row r="48" spans="1:15" ht="15" customHeight="1" outlineLevel="1">
      <c r="A48" s="102"/>
      <c r="B48" s="304"/>
      <c r="C48" s="140"/>
      <c r="D48" s="139"/>
      <c r="E48" s="139"/>
      <c r="F48" s="138"/>
      <c r="G48" s="138"/>
      <c r="H48" s="138"/>
      <c r="I48" s="138"/>
      <c r="J48" s="138"/>
      <c r="K48" s="138"/>
      <c r="L48" s="138"/>
      <c r="M48" s="138"/>
      <c r="N48" s="138"/>
    </row>
    <row r="49" spans="1:16" ht="15" customHeight="1" outlineLevel="1" thickBot="1">
      <c r="A49" s="102"/>
      <c r="B49" s="122" t="s">
        <v>40</v>
      </c>
      <c r="C49" s="140"/>
      <c r="D49" s="132"/>
      <c r="E49" s="132"/>
      <c r="F49" s="490">
        <f t="shared" ref="F49:N49" si="12">F$5</f>
        <v>2020</v>
      </c>
      <c r="G49" s="490">
        <f t="shared" si="12"/>
        <v>2021</v>
      </c>
      <c r="H49" s="490">
        <f t="shared" si="12"/>
        <v>2022</v>
      </c>
      <c r="I49" s="354">
        <f t="shared" si="12"/>
        <v>2023</v>
      </c>
      <c r="J49" s="354">
        <f t="shared" si="12"/>
        <v>2024</v>
      </c>
      <c r="K49" s="354">
        <f t="shared" si="12"/>
        <v>2025</v>
      </c>
      <c r="L49" s="354">
        <f t="shared" si="12"/>
        <v>2026</v>
      </c>
      <c r="M49" s="354">
        <f t="shared" si="12"/>
        <v>2027</v>
      </c>
      <c r="N49" s="354" t="str">
        <f t="shared" si="12"/>
        <v>Term</v>
      </c>
    </row>
    <row r="50" spans="1:16" ht="15" customHeight="1" outlineLevel="1">
      <c r="A50" s="102"/>
      <c r="B50" s="122" t="str">
        <f>$B$6</f>
        <v>Model Running: Base Case Drivers</v>
      </c>
      <c r="C50" s="140"/>
      <c r="D50" s="132"/>
      <c r="E50" s="132"/>
      <c r="F50" s="132"/>
      <c r="G50" s="132"/>
      <c r="H50" s="132"/>
      <c r="I50" s="136"/>
      <c r="J50" s="136"/>
      <c r="K50" s="136"/>
      <c r="L50" s="136"/>
      <c r="M50" s="136"/>
      <c r="N50" s="136"/>
    </row>
    <row r="51" spans="1:16" ht="15" customHeight="1" outlineLevel="1">
      <c r="A51" s="102"/>
      <c r="B51" s="122"/>
      <c r="C51" s="140"/>
      <c r="D51" s="132"/>
      <c r="E51" s="132"/>
      <c r="F51" s="132"/>
      <c r="G51" s="132"/>
      <c r="H51" s="132"/>
      <c r="I51" s="131"/>
      <c r="J51" s="131"/>
      <c r="K51" s="131"/>
      <c r="L51" s="131"/>
      <c r="M51" s="131"/>
    </row>
    <row r="52" spans="1:16" ht="15" customHeight="1" outlineLevel="1">
      <c r="A52" s="102"/>
      <c r="B52" s="104" t="s">
        <v>265</v>
      </c>
      <c r="C52" s="140"/>
      <c r="D52" s="561"/>
      <c r="E52" s="132"/>
      <c r="F52" s="568">
        <f t="shared" ref="F52:N52" si="13">F38</f>
        <v>501510</v>
      </c>
      <c r="G52" s="407">
        <f t="shared" si="13"/>
        <v>511365</v>
      </c>
      <c r="H52" s="407">
        <f t="shared" si="13"/>
        <v>521950</v>
      </c>
      <c r="I52" s="407">
        <f t="shared" si="13"/>
        <v>532389</v>
      </c>
      <c r="J52" s="407">
        <f t="shared" si="13"/>
        <v>537712.89</v>
      </c>
      <c r="K52" s="407">
        <f t="shared" si="13"/>
        <v>543090.01890000014</v>
      </c>
      <c r="L52" s="407">
        <f t="shared" si="13"/>
        <v>545805.4689945</v>
      </c>
      <c r="M52" s="407">
        <f t="shared" si="13"/>
        <v>548534.49633947248</v>
      </c>
      <c r="N52" s="406">
        <f t="shared" si="13"/>
        <v>551277.16882116976</v>
      </c>
    </row>
    <row r="53" spans="1:16" ht="15" customHeight="1" outlineLevel="1">
      <c r="A53" s="102"/>
      <c r="B53" s="104" t="s">
        <v>249</v>
      </c>
      <c r="C53" s="140"/>
      <c r="D53" s="132"/>
      <c r="E53" s="132"/>
      <c r="F53" s="636">
        <v>2.4E-2</v>
      </c>
      <c r="G53" s="635">
        <v>2.1999999999999999E-2</v>
      </c>
      <c r="H53" s="635">
        <v>2.3E-2</v>
      </c>
      <c r="I53" s="634" cm="1">
        <f t="array" ref="I53:N53">Inputs!G31:L31</f>
        <v>3.5000000000000003E-2</v>
      </c>
      <c r="J53" s="634">
        <v>0.03</v>
      </c>
      <c r="K53" s="634">
        <v>0.03</v>
      </c>
      <c r="L53" s="634">
        <v>2.5000000000000001E-2</v>
      </c>
      <c r="M53" s="634">
        <v>2.5000000000000001E-2</v>
      </c>
      <c r="N53" s="633">
        <v>1.4999999999999999E-2</v>
      </c>
      <c r="P53" s="800">
        <f>'Model-R'!S53</f>
        <v>1</v>
      </c>
    </row>
    <row r="54" spans="1:16" ht="15" customHeight="1" outlineLevel="1">
      <c r="A54" s="102"/>
      <c r="B54" s="104"/>
      <c r="C54" s="140"/>
      <c r="D54" s="132"/>
      <c r="E54" s="132"/>
      <c r="F54" s="606"/>
      <c r="G54" s="606"/>
      <c r="H54" s="606"/>
      <c r="I54" s="221"/>
      <c r="J54" s="221"/>
      <c r="K54" s="221"/>
      <c r="L54" s="221"/>
      <c r="M54" s="221"/>
      <c r="N54" s="221"/>
    </row>
    <row r="55" spans="1:16" s="102" customFormat="1" ht="15" customHeight="1" outlineLevel="1">
      <c r="B55" s="114" t="s">
        <v>264</v>
      </c>
      <c r="C55" s="108"/>
      <c r="D55" s="561"/>
      <c r="E55" s="230"/>
      <c r="F55" s="632"/>
      <c r="G55" s="632"/>
      <c r="H55" s="632"/>
      <c r="I55" s="252"/>
      <c r="J55" s="252"/>
      <c r="K55" s="252"/>
      <c r="L55" s="252"/>
      <c r="M55" s="252"/>
      <c r="N55" s="252"/>
      <c r="O55" s="98"/>
    </row>
    <row r="56" spans="1:16" s="102" customFormat="1" ht="15" customHeight="1" outlineLevel="1">
      <c r="B56" s="104"/>
      <c r="C56" s="108"/>
      <c r="D56" s="561"/>
      <c r="E56" s="230"/>
      <c r="F56" s="252"/>
      <c r="G56" s="252"/>
      <c r="H56" s="252"/>
      <c r="I56" s="252"/>
      <c r="J56" s="252"/>
      <c r="K56" s="252"/>
      <c r="L56" s="252"/>
      <c r="M56" s="252"/>
      <c r="N56" s="583"/>
      <c r="O56" s="98"/>
    </row>
    <row r="57" spans="1:16" s="102" customFormat="1" ht="15" customHeight="1" outlineLevel="1">
      <c r="B57" s="229" t="s">
        <v>263</v>
      </c>
      <c r="C57" s="140"/>
      <c r="D57" s="561" t="s">
        <v>254</v>
      </c>
      <c r="E57" s="132"/>
      <c r="F57" s="257">
        <v>9.51</v>
      </c>
      <c r="G57" s="257">
        <v>9.7200000000000006</v>
      </c>
      <c r="H57" s="257">
        <v>9.91</v>
      </c>
      <c r="I57" s="256">
        <f t="shared" ref="I57:N59" si="14">H57*(1+I$53)</f>
        <v>10.25685</v>
      </c>
      <c r="J57" s="256">
        <f t="shared" si="14"/>
        <v>10.564555500000001</v>
      </c>
      <c r="K57" s="256">
        <f t="shared" si="14"/>
        <v>10.881492165000001</v>
      </c>
      <c r="L57" s="256">
        <f t="shared" si="14"/>
        <v>11.153529469125001</v>
      </c>
      <c r="M57" s="256">
        <f t="shared" si="14"/>
        <v>11.432367705853125</v>
      </c>
      <c r="N57" s="631">
        <f t="shared" si="14"/>
        <v>11.60385322144092</v>
      </c>
    </row>
    <row r="58" spans="1:16" s="102" customFormat="1" ht="15" customHeight="1" outlineLevel="1">
      <c r="B58" s="229" t="s">
        <v>262</v>
      </c>
      <c r="C58" s="140"/>
      <c r="D58" s="561" t="s">
        <v>254</v>
      </c>
      <c r="E58" s="132"/>
      <c r="F58" s="257">
        <v>0.82</v>
      </c>
      <c r="G58" s="257">
        <v>0.84</v>
      </c>
      <c r="H58" s="257">
        <v>0.86</v>
      </c>
      <c r="I58" s="256">
        <f t="shared" si="14"/>
        <v>0.89009999999999989</v>
      </c>
      <c r="J58" s="256">
        <f t="shared" si="14"/>
        <v>0.91680299999999992</v>
      </c>
      <c r="K58" s="256">
        <f t="shared" si="14"/>
        <v>0.9443070899999999</v>
      </c>
      <c r="L58" s="256">
        <f t="shared" si="14"/>
        <v>0.96791476724999981</v>
      </c>
      <c r="M58" s="256">
        <f t="shared" si="14"/>
        <v>0.99211263643124969</v>
      </c>
      <c r="N58" s="630">
        <f t="shared" si="14"/>
        <v>1.0069943259777183</v>
      </c>
    </row>
    <row r="59" spans="1:16" s="102" customFormat="1" ht="15" customHeight="1" outlineLevel="1">
      <c r="B59" s="229" t="s">
        <v>261</v>
      </c>
      <c r="C59" s="140"/>
      <c r="D59" s="561" t="s">
        <v>254</v>
      </c>
      <c r="E59" s="132"/>
      <c r="F59" s="629">
        <v>1.54</v>
      </c>
      <c r="G59" s="629">
        <v>1.58</v>
      </c>
      <c r="H59" s="629">
        <v>1.62</v>
      </c>
      <c r="I59" s="628">
        <f t="shared" si="14"/>
        <v>1.6767000000000001</v>
      </c>
      <c r="J59" s="628">
        <f t="shared" si="14"/>
        <v>1.7270010000000002</v>
      </c>
      <c r="K59" s="628">
        <f t="shared" si="14"/>
        <v>1.7788110300000002</v>
      </c>
      <c r="L59" s="628">
        <f t="shared" si="14"/>
        <v>1.8232813057500001</v>
      </c>
      <c r="M59" s="628">
        <f t="shared" si="14"/>
        <v>1.8688633383937501</v>
      </c>
      <c r="N59" s="627">
        <f t="shared" si="14"/>
        <v>1.8968962884696561</v>
      </c>
    </row>
    <row r="60" spans="1:16" s="102" customFormat="1" ht="15" customHeight="1" outlineLevel="1">
      <c r="B60" s="229" t="s">
        <v>256</v>
      </c>
      <c r="C60" s="108"/>
      <c r="D60" s="561"/>
      <c r="E60" s="230"/>
      <c r="F60" s="392">
        <f t="shared" ref="F60:N60" si="15">SUM(F57:F59)</f>
        <v>11.870000000000001</v>
      </c>
      <c r="G60" s="392">
        <f t="shared" si="15"/>
        <v>12.14</v>
      </c>
      <c r="H60" s="392">
        <f t="shared" si="15"/>
        <v>12.39</v>
      </c>
      <c r="I60" s="392">
        <f t="shared" si="15"/>
        <v>12.823650000000001</v>
      </c>
      <c r="J60" s="392">
        <f t="shared" si="15"/>
        <v>13.2083595</v>
      </c>
      <c r="K60" s="392">
        <f t="shared" si="15"/>
        <v>13.604610285000001</v>
      </c>
      <c r="L60" s="392">
        <f t="shared" si="15"/>
        <v>13.944725542124999</v>
      </c>
      <c r="M60" s="392">
        <f t="shared" si="15"/>
        <v>14.293343680678124</v>
      </c>
      <c r="N60" s="615">
        <f t="shared" si="15"/>
        <v>14.507743835888295</v>
      </c>
    </row>
    <row r="61" spans="1:16" s="102" customFormat="1" ht="15" customHeight="1" outlineLevel="1">
      <c r="B61" s="108"/>
      <c r="C61" s="108"/>
      <c r="D61" s="561"/>
      <c r="E61" s="230"/>
      <c r="F61" s="392"/>
      <c r="G61" s="392"/>
      <c r="H61" s="392"/>
      <c r="I61" s="392"/>
      <c r="J61" s="392"/>
      <c r="K61" s="392"/>
      <c r="L61" s="392"/>
      <c r="M61" s="392"/>
      <c r="N61" s="625"/>
    </row>
    <row r="62" spans="1:16" s="102" customFormat="1" ht="15" customHeight="1" outlineLevel="1">
      <c r="B62" s="229" t="s">
        <v>263</v>
      </c>
      <c r="C62" s="140"/>
      <c r="D62" s="561"/>
      <c r="E62" s="132"/>
      <c r="F62" s="126">
        <f t="shared" ref="F62:N62" si="16">F57*F$52/1000</f>
        <v>4769.3600999999999</v>
      </c>
      <c r="G62" s="126">
        <f t="shared" si="16"/>
        <v>4970.4678000000004</v>
      </c>
      <c r="H62" s="126">
        <f t="shared" si="16"/>
        <v>5172.5245000000004</v>
      </c>
      <c r="I62" s="126">
        <f t="shared" si="16"/>
        <v>5460.6341146499999</v>
      </c>
      <c r="J62" s="126">
        <f t="shared" si="16"/>
        <v>5680.6976694703962</v>
      </c>
      <c r="K62" s="126">
        <f t="shared" si="16"/>
        <v>5909.6297855500543</v>
      </c>
      <c r="L62" s="126">
        <f t="shared" si="16"/>
        <v>6087.6573828397477</v>
      </c>
      <c r="M62" s="126">
        <f t="shared" si="16"/>
        <v>6271.0480614977942</v>
      </c>
      <c r="N62" s="614">
        <f t="shared" si="16"/>
        <v>6396.9393513323612</v>
      </c>
    </row>
    <row r="63" spans="1:16" s="102" customFormat="1" ht="15" customHeight="1" outlineLevel="1">
      <c r="B63" s="229" t="s">
        <v>262</v>
      </c>
      <c r="C63" s="140"/>
      <c r="D63" s="561"/>
      <c r="E63" s="132"/>
      <c r="F63" s="126">
        <f t="shared" ref="F63:N63" si="17">F58*F$52/1000</f>
        <v>411.23819999999995</v>
      </c>
      <c r="G63" s="126">
        <f t="shared" si="17"/>
        <v>429.54659999999996</v>
      </c>
      <c r="H63" s="126">
        <f t="shared" si="17"/>
        <v>448.87700000000001</v>
      </c>
      <c r="I63" s="126">
        <f t="shared" si="17"/>
        <v>473.87944889999994</v>
      </c>
      <c r="J63" s="126">
        <f t="shared" si="17"/>
        <v>492.97679069066999</v>
      </c>
      <c r="K63" s="126">
        <f t="shared" si="17"/>
        <v>512.84375535550407</v>
      </c>
      <c r="L63" s="126">
        <f t="shared" si="17"/>
        <v>528.29317348558845</v>
      </c>
      <c r="M63" s="126">
        <f t="shared" si="17"/>
        <v>544.20800533684167</v>
      </c>
      <c r="N63" s="614">
        <f t="shared" si="17"/>
        <v>555.1329810439787</v>
      </c>
    </row>
    <row r="64" spans="1:16" s="102" customFormat="1" ht="15" customHeight="1" outlineLevel="1">
      <c r="B64" s="229" t="s">
        <v>261</v>
      </c>
      <c r="C64" s="140"/>
      <c r="D64" s="561"/>
      <c r="E64" s="132"/>
      <c r="F64" s="389">
        <f t="shared" ref="F64:N64" si="18">F59*F$52/1000</f>
        <v>772.32540000000006</v>
      </c>
      <c r="G64" s="389">
        <f t="shared" si="18"/>
        <v>807.95670000000007</v>
      </c>
      <c r="H64" s="389">
        <f t="shared" si="18"/>
        <v>845.55899999999997</v>
      </c>
      <c r="I64" s="389">
        <f t="shared" si="18"/>
        <v>892.65663630000006</v>
      </c>
      <c r="J64" s="389">
        <f t="shared" si="18"/>
        <v>928.6306987428901</v>
      </c>
      <c r="K64" s="389">
        <f t="shared" si="18"/>
        <v>966.05451590222879</v>
      </c>
      <c r="L64" s="389">
        <f t="shared" si="18"/>
        <v>995.15690819378312</v>
      </c>
      <c r="M64" s="389">
        <f t="shared" si="18"/>
        <v>1025.1360100531208</v>
      </c>
      <c r="N64" s="614">
        <f t="shared" si="18"/>
        <v>1045.7156154549371</v>
      </c>
    </row>
    <row r="65" spans="2:15" s="102" customFormat="1" ht="15" customHeight="1" outlineLevel="1">
      <c r="B65" s="229" t="s">
        <v>256</v>
      </c>
      <c r="C65" s="108"/>
      <c r="D65" s="561"/>
      <c r="E65" s="230"/>
      <c r="F65" s="126">
        <f t="shared" ref="F65:N65" si="19">SUM(F62:F64)</f>
        <v>5952.9236999999994</v>
      </c>
      <c r="G65" s="126">
        <f t="shared" si="19"/>
        <v>6207.9710999999998</v>
      </c>
      <c r="H65" s="126">
        <f t="shared" si="19"/>
        <v>6466.960500000001</v>
      </c>
      <c r="I65" s="126">
        <f t="shared" si="19"/>
        <v>6827.1701998500002</v>
      </c>
      <c r="J65" s="126">
        <f t="shared" si="19"/>
        <v>7102.305158903956</v>
      </c>
      <c r="K65" s="126">
        <f t="shared" si="19"/>
        <v>7388.5280568077869</v>
      </c>
      <c r="L65" s="126">
        <f t="shared" si="19"/>
        <v>7611.1074645191193</v>
      </c>
      <c r="M65" s="126">
        <f t="shared" si="19"/>
        <v>7840.392076887757</v>
      </c>
      <c r="N65" s="622">
        <f t="shared" si="19"/>
        <v>7997.7879478312771</v>
      </c>
      <c r="O65" s="105"/>
    </row>
    <row r="66" spans="2:15" s="102" customFormat="1" ht="15" customHeight="1" outlineLevel="1">
      <c r="B66" s="612"/>
      <c r="C66" s="562"/>
      <c r="D66" s="611"/>
      <c r="E66" s="449"/>
      <c r="F66" s="620"/>
      <c r="G66" s="620"/>
      <c r="H66" s="620"/>
      <c r="I66" s="620"/>
      <c r="J66" s="620"/>
      <c r="K66" s="620"/>
      <c r="L66" s="620"/>
      <c r="M66" s="620"/>
      <c r="N66" s="620"/>
    </row>
    <row r="67" spans="2:15" s="102" customFormat="1" ht="15" customHeight="1" outlineLevel="1">
      <c r="B67" s="104"/>
      <c r="C67" s="108"/>
      <c r="D67" s="561"/>
      <c r="E67" s="230"/>
      <c r="F67" s="252"/>
      <c r="G67" s="252"/>
      <c r="H67" s="252"/>
      <c r="I67" s="252"/>
      <c r="J67" s="252"/>
      <c r="K67" s="252"/>
      <c r="L67" s="252"/>
      <c r="M67" s="252"/>
      <c r="N67" s="252"/>
    </row>
    <row r="68" spans="2:15" s="102" customFormat="1" ht="15" customHeight="1" outlineLevel="1">
      <c r="B68" s="114" t="s">
        <v>260</v>
      </c>
      <c r="C68" s="108"/>
      <c r="D68" s="561"/>
      <c r="E68" s="230"/>
      <c r="F68" s="252"/>
      <c r="G68" s="252"/>
      <c r="H68" s="252"/>
      <c r="I68" s="252"/>
      <c r="J68" s="252"/>
      <c r="K68" s="252"/>
      <c r="L68" s="252"/>
      <c r="M68" s="252"/>
      <c r="N68" s="583"/>
      <c r="O68" s="98"/>
    </row>
    <row r="69" spans="2:15" s="102" customFormat="1" ht="15" customHeight="1" outlineLevel="1">
      <c r="B69" s="626"/>
      <c r="C69" s="108"/>
      <c r="D69" s="561"/>
      <c r="E69" s="230"/>
      <c r="F69" s="252"/>
      <c r="G69" s="252"/>
      <c r="H69" s="252"/>
      <c r="I69" s="252"/>
      <c r="J69" s="252"/>
      <c r="K69" s="252"/>
      <c r="L69" s="252"/>
      <c r="M69" s="252"/>
      <c r="N69" s="583"/>
      <c r="O69" s="98"/>
    </row>
    <row r="70" spans="2:15" s="102" customFormat="1" ht="15" customHeight="1" outlineLevel="1">
      <c r="B70" s="229" t="s">
        <v>259</v>
      </c>
      <c r="C70" s="140"/>
      <c r="D70" s="561" t="s">
        <v>254</v>
      </c>
      <c r="E70" s="132"/>
      <c r="F70" s="392">
        <f t="shared" ref="F70:N70" si="20">(F75*1000)/F$52</f>
        <v>31.165879045283244</v>
      </c>
      <c r="G70" s="392">
        <f t="shared" si="20"/>
        <v>31.236005592873976</v>
      </c>
      <c r="H70" s="392">
        <f t="shared" si="20"/>
        <v>31.307596513075964</v>
      </c>
      <c r="I70" s="392">
        <f t="shared" si="20"/>
        <v>31.768002344150606</v>
      </c>
      <c r="J70" s="392">
        <f t="shared" si="20"/>
        <v>32.397071697500131</v>
      </c>
      <c r="K70" s="392">
        <f t="shared" si="20"/>
        <v>33.038597869727845</v>
      </c>
      <c r="L70" s="392">
        <f t="shared" si="20"/>
        <v>33.696082404448809</v>
      </c>
      <c r="M70" s="392">
        <f t="shared" si="20"/>
        <v>34.366651208517439</v>
      </c>
      <c r="N70" s="618">
        <f t="shared" si="20"/>
        <v>34.708607936960405</v>
      </c>
    </row>
    <row r="71" spans="2:15" s="102" customFormat="1" ht="15" customHeight="1" outlineLevel="1">
      <c r="B71" s="229" t="s">
        <v>258</v>
      </c>
      <c r="C71" s="140"/>
      <c r="D71" s="561" t="s">
        <v>254</v>
      </c>
      <c r="E71" s="132"/>
      <c r="F71" s="392">
        <f t="shared" ref="F71:N71" si="21">(F76*1000)/F$52</f>
        <v>7.2800143566429387</v>
      </c>
      <c r="G71" s="392">
        <f t="shared" si="21"/>
        <v>7.2961583213555876</v>
      </c>
      <c r="H71" s="392">
        <f t="shared" si="21"/>
        <v>7.312961011591149</v>
      </c>
      <c r="I71" s="392">
        <f t="shared" si="21"/>
        <v>7.4205045558792539</v>
      </c>
      <c r="J71" s="392">
        <f t="shared" si="21"/>
        <v>7.5674452401540906</v>
      </c>
      <c r="K71" s="392">
        <f t="shared" si="21"/>
        <v>7.7172956409492199</v>
      </c>
      <c r="L71" s="392">
        <f t="shared" si="21"/>
        <v>7.8708736636546774</v>
      </c>
      <c r="M71" s="392">
        <f t="shared" si="21"/>
        <v>8.0275079654189501</v>
      </c>
      <c r="N71" s="615">
        <f t="shared" si="21"/>
        <v>8.1073836665673973</v>
      </c>
    </row>
    <row r="72" spans="2:15" s="102" customFormat="1" ht="15" customHeight="1" outlineLevel="1">
      <c r="B72" s="229" t="s">
        <v>257</v>
      </c>
      <c r="C72" s="140"/>
      <c r="D72" s="561" t="s">
        <v>254</v>
      </c>
      <c r="E72" s="132"/>
      <c r="F72" s="617">
        <f t="shared" ref="F72:N72" si="22">(F77*1000)/F$52</f>
        <v>4.9111682718191059</v>
      </c>
      <c r="G72" s="617">
        <f t="shared" si="22"/>
        <v>4.9221202076794466</v>
      </c>
      <c r="H72" s="617">
        <f t="shared" si="22"/>
        <v>4.9334227416419196</v>
      </c>
      <c r="I72" s="617">
        <f t="shared" si="22"/>
        <v>5.0059730760778303</v>
      </c>
      <c r="J72" s="617">
        <f t="shared" si="22"/>
        <v>5.1051012558021434</v>
      </c>
      <c r="K72" s="617">
        <f t="shared" si="22"/>
        <v>5.2061923697784227</v>
      </c>
      <c r="L72" s="617">
        <f t="shared" si="22"/>
        <v>5.3097981880824729</v>
      </c>
      <c r="M72" s="617">
        <f t="shared" si="22"/>
        <v>5.4154658137159544</v>
      </c>
      <c r="N72" s="616">
        <f t="shared" si="22"/>
        <v>5.4693510456932275</v>
      </c>
    </row>
    <row r="73" spans="2:15" s="102" customFormat="1" ht="15" customHeight="1" outlineLevel="1">
      <c r="B73" s="229" t="s">
        <v>256</v>
      </c>
      <c r="C73" s="108"/>
      <c r="D73" s="561"/>
      <c r="E73" s="230"/>
      <c r="F73" s="392">
        <f t="shared" ref="F73:N73" si="23">SUM(F70:F72)</f>
        <v>43.357061673745292</v>
      </c>
      <c r="G73" s="392">
        <f t="shared" si="23"/>
        <v>43.454284121909012</v>
      </c>
      <c r="H73" s="392">
        <f t="shared" si="23"/>
        <v>43.553980266309033</v>
      </c>
      <c r="I73" s="392">
        <f t="shared" si="23"/>
        <v>44.194479976107687</v>
      </c>
      <c r="J73" s="392">
        <f t="shared" si="23"/>
        <v>45.069618193456364</v>
      </c>
      <c r="K73" s="392">
        <f t="shared" si="23"/>
        <v>45.962085880455483</v>
      </c>
      <c r="L73" s="392">
        <f t="shared" si="23"/>
        <v>46.876754256185961</v>
      </c>
      <c r="M73" s="392">
        <f t="shared" si="23"/>
        <v>47.809624987652342</v>
      </c>
      <c r="N73" s="615">
        <f t="shared" si="23"/>
        <v>48.285342649221036</v>
      </c>
    </row>
    <row r="74" spans="2:15" s="102" customFormat="1" ht="15" customHeight="1" outlineLevel="1">
      <c r="B74" s="108"/>
      <c r="C74" s="108"/>
      <c r="D74" s="561"/>
      <c r="E74" s="230"/>
      <c r="F74" s="252"/>
      <c r="G74" s="252"/>
      <c r="H74" s="252"/>
      <c r="I74" s="252"/>
      <c r="J74" s="252"/>
      <c r="K74" s="252"/>
      <c r="L74" s="252"/>
      <c r="M74" s="252"/>
      <c r="N74" s="625"/>
    </row>
    <row r="75" spans="2:15" s="102" customFormat="1" ht="15" customHeight="1" outlineLevel="1">
      <c r="B75" s="229" t="s">
        <v>259</v>
      </c>
      <c r="C75" s="140"/>
      <c r="D75" s="391"/>
      <c r="E75" s="132"/>
      <c r="F75" s="391">
        <v>15630</v>
      </c>
      <c r="G75" s="391">
        <v>15973</v>
      </c>
      <c r="H75" s="391">
        <v>16341</v>
      </c>
      <c r="I75" s="494">
        <f t="shared" ref="I75:N77" si="24">H75*(1+I$53)</f>
        <v>16912.934999999998</v>
      </c>
      <c r="J75" s="494">
        <f t="shared" si="24"/>
        <v>17420.323049999999</v>
      </c>
      <c r="K75" s="494">
        <f t="shared" si="24"/>
        <v>17942.932741500001</v>
      </c>
      <c r="L75" s="494">
        <f t="shared" si="24"/>
        <v>18391.5060600375</v>
      </c>
      <c r="M75" s="494">
        <f t="shared" si="24"/>
        <v>18851.293711538437</v>
      </c>
      <c r="N75" s="623">
        <f t="shared" si="24"/>
        <v>19134.063117211514</v>
      </c>
    </row>
    <row r="76" spans="2:15" s="102" customFormat="1" ht="15" customHeight="1" outlineLevel="1">
      <c r="B76" s="229" t="s">
        <v>258</v>
      </c>
      <c r="C76" s="140"/>
      <c r="D76" s="561"/>
      <c r="E76" s="132"/>
      <c r="F76" s="391">
        <v>3651</v>
      </c>
      <c r="G76" s="391">
        <v>3731</v>
      </c>
      <c r="H76" s="391">
        <v>3817</v>
      </c>
      <c r="I76" s="494">
        <f t="shared" si="24"/>
        <v>3950.5949999999998</v>
      </c>
      <c r="J76" s="494">
        <f t="shared" si="24"/>
        <v>4069.11285</v>
      </c>
      <c r="K76" s="494">
        <f t="shared" si="24"/>
        <v>4191.1862355000003</v>
      </c>
      <c r="L76" s="494">
        <f t="shared" si="24"/>
        <v>4295.9658913875001</v>
      </c>
      <c r="M76" s="494">
        <f t="shared" si="24"/>
        <v>4403.3650386721874</v>
      </c>
      <c r="N76" s="623">
        <f t="shared" si="24"/>
        <v>4469.4155142522695</v>
      </c>
    </row>
    <row r="77" spans="2:15" s="102" customFormat="1" ht="15" customHeight="1" outlineLevel="1">
      <c r="B77" s="229" t="s">
        <v>257</v>
      </c>
      <c r="C77" s="140"/>
      <c r="D77" s="561"/>
      <c r="E77" s="132"/>
      <c r="F77" s="390">
        <v>2463</v>
      </c>
      <c r="G77" s="390">
        <v>2517</v>
      </c>
      <c r="H77" s="390">
        <v>2575</v>
      </c>
      <c r="I77" s="624">
        <f t="shared" si="24"/>
        <v>2665.125</v>
      </c>
      <c r="J77" s="624">
        <f t="shared" si="24"/>
        <v>2745.0787500000001</v>
      </c>
      <c r="K77" s="624">
        <f t="shared" si="24"/>
        <v>2827.4311125000004</v>
      </c>
      <c r="L77" s="624">
        <f t="shared" si="24"/>
        <v>2898.1168903125003</v>
      </c>
      <c r="M77" s="624">
        <f t="shared" si="24"/>
        <v>2970.5698125703125</v>
      </c>
      <c r="N77" s="623">
        <f t="shared" si="24"/>
        <v>3015.1283597588667</v>
      </c>
    </row>
    <row r="78" spans="2:15" s="102" customFormat="1" ht="15" customHeight="1" outlineLevel="1">
      <c r="B78" s="229" t="s">
        <v>256</v>
      </c>
      <c r="C78" s="108"/>
      <c r="D78" s="561"/>
      <c r="E78" s="230"/>
      <c r="F78" s="126">
        <f t="shared" ref="F78:N78" si="25">SUM(F75:F77)</f>
        <v>21744</v>
      </c>
      <c r="G78" s="126">
        <f t="shared" si="25"/>
        <v>22221</v>
      </c>
      <c r="H78" s="126">
        <f t="shared" si="25"/>
        <v>22733</v>
      </c>
      <c r="I78" s="126">
        <f t="shared" si="25"/>
        <v>23528.654999999999</v>
      </c>
      <c r="J78" s="126">
        <f t="shared" si="25"/>
        <v>24234.514650000001</v>
      </c>
      <c r="K78" s="126">
        <f t="shared" si="25"/>
        <v>24961.5500895</v>
      </c>
      <c r="L78" s="126">
        <f t="shared" si="25"/>
        <v>25585.588841737499</v>
      </c>
      <c r="M78" s="126">
        <f t="shared" si="25"/>
        <v>26225.22856278094</v>
      </c>
      <c r="N78" s="622">
        <f t="shared" si="25"/>
        <v>26618.606991222649</v>
      </c>
    </row>
    <row r="79" spans="2:15" s="102" customFormat="1" ht="15" customHeight="1" outlineLevel="1">
      <c r="B79" s="612"/>
      <c r="C79" s="562"/>
      <c r="D79" s="611"/>
      <c r="E79" s="449"/>
      <c r="F79" s="620"/>
      <c r="G79" s="621"/>
      <c r="H79" s="621"/>
      <c r="I79" s="620"/>
      <c r="J79" s="620"/>
      <c r="K79" s="620"/>
      <c r="L79" s="620"/>
      <c r="M79" s="620"/>
      <c r="N79" s="620"/>
    </row>
    <row r="80" spans="2:15" s="102" customFormat="1" ht="15" customHeight="1" outlineLevel="1">
      <c r="B80" s="104"/>
      <c r="C80" s="108"/>
      <c r="D80" s="561"/>
      <c r="E80" s="230"/>
      <c r="F80" s="252"/>
      <c r="G80" s="619"/>
      <c r="H80" s="619"/>
      <c r="I80" s="252"/>
      <c r="J80" s="252"/>
      <c r="K80" s="252"/>
      <c r="L80" s="252"/>
      <c r="M80" s="252"/>
      <c r="N80" s="252"/>
    </row>
    <row r="81" spans="1:15" s="102" customFormat="1" ht="15" customHeight="1" outlineLevel="1">
      <c r="B81" s="114" t="s">
        <v>255</v>
      </c>
      <c r="C81" s="108"/>
      <c r="D81" s="561"/>
      <c r="E81" s="230"/>
      <c r="F81" s="252"/>
      <c r="G81" s="252"/>
      <c r="H81" s="252"/>
      <c r="I81" s="252"/>
    </row>
    <row r="82" spans="1:15" s="102" customFormat="1" ht="15" customHeight="1" outlineLevel="1">
      <c r="B82" s="114"/>
      <c r="C82" s="108"/>
      <c r="D82" s="561"/>
      <c r="E82" s="230"/>
      <c r="F82" s="252"/>
      <c r="G82" s="252"/>
      <c r="H82" s="252"/>
      <c r="I82" s="252"/>
      <c r="J82" s="252"/>
      <c r="K82" s="252"/>
      <c r="L82" s="252"/>
      <c r="M82" s="252"/>
      <c r="N82" s="583"/>
    </row>
    <row r="83" spans="1:15" s="102" customFormat="1" ht="15" customHeight="1" outlineLevel="1">
      <c r="B83" s="229" t="s">
        <v>253</v>
      </c>
      <c r="C83" s="108"/>
      <c r="D83" s="561" t="s">
        <v>254</v>
      </c>
      <c r="E83" s="230"/>
      <c r="F83" s="392">
        <f t="shared" ref="F83:N83" si="26">F60</f>
        <v>11.870000000000001</v>
      </c>
      <c r="G83" s="392">
        <f t="shared" si="26"/>
        <v>12.14</v>
      </c>
      <c r="H83" s="392">
        <f t="shared" si="26"/>
        <v>12.39</v>
      </c>
      <c r="I83" s="392">
        <f t="shared" si="26"/>
        <v>12.823650000000001</v>
      </c>
      <c r="J83" s="392">
        <f t="shared" si="26"/>
        <v>13.2083595</v>
      </c>
      <c r="K83" s="392">
        <f t="shared" si="26"/>
        <v>13.604610285000001</v>
      </c>
      <c r="L83" s="392">
        <f t="shared" si="26"/>
        <v>13.944725542124999</v>
      </c>
      <c r="M83" s="392">
        <f t="shared" si="26"/>
        <v>14.293343680678124</v>
      </c>
      <c r="N83" s="618">
        <f t="shared" si="26"/>
        <v>14.507743835888295</v>
      </c>
    </row>
    <row r="84" spans="1:15" s="102" customFormat="1" ht="15" customHeight="1" outlineLevel="1">
      <c r="B84" s="229" t="s">
        <v>252</v>
      </c>
      <c r="C84" s="108"/>
      <c r="D84" s="561" t="s">
        <v>254</v>
      </c>
      <c r="E84" s="230"/>
      <c r="F84" s="617">
        <f t="shared" ref="F84:N84" si="27">F73</f>
        <v>43.357061673745292</v>
      </c>
      <c r="G84" s="617">
        <f t="shared" si="27"/>
        <v>43.454284121909012</v>
      </c>
      <c r="H84" s="617">
        <f t="shared" si="27"/>
        <v>43.553980266309033</v>
      </c>
      <c r="I84" s="617">
        <f t="shared" si="27"/>
        <v>44.194479976107687</v>
      </c>
      <c r="J84" s="617">
        <f t="shared" si="27"/>
        <v>45.069618193456364</v>
      </c>
      <c r="K84" s="617">
        <f t="shared" si="27"/>
        <v>45.962085880455483</v>
      </c>
      <c r="L84" s="617">
        <f t="shared" si="27"/>
        <v>46.876754256185961</v>
      </c>
      <c r="M84" s="617">
        <f t="shared" si="27"/>
        <v>47.809624987652342</v>
      </c>
      <c r="N84" s="616">
        <f t="shared" si="27"/>
        <v>48.285342649221036</v>
      </c>
    </row>
    <row r="85" spans="1:15" s="102" customFormat="1" ht="15" customHeight="1" outlineLevel="1">
      <c r="B85" s="229" t="s">
        <v>251</v>
      </c>
      <c r="C85" s="108"/>
      <c r="D85" s="561" t="s">
        <v>254</v>
      </c>
      <c r="E85" s="230"/>
      <c r="F85" s="392">
        <f t="shared" ref="F85:N85" si="28">SUM(F83:F84)</f>
        <v>55.227061673745297</v>
      </c>
      <c r="G85" s="392">
        <f t="shared" si="28"/>
        <v>55.594284121909013</v>
      </c>
      <c r="H85" s="392">
        <f t="shared" si="28"/>
        <v>55.943980266309033</v>
      </c>
      <c r="I85" s="392">
        <f t="shared" si="28"/>
        <v>57.018129976107687</v>
      </c>
      <c r="J85" s="392">
        <f t="shared" si="28"/>
        <v>58.277977693456364</v>
      </c>
      <c r="K85" s="392">
        <f t="shared" si="28"/>
        <v>59.566696165455483</v>
      </c>
      <c r="L85" s="392">
        <f t="shared" si="28"/>
        <v>60.821479798310961</v>
      </c>
      <c r="M85" s="392">
        <f t="shared" si="28"/>
        <v>62.102968668330462</v>
      </c>
      <c r="N85" s="615">
        <f t="shared" si="28"/>
        <v>62.793086485109328</v>
      </c>
    </row>
    <row r="86" spans="1:15" s="102" customFormat="1" ht="15" customHeight="1" outlineLevel="1">
      <c r="B86" s="104"/>
      <c r="C86" s="108"/>
      <c r="D86" s="561"/>
      <c r="E86" s="230"/>
      <c r="F86" s="392"/>
      <c r="G86" s="392"/>
      <c r="H86" s="392"/>
      <c r="I86" s="392"/>
      <c r="J86" s="392"/>
      <c r="K86" s="392"/>
      <c r="L86" s="392"/>
      <c r="M86" s="392"/>
      <c r="N86" s="615"/>
    </row>
    <row r="87" spans="1:15" s="102" customFormat="1" ht="15" customHeight="1" outlineLevel="1">
      <c r="B87" s="229" t="s">
        <v>253</v>
      </c>
      <c r="C87" s="108"/>
      <c r="D87" s="561"/>
      <c r="E87" s="230"/>
      <c r="F87" s="126">
        <f t="shared" ref="F87:N87" si="29">F65</f>
        <v>5952.9236999999994</v>
      </c>
      <c r="G87" s="126">
        <f t="shared" si="29"/>
        <v>6207.9710999999998</v>
      </c>
      <c r="H87" s="126">
        <f t="shared" si="29"/>
        <v>6466.960500000001</v>
      </c>
      <c r="I87" s="126">
        <f t="shared" si="29"/>
        <v>6827.1701998500002</v>
      </c>
      <c r="J87" s="126">
        <f t="shared" si="29"/>
        <v>7102.305158903956</v>
      </c>
      <c r="K87" s="126">
        <f t="shared" si="29"/>
        <v>7388.5280568077869</v>
      </c>
      <c r="L87" s="126">
        <f t="shared" si="29"/>
        <v>7611.1074645191193</v>
      </c>
      <c r="M87" s="126">
        <f t="shared" si="29"/>
        <v>7840.392076887757</v>
      </c>
      <c r="N87" s="614">
        <f t="shared" si="29"/>
        <v>7997.7879478312771</v>
      </c>
    </row>
    <row r="88" spans="1:15" s="102" customFormat="1" ht="15" customHeight="1" outlineLevel="1">
      <c r="B88" s="229" t="s">
        <v>252</v>
      </c>
      <c r="C88" s="108"/>
      <c r="D88" s="561"/>
      <c r="E88" s="230"/>
      <c r="F88" s="126">
        <f t="shared" ref="F88:N88" si="30">F78</f>
        <v>21744</v>
      </c>
      <c r="G88" s="126">
        <f t="shared" si="30"/>
        <v>22221</v>
      </c>
      <c r="H88" s="126">
        <f t="shared" si="30"/>
        <v>22733</v>
      </c>
      <c r="I88" s="126">
        <f t="shared" si="30"/>
        <v>23528.654999999999</v>
      </c>
      <c r="J88" s="126">
        <f t="shared" si="30"/>
        <v>24234.514650000001</v>
      </c>
      <c r="K88" s="126">
        <f t="shared" si="30"/>
        <v>24961.5500895</v>
      </c>
      <c r="L88" s="126">
        <f t="shared" si="30"/>
        <v>25585.588841737499</v>
      </c>
      <c r="M88" s="126">
        <f t="shared" si="30"/>
        <v>26225.22856278094</v>
      </c>
      <c r="N88" s="614">
        <f t="shared" si="30"/>
        <v>26618.606991222649</v>
      </c>
    </row>
    <row r="89" spans="1:15" s="102" customFormat="1" ht="15" customHeight="1" outlineLevel="1" thickBot="1">
      <c r="B89" s="229" t="s">
        <v>251</v>
      </c>
      <c r="C89" s="108"/>
      <c r="D89" s="717" t="str">
        <f>'Model-R'!S89</f>
        <v>COMPLETE</v>
      </c>
      <c r="E89" s="230"/>
      <c r="F89" s="472">
        <f t="shared" ref="F89:N89" si="31">SUM(F87:F88)</f>
        <v>27696.923699999999</v>
      </c>
      <c r="G89" s="472">
        <f t="shared" si="31"/>
        <v>28428.971099999999</v>
      </c>
      <c r="H89" s="472">
        <f t="shared" si="31"/>
        <v>29199.960500000001</v>
      </c>
      <c r="I89" s="472">
        <f t="shared" si="31"/>
        <v>30355.825199849998</v>
      </c>
      <c r="J89" s="472">
        <f t="shared" si="31"/>
        <v>31336.819808903958</v>
      </c>
      <c r="K89" s="472">
        <f t="shared" si="31"/>
        <v>32350.078146307787</v>
      </c>
      <c r="L89" s="472">
        <f t="shared" si="31"/>
        <v>33196.696306256621</v>
      </c>
      <c r="M89" s="472">
        <f t="shared" si="31"/>
        <v>34065.620639668698</v>
      </c>
      <c r="N89" s="613">
        <f t="shared" si="31"/>
        <v>34616.394939053927</v>
      </c>
    </row>
    <row r="90" spans="1:15" s="102" customFormat="1" ht="15" customHeight="1" outlineLevel="1">
      <c r="B90" s="114"/>
      <c r="C90" s="108"/>
      <c r="D90" s="561"/>
      <c r="E90" s="230"/>
      <c r="F90" s="126"/>
      <c r="G90" s="126"/>
      <c r="H90" s="126"/>
      <c r="I90" s="126"/>
      <c r="J90" s="126"/>
      <c r="K90" s="126"/>
      <c r="L90" s="126"/>
      <c r="M90" s="126"/>
      <c r="N90" s="126"/>
    </row>
    <row r="91" spans="1:15" s="102" customFormat="1" ht="15" customHeight="1" outlineLevel="1">
      <c r="B91" s="612"/>
      <c r="C91" s="240"/>
      <c r="D91" s="611"/>
      <c r="E91" s="356"/>
      <c r="F91" s="390"/>
      <c r="G91" s="390"/>
      <c r="H91" s="610"/>
      <c r="I91" s="610"/>
      <c r="J91" s="610"/>
      <c r="K91" s="610"/>
      <c r="L91" s="610"/>
      <c r="M91" s="610"/>
      <c r="N91" s="610"/>
      <c r="O91" s="98"/>
    </row>
    <row r="92" spans="1:15" s="102" customFormat="1" ht="15" customHeight="1">
      <c r="B92" s="104"/>
      <c r="C92" s="140"/>
      <c r="D92" s="561"/>
      <c r="E92" s="132"/>
      <c r="F92" s="391"/>
      <c r="G92" s="391"/>
      <c r="H92" s="391"/>
      <c r="I92" s="494"/>
      <c r="J92" s="494"/>
      <c r="K92" s="494"/>
      <c r="L92" s="494"/>
      <c r="M92" s="494"/>
      <c r="N92" s="494"/>
      <c r="O92" s="98"/>
    </row>
    <row r="93" spans="1:15" s="131" customFormat="1" ht="15" customHeight="1">
      <c r="A93" s="102" t="s">
        <v>0</v>
      </c>
      <c r="B93" s="144" t="s">
        <v>250</v>
      </c>
      <c r="C93" s="143"/>
      <c r="D93" s="142"/>
      <c r="E93" s="142"/>
      <c r="F93" s="141"/>
      <c r="G93" s="141"/>
      <c r="H93" s="141"/>
      <c r="I93" s="141"/>
      <c r="J93" s="141"/>
      <c r="K93" s="141"/>
      <c r="L93" s="141"/>
      <c r="M93" s="141"/>
      <c r="N93" s="447"/>
    </row>
    <row r="94" spans="1:15" s="131" customFormat="1" ht="15" customHeight="1" outlineLevel="1">
      <c r="B94" s="304"/>
      <c r="C94" s="140"/>
      <c r="D94" s="139"/>
      <c r="E94" s="139"/>
      <c r="F94" s="138"/>
      <c r="G94" s="138"/>
      <c r="H94" s="138"/>
      <c r="I94" s="138"/>
      <c r="J94" s="138"/>
      <c r="K94" s="138"/>
      <c r="L94" s="138"/>
      <c r="M94" s="138"/>
      <c r="N94" s="138"/>
    </row>
    <row r="95" spans="1:15" s="131" customFormat="1" ht="15" customHeight="1" outlineLevel="1" thickBot="1">
      <c r="B95" s="122" t="s">
        <v>40</v>
      </c>
      <c r="C95" s="140"/>
      <c r="D95" s="132"/>
      <c r="E95" s="132"/>
      <c r="F95" s="490">
        <f t="shared" ref="F95:N95" si="32">F$5</f>
        <v>2020</v>
      </c>
      <c r="G95" s="490">
        <f t="shared" si="32"/>
        <v>2021</v>
      </c>
      <c r="H95" s="490">
        <f t="shared" si="32"/>
        <v>2022</v>
      </c>
      <c r="I95" s="354">
        <f t="shared" si="32"/>
        <v>2023</v>
      </c>
      <c r="J95" s="354">
        <f t="shared" si="32"/>
        <v>2024</v>
      </c>
      <c r="K95" s="354">
        <f t="shared" si="32"/>
        <v>2025</v>
      </c>
      <c r="L95" s="354">
        <f t="shared" si="32"/>
        <v>2026</v>
      </c>
      <c r="M95" s="354">
        <f t="shared" si="32"/>
        <v>2027</v>
      </c>
      <c r="N95" s="354" t="str">
        <f t="shared" si="32"/>
        <v>Term</v>
      </c>
    </row>
    <row r="96" spans="1:15" ht="15" customHeight="1" outlineLevel="1">
      <c r="A96" s="102"/>
      <c r="B96" s="122" t="str">
        <f>$B$6</f>
        <v>Model Running: Base Case Drivers</v>
      </c>
      <c r="C96" s="140"/>
      <c r="D96" s="132"/>
      <c r="E96" s="132"/>
      <c r="F96" s="132"/>
      <c r="G96" s="132"/>
      <c r="H96" s="132"/>
      <c r="I96" s="136"/>
      <c r="J96" s="136"/>
      <c r="K96" s="136"/>
      <c r="L96" s="136"/>
      <c r="M96" s="136"/>
      <c r="N96" s="136"/>
    </row>
    <row r="97" spans="1:16" s="131" customFormat="1" ht="15" customHeight="1" outlineLevel="1">
      <c r="B97" s="122"/>
      <c r="C97" s="140"/>
      <c r="D97" s="132"/>
      <c r="E97" s="132"/>
      <c r="F97" s="132"/>
      <c r="G97" s="132"/>
      <c r="H97" s="132"/>
    </row>
    <row r="98" spans="1:16" ht="15" customHeight="1" outlineLevel="1">
      <c r="A98" s="102"/>
      <c r="B98" s="104" t="s">
        <v>249</v>
      </c>
      <c r="C98" s="140"/>
      <c r="D98" s="132"/>
      <c r="E98" s="132"/>
      <c r="F98" s="609">
        <f t="shared" ref="F98:N98" si="33">F53</f>
        <v>2.4E-2</v>
      </c>
      <c r="G98" s="608">
        <f t="shared" si="33"/>
        <v>2.1999999999999999E-2</v>
      </c>
      <c r="H98" s="608">
        <f t="shared" si="33"/>
        <v>2.3E-2</v>
      </c>
      <c r="I98" s="608">
        <f t="shared" si="33"/>
        <v>3.5000000000000003E-2</v>
      </c>
      <c r="J98" s="608">
        <f t="shared" si="33"/>
        <v>0.03</v>
      </c>
      <c r="K98" s="608">
        <f t="shared" si="33"/>
        <v>0.03</v>
      </c>
      <c r="L98" s="608">
        <f t="shared" si="33"/>
        <v>2.5000000000000001E-2</v>
      </c>
      <c r="M98" s="608">
        <f t="shared" si="33"/>
        <v>2.5000000000000001E-2</v>
      </c>
      <c r="N98" s="607">
        <f t="shared" si="33"/>
        <v>1.4999999999999999E-2</v>
      </c>
    </row>
    <row r="99" spans="1:16" ht="15" customHeight="1" outlineLevel="1">
      <c r="A99" s="102"/>
      <c r="B99" s="104"/>
      <c r="C99" s="140"/>
      <c r="D99" s="132"/>
      <c r="E99" s="132"/>
      <c r="F99" s="606"/>
      <c r="G99" s="606"/>
      <c r="H99" s="606"/>
      <c r="I99" s="606"/>
      <c r="J99" s="606"/>
      <c r="K99" s="606"/>
      <c r="L99" s="606"/>
      <c r="M99" s="606"/>
      <c r="N99" s="606"/>
    </row>
    <row r="100" spans="1:16" s="131" customFormat="1" ht="15" customHeight="1" outlineLevel="1">
      <c r="B100" s="605" t="s">
        <v>169</v>
      </c>
      <c r="C100" s="604">
        <f>Inputs!$L$105</f>
        <v>2520</v>
      </c>
      <c r="D100" s="132"/>
      <c r="E100" s="132"/>
      <c r="F100" s="132"/>
      <c r="G100" s="132"/>
      <c r="H100" s="132"/>
    </row>
    <row r="101" spans="1:16" s="131" customFormat="1" ht="15" customHeight="1" outlineLevel="1">
      <c r="B101" s="466" t="s">
        <v>87</v>
      </c>
      <c r="C101" s="603">
        <f>Inputs!$L$73</f>
        <v>0.3</v>
      </c>
      <c r="E101" s="132"/>
      <c r="F101" s="132"/>
      <c r="G101" s="132"/>
      <c r="H101" s="132"/>
      <c r="I101" s="136"/>
      <c r="J101" s="136"/>
      <c r="K101" s="136"/>
      <c r="L101" s="136"/>
      <c r="M101" s="136"/>
      <c r="O101" s="98"/>
    </row>
    <row r="102" spans="1:16" s="131" customFormat="1" ht="15" customHeight="1" outlineLevel="1">
      <c r="B102" s="101"/>
      <c r="C102" s="140"/>
      <c r="D102" s="132"/>
      <c r="E102" s="132"/>
      <c r="F102" s="132"/>
      <c r="G102" s="132"/>
      <c r="H102" s="132"/>
    </row>
    <row r="103" spans="1:16" s="102" customFormat="1" ht="15" customHeight="1" outlineLevel="1">
      <c r="B103" s="229" t="s">
        <v>239</v>
      </c>
      <c r="C103" s="230"/>
      <c r="D103" s="132"/>
      <c r="E103" s="230"/>
      <c r="F103" s="387">
        <v>51585</v>
      </c>
      <c r="G103" s="387">
        <v>53494</v>
      </c>
      <c r="H103" s="387">
        <v>55749</v>
      </c>
      <c r="I103" s="594">
        <f>I40</f>
        <v>58570.403162700008</v>
      </c>
      <c r="J103" s="594">
        <f t="shared" ref="J103:N103" si="34">J40</f>
        <v>59747.668266270273</v>
      </c>
      <c r="K103" s="594">
        <f t="shared" si="34"/>
        <v>60948.59639842232</v>
      </c>
      <c r="L103" s="594">
        <f t="shared" si="34"/>
        <v>61865.872774218558</v>
      </c>
      <c r="M103" s="594">
        <f t="shared" si="34"/>
        <v>62486.078148780085</v>
      </c>
      <c r="N103" s="602">
        <f t="shared" si="34"/>
        <v>63112.501082221599</v>
      </c>
      <c r="P103" s="800">
        <f>'Model-R'!S103</f>
        <v>1</v>
      </c>
    </row>
    <row r="104" spans="1:16" s="102" customFormat="1" ht="15" customHeight="1" outlineLevel="1">
      <c r="B104" s="229" t="s">
        <v>238</v>
      </c>
      <c r="C104" s="230"/>
      <c r="D104" s="230"/>
      <c r="E104" s="230"/>
      <c r="F104" s="394">
        <v>27697</v>
      </c>
      <c r="G104" s="394">
        <v>28429</v>
      </c>
      <c r="H104" s="394">
        <v>29200</v>
      </c>
      <c r="I104" s="592">
        <f>I89</f>
        <v>30355.825199849998</v>
      </c>
      <c r="J104" s="592">
        <f t="shared" ref="J104:N104" si="35">J89</f>
        <v>31336.819808903958</v>
      </c>
      <c r="K104" s="592">
        <f t="shared" si="35"/>
        <v>32350.078146307787</v>
      </c>
      <c r="L104" s="592">
        <f t="shared" si="35"/>
        <v>33196.696306256621</v>
      </c>
      <c r="M104" s="592">
        <f t="shared" si="35"/>
        <v>34065.620639668698</v>
      </c>
      <c r="N104" s="598">
        <f t="shared" si="35"/>
        <v>34616.394939053927</v>
      </c>
      <c r="P104" s="800">
        <f>'Model-R'!S104</f>
        <v>1</v>
      </c>
    </row>
    <row r="105" spans="1:16" s="102" customFormat="1" ht="15" customHeight="1" outlineLevel="1">
      <c r="B105" s="315" t="s">
        <v>248</v>
      </c>
      <c r="C105" s="493"/>
      <c r="D105" s="230"/>
      <c r="E105" s="230"/>
      <c r="F105" s="469">
        <f t="shared" ref="F105:N105" si="36">F103-F104</f>
        <v>23888</v>
      </c>
      <c r="G105" s="469">
        <f t="shared" si="36"/>
        <v>25065</v>
      </c>
      <c r="H105" s="469">
        <f t="shared" si="36"/>
        <v>26549</v>
      </c>
      <c r="I105" s="469">
        <f t="shared" si="36"/>
        <v>28214.577962850009</v>
      </c>
      <c r="J105" s="469">
        <f t="shared" si="36"/>
        <v>28410.848457366315</v>
      </c>
      <c r="K105" s="469">
        <f t="shared" si="36"/>
        <v>28598.518252114533</v>
      </c>
      <c r="L105" s="469">
        <f t="shared" si="36"/>
        <v>28669.176467961937</v>
      </c>
      <c r="M105" s="469">
        <f t="shared" si="36"/>
        <v>28420.457509111387</v>
      </c>
      <c r="N105" s="595">
        <f t="shared" si="36"/>
        <v>28496.106143167672</v>
      </c>
      <c r="P105" s="799"/>
    </row>
    <row r="106" spans="1:16" s="102" customFormat="1" ht="15" customHeight="1" outlineLevel="1">
      <c r="B106" s="315"/>
      <c r="C106" s="493"/>
      <c r="D106" s="230"/>
      <c r="E106" s="230"/>
      <c r="F106" s="597"/>
      <c r="G106" s="597"/>
      <c r="H106" s="597"/>
      <c r="I106" s="469"/>
      <c r="J106" s="469"/>
      <c r="K106" s="469"/>
      <c r="L106" s="469"/>
      <c r="M106" s="469"/>
      <c r="N106" s="595"/>
      <c r="P106" s="799"/>
    </row>
    <row r="107" spans="1:16" s="102" customFormat="1" ht="15" customHeight="1" outlineLevel="1">
      <c r="B107" s="229"/>
      <c r="C107" s="230"/>
      <c r="D107" s="230"/>
      <c r="E107" s="230"/>
      <c r="F107" s="601"/>
      <c r="G107" s="601"/>
      <c r="H107" s="601"/>
      <c r="I107" s="597"/>
      <c r="J107" s="597"/>
      <c r="K107" s="597"/>
      <c r="L107" s="597"/>
      <c r="M107" s="600"/>
      <c r="N107" s="599"/>
      <c r="P107" s="799"/>
    </row>
    <row r="108" spans="1:16" s="102" customFormat="1" ht="15" customHeight="1" outlineLevel="1">
      <c r="B108" s="229" t="s">
        <v>247</v>
      </c>
      <c r="C108" s="230"/>
      <c r="D108" s="387"/>
      <c r="E108" s="230"/>
      <c r="F108" s="387">
        <v>5877</v>
      </c>
      <c r="G108" s="387">
        <v>6006</v>
      </c>
      <c r="H108" s="387">
        <v>6144</v>
      </c>
      <c r="I108" s="594">
        <f>H108*(1+I98)</f>
        <v>6359.0399999999991</v>
      </c>
      <c r="J108" s="594">
        <f t="shared" ref="J108:N108" si="37">I108*(1+J98)</f>
        <v>6549.8111999999992</v>
      </c>
      <c r="K108" s="594">
        <f t="shared" si="37"/>
        <v>6746.3055359999989</v>
      </c>
      <c r="L108" s="594">
        <f t="shared" si="37"/>
        <v>6914.963174399998</v>
      </c>
      <c r="M108" s="594">
        <f t="shared" si="37"/>
        <v>7087.8372537599971</v>
      </c>
      <c r="N108" s="593">
        <f t="shared" si="37"/>
        <v>7194.1548125663967</v>
      </c>
      <c r="P108" s="800">
        <f>'Model-R'!S108</f>
        <v>1</v>
      </c>
    </row>
    <row r="109" spans="1:16" s="102" customFormat="1" ht="15" customHeight="1" outlineLevel="1">
      <c r="B109" s="229" t="s">
        <v>246</v>
      </c>
      <c r="C109" s="230"/>
      <c r="D109" s="230"/>
      <c r="E109" s="230"/>
      <c r="F109" s="394">
        <v>1764</v>
      </c>
      <c r="G109" s="394">
        <v>1931</v>
      </c>
      <c r="H109" s="394">
        <v>2026</v>
      </c>
      <c r="I109" s="592">
        <f>H109*(1+I98)</f>
        <v>2096.91</v>
      </c>
      <c r="J109" s="592">
        <f t="shared" ref="J109:N109" si="38">I109*(1+J98)</f>
        <v>2159.8172999999997</v>
      </c>
      <c r="K109" s="592">
        <f t="shared" si="38"/>
        <v>2224.6118189999997</v>
      </c>
      <c r="L109" s="592">
        <f t="shared" si="38"/>
        <v>2280.2271144749993</v>
      </c>
      <c r="M109" s="592">
        <f t="shared" si="38"/>
        <v>2337.2327923368739</v>
      </c>
      <c r="N109" s="592">
        <f t="shared" si="38"/>
        <v>2372.2912842219266</v>
      </c>
      <c r="P109" s="800">
        <f>'Model-R'!S109</f>
        <v>1</v>
      </c>
    </row>
    <row r="110" spans="1:16" s="102" customFormat="1" ht="15" customHeight="1" outlineLevel="1">
      <c r="B110" s="315" t="s">
        <v>156</v>
      </c>
      <c r="C110" s="493"/>
      <c r="D110" s="230"/>
      <c r="E110" s="230"/>
      <c r="F110" s="469">
        <f t="shared" ref="F110:N110" si="39">F105-SUM(F108:F109)</f>
        <v>16247</v>
      </c>
      <c r="G110" s="469">
        <f t="shared" si="39"/>
        <v>17128</v>
      </c>
      <c r="H110" s="469">
        <f t="shared" si="39"/>
        <v>18379</v>
      </c>
      <c r="I110" s="469">
        <f t="shared" si="39"/>
        <v>19758.627962850012</v>
      </c>
      <c r="J110" s="469">
        <f t="shared" si="39"/>
        <v>19701.219957366317</v>
      </c>
      <c r="K110" s="469">
        <f t="shared" si="39"/>
        <v>19627.600897114535</v>
      </c>
      <c r="L110" s="469">
        <f t="shared" si="39"/>
        <v>19473.98617908694</v>
      </c>
      <c r="M110" s="469">
        <f t="shared" si="39"/>
        <v>18995.387463014515</v>
      </c>
      <c r="N110" s="595">
        <f t="shared" si="39"/>
        <v>18929.660046379347</v>
      </c>
      <c r="P110" s="799"/>
    </row>
    <row r="111" spans="1:16" s="102" customFormat="1" ht="15" customHeight="1" outlineLevel="1">
      <c r="B111" s="315"/>
      <c r="C111" s="493"/>
      <c r="D111" s="230"/>
      <c r="E111" s="230"/>
      <c r="F111" s="597"/>
      <c r="G111" s="597"/>
      <c r="H111" s="597"/>
      <c r="I111" s="469"/>
      <c r="J111" s="469"/>
      <c r="K111" s="469"/>
      <c r="L111" s="469"/>
      <c r="M111" s="469"/>
      <c r="N111" s="595"/>
      <c r="P111" s="799"/>
    </row>
    <row r="112" spans="1:16" s="102" customFormat="1" ht="15" customHeight="1" outlineLevel="1">
      <c r="B112" s="229"/>
      <c r="C112" s="230"/>
      <c r="D112" s="230"/>
      <c r="E112" s="230"/>
      <c r="F112" s="469"/>
      <c r="G112" s="469"/>
      <c r="H112" s="469"/>
      <c r="I112" s="469"/>
      <c r="J112" s="469"/>
      <c r="K112" s="469"/>
      <c r="L112" s="469"/>
      <c r="M112" s="469"/>
      <c r="N112" s="595"/>
      <c r="P112" s="799"/>
    </row>
    <row r="113" spans="1:16" s="102" customFormat="1" ht="15" customHeight="1" outlineLevel="1">
      <c r="B113" s="229" t="s">
        <v>245</v>
      </c>
      <c r="C113" s="230"/>
      <c r="D113" s="230"/>
      <c r="E113" s="230"/>
      <c r="F113" s="394">
        <v>2960</v>
      </c>
      <c r="G113" s="394">
        <v>3196</v>
      </c>
      <c r="H113" s="394">
        <v>3452</v>
      </c>
      <c r="I113" s="592">
        <f>I200</f>
        <v>4177.125</v>
      </c>
      <c r="J113" s="592">
        <f t="shared" ref="J113:L113" si="40">J200</f>
        <v>4408.375</v>
      </c>
      <c r="K113" s="592">
        <f t="shared" si="40"/>
        <v>4647.125</v>
      </c>
      <c r="L113" s="592">
        <f t="shared" si="40"/>
        <v>4893.375</v>
      </c>
      <c r="M113" s="592">
        <f>M200</f>
        <v>5146.5</v>
      </c>
      <c r="N113" s="596">
        <f>Inputs!L24</f>
        <v>5300</v>
      </c>
      <c r="P113" s="800">
        <f>'Model-R'!S113</f>
        <v>1</v>
      </c>
    </row>
    <row r="114" spans="1:16" s="102" customFormat="1" ht="15" customHeight="1" outlineLevel="1">
      <c r="B114" s="315" t="s">
        <v>179</v>
      </c>
      <c r="C114" s="493"/>
      <c r="D114" s="230"/>
      <c r="E114" s="230"/>
      <c r="F114" s="469">
        <f t="shared" ref="F114:N114" si="41">F110-F113</f>
        <v>13287</v>
      </c>
      <c r="G114" s="469">
        <f t="shared" si="41"/>
        <v>13932</v>
      </c>
      <c r="H114" s="469">
        <f t="shared" si="41"/>
        <v>14927</v>
      </c>
      <c r="I114" s="469">
        <f t="shared" si="41"/>
        <v>15581.502962850012</v>
      </c>
      <c r="J114" s="469">
        <f t="shared" si="41"/>
        <v>15292.844957366317</v>
      </c>
      <c r="K114" s="469">
        <f t="shared" si="41"/>
        <v>14980.475897114535</v>
      </c>
      <c r="L114" s="469">
        <f t="shared" si="41"/>
        <v>14580.61117908694</v>
      </c>
      <c r="M114" s="469">
        <f t="shared" si="41"/>
        <v>13848.887463014515</v>
      </c>
      <c r="N114" s="595">
        <f t="shared" si="41"/>
        <v>13629.660046379347</v>
      </c>
      <c r="P114" s="799"/>
    </row>
    <row r="115" spans="1:16" s="102" customFormat="1" ht="15" customHeight="1" outlineLevel="1">
      <c r="B115" s="315"/>
      <c r="C115" s="493"/>
      <c r="D115" s="230"/>
      <c r="E115" s="230"/>
      <c r="F115" s="469"/>
      <c r="G115" s="469"/>
      <c r="H115" s="469"/>
      <c r="I115" s="469"/>
      <c r="J115" s="469"/>
      <c r="K115" s="469"/>
      <c r="L115" s="469"/>
      <c r="M115" s="469"/>
      <c r="N115" s="595"/>
      <c r="P115" s="799"/>
    </row>
    <row r="116" spans="1:16" s="102" customFormat="1" ht="15" customHeight="1" outlineLevel="1">
      <c r="B116" s="229" t="s">
        <v>244</v>
      </c>
      <c r="C116" s="230"/>
      <c r="D116" s="230"/>
      <c r="E116" s="230"/>
      <c r="F116" s="394">
        <v>1488</v>
      </c>
      <c r="G116" s="394">
        <v>2580</v>
      </c>
      <c r="H116" s="394">
        <v>2448</v>
      </c>
      <c r="I116" s="592">
        <f>$C$100</f>
        <v>2520</v>
      </c>
      <c r="J116" s="592">
        <f t="shared" ref="J116:N116" si="42">$C$100</f>
        <v>2520</v>
      </c>
      <c r="K116" s="592">
        <f t="shared" si="42"/>
        <v>2520</v>
      </c>
      <c r="L116" s="592">
        <f t="shared" si="42"/>
        <v>2520</v>
      </c>
      <c r="M116" s="592">
        <f t="shared" si="42"/>
        <v>2520</v>
      </c>
      <c r="N116" s="596">
        <f t="shared" si="42"/>
        <v>2520</v>
      </c>
      <c r="P116" s="800">
        <f>'Model-R'!S116</f>
        <v>1</v>
      </c>
    </row>
    <row r="117" spans="1:16" s="102" customFormat="1" ht="15" customHeight="1" outlineLevel="1">
      <c r="B117" s="315" t="s">
        <v>177</v>
      </c>
      <c r="C117" s="493"/>
      <c r="D117" s="230"/>
      <c r="E117" s="230"/>
      <c r="F117" s="469">
        <f t="shared" ref="F117:N117" si="43">F114-F116</f>
        <v>11799</v>
      </c>
      <c r="G117" s="469">
        <f t="shared" si="43"/>
        <v>11352</v>
      </c>
      <c r="H117" s="469">
        <f t="shared" si="43"/>
        <v>12479</v>
      </c>
      <c r="I117" s="469">
        <f t="shared" si="43"/>
        <v>13061.502962850012</v>
      </c>
      <c r="J117" s="469">
        <f t="shared" si="43"/>
        <v>12772.844957366317</v>
      </c>
      <c r="K117" s="469">
        <f t="shared" si="43"/>
        <v>12460.475897114535</v>
      </c>
      <c r="L117" s="469">
        <f t="shared" si="43"/>
        <v>12060.61117908694</v>
      </c>
      <c r="M117" s="469">
        <f t="shared" si="43"/>
        <v>11328.887463014515</v>
      </c>
      <c r="N117" s="595">
        <f t="shared" si="43"/>
        <v>11109.660046379347</v>
      </c>
      <c r="P117" s="799"/>
    </row>
    <row r="118" spans="1:16" s="102" customFormat="1" ht="15" customHeight="1" outlineLevel="1">
      <c r="B118" s="315"/>
      <c r="C118" s="493"/>
      <c r="D118" s="230"/>
      <c r="E118" s="230"/>
      <c r="F118" s="469"/>
      <c r="G118" s="469"/>
      <c r="H118" s="469"/>
      <c r="I118" s="469"/>
      <c r="J118" s="469"/>
      <c r="K118" s="469"/>
      <c r="L118" s="469"/>
      <c r="M118" s="469"/>
      <c r="N118" s="595"/>
      <c r="P118" s="799"/>
    </row>
    <row r="119" spans="1:16" s="102" customFormat="1" ht="15" customHeight="1" outlineLevel="1">
      <c r="B119" s="229" t="s">
        <v>243</v>
      </c>
      <c r="C119" s="230"/>
      <c r="D119" s="230"/>
      <c r="E119" s="230"/>
      <c r="F119" s="387">
        <v>0</v>
      </c>
      <c r="G119" s="387">
        <v>0</v>
      </c>
      <c r="H119" s="387">
        <v>0</v>
      </c>
      <c r="I119" s="594">
        <f>I269</f>
        <v>0</v>
      </c>
      <c r="J119" s="594">
        <f t="shared" ref="J119:M119" si="44">J269</f>
        <v>0</v>
      </c>
      <c r="K119" s="594">
        <f t="shared" si="44"/>
        <v>2817.4053201992592</v>
      </c>
      <c r="L119" s="594">
        <f t="shared" si="44"/>
        <v>3385.0652524760822</v>
      </c>
      <c r="M119" s="594">
        <f t="shared" si="44"/>
        <v>3268.8427278418544</v>
      </c>
      <c r="N119" s="593">
        <f>N117*C101</f>
        <v>3332.8980139138043</v>
      </c>
      <c r="P119" s="800">
        <f>'Model-R'!S119</f>
        <v>1</v>
      </c>
    </row>
    <row r="120" spans="1:16" s="102" customFormat="1" ht="15" customHeight="1" outlineLevel="1">
      <c r="B120" s="229" t="s">
        <v>242</v>
      </c>
      <c r="C120" s="230"/>
      <c r="D120" s="230"/>
      <c r="E120" s="230"/>
      <c r="F120" s="394">
        <v>3155</v>
      </c>
      <c r="G120" s="394">
        <v>2861</v>
      </c>
      <c r="H120" s="394">
        <v>3012</v>
      </c>
      <c r="I120" s="592">
        <f t="shared" ref="I120:M120" si="45">I270</f>
        <v>3918.4508888550035</v>
      </c>
      <c r="J120" s="592">
        <f t="shared" si="45"/>
        <v>3831.8534872098949</v>
      </c>
      <c r="K120" s="592">
        <f t="shared" si="45"/>
        <v>920.73744893510093</v>
      </c>
      <c r="L120" s="592">
        <f t="shared" si="45"/>
        <v>233.11810124999965</v>
      </c>
      <c r="M120" s="592">
        <f t="shared" si="45"/>
        <v>129.82351106250007</v>
      </c>
      <c r="N120" s="591">
        <v>0</v>
      </c>
      <c r="P120" s="800">
        <f>'Model-R'!S120</f>
        <v>1</v>
      </c>
    </row>
    <row r="121" spans="1:16" s="102" customFormat="1" ht="15" customHeight="1" outlineLevel="1">
      <c r="B121" s="229" t="s">
        <v>241</v>
      </c>
      <c r="C121" s="230"/>
      <c r="D121" s="230"/>
      <c r="E121" s="230"/>
      <c r="F121" s="385">
        <f t="shared" ref="F121:H121" si="46">SUM(F119:F120)</f>
        <v>3155</v>
      </c>
      <c r="G121" s="385">
        <f t="shared" si="46"/>
        <v>2861</v>
      </c>
      <c r="H121" s="385">
        <f t="shared" si="46"/>
        <v>3012</v>
      </c>
      <c r="I121" s="385">
        <f t="shared" ref="I121:N121" si="47">SUM(I119:I120)</f>
        <v>3918.4508888550035</v>
      </c>
      <c r="J121" s="385">
        <f t="shared" si="47"/>
        <v>3831.8534872098949</v>
      </c>
      <c r="K121" s="385">
        <f t="shared" si="47"/>
        <v>3738.1427691343602</v>
      </c>
      <c r="L121" s="385">
        <f t="shared" si="47"/>
        <v>3618.1833537260818</v>
      </c>
      <c r="M121" s="385">
        <f t="shared" si="47"/>
        <v>3398.6662389043545</v>
      </c>
      <c r="N121" s="590">
        <f t="shared" si="47"/>
        <v>3332.8980139138043</v>
      </c>
    </row>
    <row r="122" spans="1:16" s="102" customFormat="1" ht="15" customHeight="1" outlineLevel="1">
      <c r="B122" s="229"/>
      <c r="C122" s="230"/>
      <c r="D122" s="230"/>
      <c r="E122" s="230"/>
      <c r="F122" s="589"/>
      <c r="G122" s="589"/>
      <c r="H122" s="589"/>
      <c r="I122" s="588"/>
      <c r="J122" s="588"/>
      <c r="K122" s="588"/>
      <c r="L122" s="588"/>
      <c r="M122" s="470"/>
      <c r="N122" s="587"/>
    </row>
    <row r="123" spans="1:16" s="102" customFormat="1" ht="15" customHeight="1" outlineLevel="1" thickBot="1">
      <c r="B123" s="315" t="s">
        <v>172</v>
      </c>
      <c r="C123" s="493"/>
      <c r="D123" s="717" t="str">
        <f>'Model-R'!S123</f>
        <v>COMPLETE</v>
      </c>
      <c r="E123" s="230"/>
      <c r="F123" s="586">
        <f t="shared" ref="F123:N123" si="48">F117-F121</f>
        <v>8644</v>
      </c>
      <c r="G123" s="586">
        <f t="shared" si="48"/>
        <v>8491</v>
      </c>
      <c r="H123" s="586">
        <f t="shared" si="48"/>
        <v>9467</v>
      </c>
      <c r="I123" s="586">
        <f t="shared" si="48"/>
        <v>9143.052073995008</v>
      </c>
      <c r="J123" s="586">
        <f t="shared" si="48"/>
        <v>8940.9914701564212</v>
      </c>
      <c r="K123" s="586">
        <f t="shared" si="48"/>
        <v>8722.333127980175</v>
      </c>
      <c r="L123" s="586">
        <f t="shared" si="48"/>
        <v>8442.4278253608572</v>
      </c>
      <c r="M123" s="586">
        <f t="shared" si="48"/>
        <v>7930.2212241101606</v>
      </c>
      <c r="N123" s="585">
        <f t="shared" si="48"/>
        <v>7776.7620324655436</v>
      </c>
    </row>
    <row r="124" spans="1:16" s="102" customFormat="1" ht="15" customHeight="1" outlineLevel="1">
      <c r="B124" s="493"/>
      <c r="C124" s="493"/>
      <c r="D124" s="230"/>
      <c r="E124" s="230"/>
      <c r="F124" s="584"/>
      <c r="G124" s="584"/>
      <c r="H124" s="584"/>
      <c r="I124" s="584"/>
      <c r="J124" s="584"/>
      <c r="K124" s="584"/>
      <c r="L124" s="584"/>
      <c r="M124" s="584"/>
      <c r="N124" s="583"/>
    </row>
    <row r="125" spans="1:16" s="102" customFormat="1" ht="15" customHeight="1" outlineLevel="1">
      <c r="B125" s="450"/>
      <c r="C125" s="450"/>
      <c r="D125" s="449"/>
      <c r="E125" s="449"/>
      <c r="F125" s="582"/>
      <c r="G125" s="582"/>
      <c r="H125" s="582"/>
      <c r="I125" s="582"/>
      <c r="J125" s="582"/>
      <c r="K125" s="582"/>
      <c r="L125" s="582"/>
      <c r="M125" s="582"/>
      <c r="N125" s="582"/>
    </row>
    <row r="126" spans="1:16" s="102" customFormat="1" ht="15" customHeight="1">
      <c r="B126" s="104"/>
      <c r="C126" s="108"/>
      <c r="D126" s="561"/>
      <c r="E126" s="230"/>
      <c r="F126" s="252"/>
      <c r="G126" s="252"/>
      <c r="H126" s="252"/>
      <c r="I126" s="252"/>
      <c r="J126" s="252"/>
      <c r="K126" s="252"/>
      <c r="L126" s="252"/>
      <c r="M126" s="252"/>
      <c r="N126" s="252"/>
      <c r="O126" s="98"/>
    </row>
    <row r="127" spans="1:16" s="131" customFormat="1" ht="15" customHeight="1">
      <c r="A127" s="131" t="s">
        <v>0</v>
      </c>
      <c r="B127" s="144" t="s">
        <v>240</v>
      </c>
      <c r="C127" s="143"/>
      <c r="D127" s="429"/>
      <c r="E127" s="429"/>
      <c r="F127" s="141"/>
      <c r="G127" s="141"/>
      <c r="H127" s="141"/>
      <c r="I127" s="428"/>
      <c r="J127" s="427"/>
      <c r="K127" s="427"/>
      <c r="L127" s="427"/>
      <c r="M127" s="427"/>
      <c r="N127" s="447"/>
      <c r="O127" s="98"/>
    </row>
    <row r="128" spans="1:16" s="131" customFormat="1" ht="15" customHeight="1" outlineLevel="1">
      <c r="B128" s="304"/>
      <c r="C128" s="140"/>
      <c r="D128" s="139"/>
      <c r="E128" s="139"/>
      <c r="F128" s="138"/>
      <c r="G128" s="138"/>
      <c r="H128" s="138"/>
      <c r="I128" s="138"/>
      <c r="J128" s="138"/>
      <c r="K128" s="138"/>
      <c r="L128" s="138"/>
      <c r="M128" s="138"/>
      <c r="O128" s="377"/>
    </row>
    <row r="129" spans="1:16" s="131" customFormat="1" ht="15" customHeight="1" outlineLevel="1" thickBot="1">
      <c r="B129" s="122" t="s">
        <v>40</v>
      </c>
      <c r="C129" s="140"/>
      <c r="D129" s="132"/>
      <c r="E129" s="132"/>
      <c r="F129" s="490">
        <f t="shared" ref="F129:M129" si="49">F$5</f>
        <v>2020</v>
      </c>
      <c r="G129" s="490">
        <f t="shared" si="49"/>
        <v>2021</v>
      </c>
      <c r="H129" s="490">
        <f t="shared" si="49"/>
        <v>2022</v>
      </c>
      <c r="I129" s="354">
        <f t="shared" si="49"/>
        <v>2023</v>
      </c>
      <c r="J129" s="354">
        <f t="shared" si="49"/>
        <v>2024</v>
      </c>
      <c r="K129" s="354">
        <f t="shared" si="49"/>
        <v>2025</v>
      </c>
      <c r="L129" s="354">
        <f t="shared" si="49"/>
        <v>2026</v>
      </c>
      <c r="M129" s="354">
        <f t="shared" si="49"/>
        <v>2027</v>
      </c>
      <c r="N129" s="581" t="s">
        <v>131</v>
      </c>
    </row>
    <row r="130" spans="1:16" ht="15" customHeight="1" outlineLevel="1">
      <c r="A130" s="102"/>
      <c r="B130" s="122" t="str">
        <f>$B$6</f>
        <v>Model Running: Base Case Drivers</v>
      </c>
      <c r="C130" s="140"/>
      <c r="D130" s="132"/>
      <c r="E130" s="132"/>
      <c r="F130" s="132"/>
      <c r="G130" s="132"/>
      <c r="H130" s="132"/>
      <c r="I130" s="136"/>
      <c r="J130" s="136"/>
      <c r="K130" s="136"/>
      <c r="L130" s="136"/>
      <c r="M130" s="136"/>
      <c r="N130" s="136"/>
    </row>
    <row r="131" spans="1:16" s="131" customFormat="1" ht="15" customHeight="1" outlineLevel="1">
      <c r="B131" s="122"/>
      <c r="C131" s="140"/>
      <c r="D131" s="132"/>
      <c r="E131" s="132"/>
      <c r="F131" s="132"/>
      <c r="G131" s="132"/>
      <c r="H131" s="132"/>
      <c r="O131" s="377"/>
    </row>
    <row r="132" spans="1:16" s="102" customFormat="1" ht="15" customHeight="1" outlineLevel="1">
      <c r="B132" s="229" t="s">
        <v>63</v>
      </c>
      <c r="C132" s="108"/>
      <c r="D132" s="561"/>
      <c r="E132" s="230"/>
      <c r="F132" s="568">
        <f t="shared" ref="F132:N132" si="50">F$8</f>
        <v>365</v>
      </c>
      <c r="G132" s="407">
        <f t="shared" si="50"/>
        <v>365</v>
      </c>
      <c r="H132" s="407">
        <f t="shared" si="50"/>
        <v>365</v>
      </c>
      <c r="I132" s="407">
        <f t="shared" si="50"/>
        <v>365</v>
      </c>
      <c r="J132" s="407">
        <f t="shared" si="50"/>
        <v>365</v>
      </c>
      <c r="K132" s="407">
        <f t="shared" si="50"/>
        <v>365</v>
      </c>
      <c r="L132" s="407">
        <f t="shared" si="50"/>
        <v>365</v>
      </c>
      <c r="M132" s="407">
        <f t="shared" si="50"/>
        <v>365</v>
      </c>
      <c r="N132" s="367">
        <f t="shared" si="50"/>
        <v>365</v>
      </c>
      <c r="O132" s="98"/>
    </row>
    <row r="133" spans="1:16" s="102" customFormat="1" ht="15" customHeight="1" outlineLevel="1">
      <c r="B133" s="229" t="s">
        <v>239</v>
      </c>
      <c r="C133" s="230"/>
      <c r="D133" s="230"/>
      <c r="E133" s="230"/>
      <c r="F133" s="569">
        <f t="shared" ref="F133:N133" si="51">F103</f>
        <v>51585</v>
      </c>
      <c r="G133" s="126">
        <f t="shared" si="51"/>
        <v>53494</v>
      </c>
      <c r="H133" s="126">
        <f t="shared" si="51"/>
        <v>55749</v>
      </c>
      <c r="I133" s="126">
        <f t="shared" si="51"/>
        <v>58570.403162700008</v>
      </c>
      <c r="J133" s="126">
        <f t="shared" si="51"/>
        <v>59747.668266270273</v>
      </c>
      <c r="K133" s="126">
        <f t="shared" si="51"/>
        <v>60948.59639842232</v>
      </c>
      <c r="L133" s="126">
        <f t="shared" si="51"/>
        <v>61865.872774218558</v>
      </c>
      <c r="M133" s="126">
        <f t="shared" si="51"/>
        <v>62486.078148780085</v>
      </c>
      <c r="N133" s="437">
        <f t="shared" si="51"/>
        <v>63112.501082221599</v>
      </c>
      <c r="O133" s="98"/>
    </row>
    <row r="134" spans="1:16" s="102" customFormat="1" ht="15" customHeight="1" outlineLevel="1">
      <c r="B134" s="229" t="s">
        <v>238</v>
      </c>
      <c r="C134" s="230"/>
      <c r="D134" s="230"/>
      <c r="E134" s="230"/>
      <c r="F134" s="567">
        <f t="shared" ref="F134:N134" si="52">F104</f>
        <v>27697</v>
      </c>
      <c r="G134" s="389">
        <f t="shared" si="52"/>
        <v>28429</v>
      </c>
      <c r="H134" s="389">
        <f t="shared" si="52"/>
        <v>29200</v>
      </c>
      <c r="I134" s="389">
        <f t="shared" si="52"/>
        <v>30355.825199849998</v>
      </c>
      <c r="J134" s="389">
        <f t="shared" si="52"/>
        <v>31336.819808903958</v>
      </c>
      <c r="K134" s="389">
        <f t="shared" si="52"/>
        <v>32350.078146307787</v>
      </c>
      <c r="L134" s="389">
        <f t="shared" si="52"/>
        <v>33196.696306256621</v>
      </c>
      <c r="M134" s="389">
        <f t="shared" si="52"/>
        <v>34065.620639668698</v>
      </c>
      <c r="N134" s="362">
        <f t="shared" si="52"/>
        <v>34616.394939053927</v>
      </c>
      <c r="O134" s="98"/>
    </row>
    <row r="135" spans="1:16" s="102" customFormat="1" ht="15" customHeight="1" outlineLevel="1">
      <c r="C135" s="493"/>
      <c r="D135" s="230"/>
      <c r="E135" s="230"/>
      <c r="F135" s="230"/>
      <c r="G135" s="230"/>
      <c r="H135" s="230"/>
      <c r="I135" s="563"/>
      <c r="J135" s="563"/>
      <c r="K135" s="563"/>
      <c r="L135" s="563"/>
      <c r="M135" s="563"/>
      <c r="N135" s="563"/>
      <c r="O135" s="377"/>
    </row>
    <row r="136" spans="1:16" s="102" customFormat="1" ht="15" customHeight="1" outlineLevel="1">
      <c r="C136" s="493"/>
      <c r="D136" s="230"/>
      <c r="E136" s="230"/>
      <c r="F136" s="230"/>
      <c r="G136" s="230"/>
      <c r="H136" s="230"/>
      <c r="I136" s="563"/>
      <c r="J136" s="563"/>
      <c r="K136" s="563"/>
      <c r="L136" s="563"/>
      <c r="M136" s="563"/>
      <c r="N136" s="563"/>
      <c r="O136" s="377"/>
    </row>
    <row r="137" spans="1:16" s="102" customFormat="1" ht="15" customHeight="1" outlineLevel="1">
      <c r="B137" s="114" t="s">
        <v>237</v>
      </c>
      <c r="C137" s="493"/>
      <c r="D137" s="230"/>
      <c r="E137" s="230"/>
      <c r="F137" s="230"/>
      <c r="G137" s="230"/>
      <c r="H137" s="230"/>
      <c r="I137" s="563"/>
      <c r="J137" s="563"/>
      <c r="K137" s="563"/>
      <c r="L137" s="563"/>
      <c r="M137" s="563"/>
      <c r="N137" s="563"/>
      <c r="O137" s="377"/>
    </row>
    <row r="138" spans="1:16" s="102" customFormat="1" ht="15" customHeight="1" outlineLevel="1">
      <c r="B138" s="376" t="s">
        <v>124</v>
      </c>
      <c r="C138" s="230"/>
      <c r="D138" s="561" t="s">
        <v>121</v>
      </c>
      <c r="E138" s="561"/>
      <c r="F138" s="494">
        <f t="shared" ref="F138:H139" si="53">(F144/F133)*F$132</f>
        <v>40.388097315110983</v>
      </c>
      <c r="G138" s="494">
        <f t="shared" si="53"/>
        <v>43.211294724642016</v>
      </c>
      <c r="H138" s="494">
        <f t="shared" si="53"/>
        <v>43.368670290050048</v>
      </c>
      <c r="I138" s="576">
        <f>Inputs!G35</f>
        <v>45</v>
      </c>
      <c r="J138" s="576">
        <f>Inputs!H35</f>
        <v>45</v>
      </c>
      <c r="K138" s="576">
        <f>Inputs!I35</f>
        <v>45</v>
      </c>
      <c r="L138" s="576">
        <f>Inputs!J35</f>
        <v>45</v>
      </c>
      <c r="M138" s="580">
        <f>Inputs!K35</f>
        <v>45</v>
      </c>
      <c r="N138" s="579">
        <f>Inputs!L35</f>
        <v>45</v>
      </c>
      <c r="P138" s="800">
        <f>'Model-R'!S138</f>
        <v>1</v>
      </c>
    </row>
    <row r="139" spans="1:16" s="102" customFormat="1" ht="15" customHeight="1" outlineLevel="1">
      <c r="B139" s="376" t="s">
        <v>123</v>
      </c>
      <c r="C139" s="230"/>
      <c r="D139" s="561" t="s">
        <v>121</v>
      </c>
      <c r="E139" s="561"/>
      <c r="F139" s="494">
        <f t="shared" si="53"/>
        <v>23.615554031122503</v>
      </c>
      <c r="G139" s="494">
        <f t="shared" si="53"/>
        <v>24.689401667311547</v>
      </c>
      <c r="H139" s="494">
        <f t="shared" si="53"/>
        <v>25.112500000000001</v>
      </c>
      <c r="I139" s="576">
        <f>Inputs!G36</f>
        <v>25</v>
      </c>
      <c r="J139" s="576">
        <f>Inputs!H36</f>
        <v>25</v>
      </c>
      <c r="K139" s="576">
        <f>Inputs!I36</f>
        <v>25</v>
      </c>
      <c r="L139" s="576">
        <f>Inputs!J36</f>
        <v>25</v>
      </c>
      <c r="M139" s="578">
        <f>Inputs!K36</f>
        <v>25</v>
      </c>
      <c r="N139" s="577">
        <f>Inputs!L36</f>
        <v>25</v>
      </c>
      <c r="P139" s="800">
        <f>'Model-R'!S139</f>
        <v>1</v>
      </c>
    </row>
    <row r="140" spans="1:16" s="102" customFormat="1" ht="15" customHeight="1" outlineLevel="1">
      <c r="B140" s="376" t="s">
        <v>122</v>
      </c>
      <c r="C140" s="230"/>
      <c r="D140" s="561" t="s">
        <v>121</v>
      </c>
      <c r="E140" s="561"/>
      <c r="F140" s="494">
        <f>(F146/F134)*F$132</f>
        <v>39.851247427519226</v>
      </c>
      <c r="G140" s="494">
        <f>(G146/G134)*G$132</f>
        <v>41.149002778852577</v>
      </c>
      <c r="H140" s="494">
        <f>(H146/H134)*H$132</f>
        <v>41.487499999999997</v>
      </c>
      <c r="I140" s="576">
        <f>Inputs!G37</f>
        <v>40</v>
      </c>
      <c r="J140" s="576">
        <f>Inputs!H37</f>
        <v>40</v>
      </c>
      <c r="K140" s="576">
        <f>Inputs!I37</f>
        <v>40</v>
      </c>
      <c r="L140" s="576">
        <f>Inputs!J37</f>
        <v>40</v>
      </c>
      <c r="M140" s="575">
        <f>Inputs!K37</f>
        <v>40</v>
      </c>
      <c r="N140" s="574">
        <f>Inputs!L37</f>
        <v>40</v>
      </c>
      <c r="P140" s="800">
        <f>'Model-R'!S140</f>
        <v>1</v>
      </c>
    </row>
    <row r="141" spans="1:16" s="102" customFormat="1" ht="15" customHeight="1" outlineLevel="1">
      <c r="C141" s="230"/>
      <c r="D141" s="573"/>
      <c r="E141" s="573"/>
      <c r="F141" s="572"/>
      <c r="G141" s="571"/>
      <c r="H141" s="571"/>
      <c r="I141" s="570"/>
      <c r="J141" s="570"/>
      <c r="K141" s="570"/>
      <c r="L141" s="570"/>
      <c r="M141" s="570"/>
      <c r="N141" s="570"/>
    </row>
    <row r="142" spans="1:16" s="102" customFormat="1" ht="15" customHeight="1" outlineLevel="1">
      <c r="C142" s="230"/>
      <c r="D142" s="573"/>
      <c r="E142" s="573"/>
      <c r="F142" s="572"/>
      <c r="G142" s="571"/>
      <c r="H142" s="571"/>
      <c r="I142" s="570"/>
      <c r="J142" s="570"/>
      <c r="K142" s="570"/>
      <c r="L142" s="570"/>
      <c r="M142" s="570"/>
      <c r="N142" s="570"/>
    </row>
    <row r="143" spans="1:16" s="102" customFormat="1" ht="15" customHeight="1" outlineLevel="1">
      <c r="B143" s="114" t="s">
        <v>236</v>
      </c>
      <c r="C143" s="493"/>
      <c r="D143" s="230"/>
      <c r="E143" s="230"/>
      <c r="F143" s="230"/>
      <c r="G143" s="230"/>
      <c r="H143" s="230"/>
      <c r="I143" s="563"/>
      <c r="J143" s="563"/>
      <c r="K143" s="563"/>
      <c r="L143" s="563"/>
      <c r="M143" s="563"/>
      <c r="N143" s="563"/>
      <c r="O143" s="377"/>
    </row>
    <row r="144" spans="1:16" s="102" customFormat="1" ht="15" customHeight="1" outlineLevel="1">
      <c r="B144" s="376" t="s">
        <v>124</v>
      </c>
      <c r="C144" s="230"/>
      <c r="D144" s="230"/>
      <c r="E144" s="230"/>
      <c r="F144" s="391">
        <v>5708</v>
      </c>
      <c r="G144" s="391">
        <v>6333</v>
      </c>
      <c r="H144" s="391">
        <v>6624</v>
      </c>
      <c r="I144" s="126">
        <f t="shared" ref="I144:N145" si="54">(I138/I$132)*I133</f>
        <v>7221.0086091000003</v>
      </c>
      <c r="J144" s="126">
        <f t="shared" si="54"/>
        <v>7366.1508821429097</v>
      </c>
      <c r="K144" s="126">
        <f t="shared" si="54"/>
        <v>7514.2105148739838</v>
      </c>
      <c r="L144" s="126">
        <f t="shared" si="54"/>
        <v>7627.2993831228359</v>
      </c>
      <c r="M144" s="568">
        <f t="shared" si="54"/>
        <v>7703.7630594386401</v>
      </c>
      <c r="N144" s="367">
        <f t="shared" si="54"/>
        <v>7780.9932841095115</v>
      </c>
      <c r="O144" s="377"/>
    </row>
    <row r="145" spans="2:15" s="102" customFormat="1" ht="15" customHeight="1" outlineLevel="1">
      <c r="B145" s="376" t="s">
        <v>123</v>
      </c>
      <c r="C145" s="230"/>
      <c r="D145" s="230"/>
      <c r="E145" s="230"/>
      <c r="F145" s="391">
        <v>1792</v>
      </c>
      <c r="G145" s="391">
        <v>1923</v>
      </c>
      <c r="H145" s="391">
        <v>2009</v>
      </c>
      <c r="I145" s="126">
        <f t="shared" si="54"/>
        <v>2079.1661095787667</v>
      </c>
      <c r="J145" s="126">
        <f t="shared" si="54"/>
        <v>2146.3575211578054</v>
      </c>
      <c r="K145" s="126">
        <f t="shared" si="54"/>
        <v>2215.7587771443687</v>
      </c>
      <c r="L145" s="126">
        <f t="shared" si="54"/>
        <v>2273.7463223463437</v>
      </c>
      <c r="M145" s="569">
        <f t="shared" si="54"/>
        <v>2333.2616876485408</v>
      </c>
      <c r="N145" s="437">
        <f t="shared" si="54"/>
        <v>2370.985954729721</v>
      </c>
      <c r="O145" s="377"/>
    </row>
    <row r="146" spans="2:15" s="102" customFormat="1" ht="15" customHeight="1" outlineLevel="1">
      <c r="B146" s="376" t="s">
        <v>122</v>
      </c>
      <c r="C146" s="230"/>
      <c r="D146" s="230"/>
      <c r="E146" s="230"/>
      <c r="F146" s="391">
        <v>3024</v>
      </c>
      <c r="G146" s="391">
        <v>3205</v>
      </c>
      <c r="H146" s="391">
        <v>3319</v>
      </c>
      <c r="I146" s="126">
        <f t="shared" ref="I146:N146" si="55">(I140/I$132)*I134</f>
        <v>3326.665775326027</v>
      </c>
      <c r="J146" s="126">
        <f t="shared" si="55"/>
        <v>3434.1720338524883</v>
      </c>
      <c r="K146" s="126">
        <f t="shared" si="55"/>
        <v>3545.2140434309904</v>
      </c>
      <c r="L146" s="126">
        <f t="shared" si="55"/>
        <v>3637.9941157541502</v>
      </c>
      <c r="M146" s="567">
        <f t="shared" si="55"/>
        <v>3733.2187002376654</v>
      </c>
      <c r="N146" s="362">
        <f t="shared" si="55"/>
        <v>3793.5775275675533</v>
      </c>
      <c r="O146" s="377"/>
    </row>
    <row r="147" spans="2:15" s="102" customFormat="1" ht="15" customHeight="1" outlineLevel="1">
      <c r="C147" s="493"/>
      <c r="D147" s="230"/>
      <c r="E147" s="230"/>
      <c r="F147" s="230"/>
      <c r="G147" s="230"/>
      <c r="H147" s="230"/>
      <c r="I147" s="563"/>
      <c r="J147" s="563"/>
      <c r="K147" s="563"/>
      <c r="L147" s="563"/>
      <c r="M147" s="563"/>
      <c r="N147" s="563"/>
      <c r="O147" s="377"/>
    </row>
    <row r="148" spans="2:15" s="102" customFormat="1" ht="15" customHeight="1" outlineLevel="1">
      <c r="C148" s="493"/>
      <c r="D148" s="230"/>
      <c r="E148" s="230"/>
      <c r="F148" s="230"/>
      <c r="G148" s="230"/>
      <c r="H148" s="230"/>
      <c r="I148" s="563"/>
      <c r="J148" s="563"/>
      <c r="K148" s="563"/>
      <c r="L148" s="563"/>
      <c r="M148" s="563"/>
      <c r="N148" s="563"/>
      <c r="O148" s="377"/>
    </row>
    <row r="149" spans="2:15" s="102" customFormat="1" ht="15" customHeight="1" outlineLevel="1">
      <c r="B149" s="114" t="s">
        <v>235</v>
      </c>
      <c r="C149" s="493"/>
      <c r="D149" s="230"/>
      <c r="E149" s="230"/>
      <c r="F149" s="230"/>
      <c r="G149" s="230"/>
      <c r="H149" s="230"/>
      <c r="I149" s="563"/>
      <c r="J149" s="563"/>
      <c r="K149" s="563"/>
      <c r="L149" s="563"/>
      <c r="M149" s="563"/>
      <c r="N149" s="563"/>
      <c r="O149" s="377"/>
    </row>
    <row r="150" spans="2:15" s="102" customFormat="1" ht="15" customHeight="1" outlineLevel="1">
      <c r="B150" s="376" t="s">
        <v>234</v>
      </c>
      <c r="C150" s="230"/>
      <c r="D150" s="230"/>
      <c r="E150" s="230"/>
      <c r="F150" s="126">
        <f t="shared" ref="F150:N150" si="56">SUM(F144:F145)</f>
        <v>7500</v>
      </c>
      <c r="G150" s="126">
        <f t="shared" si="56"/>
        <v>8256</v>
      </c>
      <c r="H150" s="126">
        <f t="shared" si="56"/>
        <v>8633</v>
      </c>
      <c r="I150" s="126">
        <f t="shared" si="56"/>
        <v>9300.174718678767</v>
      </c>
      <c r="J150" s="126">
        <f t="shared" si="56"/>
        <v>9512.5084033007151</v>
      </c>
      <c r="K150" s="126">
        <f t="shared" si="56"/>
        <v>9729.9692920183516</v>
      </c>
      <c r="L150" s="126">
        <f t="shared" si="56"/>
        <v>9901.0457054691797</v>
      </c>
      <c r="M150" s="568">
        <f t="shared" si="56"/>
        <v>10037.02474708718</v>
      </c>
      <c r="N150" s="367">
        <f t="shared" si="56"/>
        <v>10151.979238839232</v>
      </c>
      <c r="O150" s="377"/>
    </row>
    <row r="151" spans="2:15" s="102" customFormat="1" ht="15" customHeight="1" outlineLevel="1">
      <c r="B151" s="376" t="s">
        <v>233</v>
      </c>
      <c r="C151" s="230"/>
      <c r="D151" s="230"/>
      <c r="E151" s="230"/>
      <c r="F151" s="389">
        <f t="shared" ref="F151:N151" si="57">SUM(F146)</f>
        <v>3024</v>
      </c>
      <c r="G151" s="389">
        <f t="shared" si="57"/>
        <v>3205</v>
      </c>
      <c r="H151" s="389">
        <f t="shared" si="57"/>
        <v>3319</v>
      </c>
      <c r="I151" s="389">
        <f t="shared" si="57"/>
        <v>3326.665775326027</v>
      </c>
      <c r="J151" s="389">
        <f t="shared" si="57"/>
        <v>3434.1720338524883</v>
      </c>
      <c r="K151" s="389">
        <f t="shared" si="57"/>
        <v>3545.2140434309904</v>
      </c>
      <c r="L151" s="389">
        <f t="shared" si="57"/>
        <v>3637.9941157541502</v>
      </c>
      <c r="M151" s="567">
        <f t="shared" si="57"/>
        <v>3733.2187002376654</v>
      </c>
      <c r="N151" s="362">
        <f t="shared" si="57"/>
        <v>3793.5775275675533</v>
      </c>
      <c r="O151" s="377"/>
    </row>
    <row r="152" spans="2:15" s="102" customFormat="1" ht="15" customHeight="1" outlineLevel="1">
      <c r="B152" s="376" t="s">
        <v>232</v>
      </c>
      <c r="C152" s="230"/>
      <c r="D152" s="230"/>
      <c r="E152" s="230"/>
      <c r="F152" s="126">
        <f t="shared" ref="F152:N152" si="58">F150-F151</f>
        <v>4476</v>
      </c>
      <c r="G152" s="126">
        <f t="shared" si="58"/>
        <v>5051</v>
      </c>
      <c r="H152" s="126">
        <f t="shared" si="58"/>
        <v>5314</v>
      </c>
      <c r="I152" s="126">
        <f t="shared" si="58"/>
        <v>5973.5089433527401</v>
      </c>
      <c r="J152" s="126">
        <f t="shared" si="58"/>
        <v>6078.3363694482268</v>
      </c>
      <c r="K152" s="126">
        <f t="shared" si="58"/>
        <v>6184.7552485873612</v>
      </c>
      <c r="L152" s="126">
        <f t="shared" si="58"/>
        <v>6263.051589715029</v>
      </c>
      <c r="M152" s="567">
        <f t="shared" si="58"/>
        <v>6303.806046849515</v>
      </c>
      <c r="N152" s="362">
        <f t="shared" si="58"/>
        <v>6358.4017112716792</v>
      </c>
      <c r="O152" s="377"/>
    </row>
    <row r="153" spans="2:15" s="102" customFormat="1" ht="15" customHeight="1" outlineLevel="1">
      <c r="B153" s="370"/>
      <c r="C153" s="493"/>
      <c r="D153" s="230"/>
      <c r="E153" s="230"/>
      <c r="F153" s="230"/>
      <c r="G153" s="230"/>
      <c r="H153" s="230"/>
      <c r="I153" s="563"/>
      <c r="J153" s="563"/>
      <c r="K153" s="563"/>
      <c r="L153" s="563"/>
      <c r="M153" s="563"/>
      <c r="N153" s="563"/>
      <c r="O153" s="377"/>
    </row>
    <row r="154" spans="2:15" s="102" customFormat="1" ht="15" customHeight="1" outlineLevel="1">
      <c r="B154" s="370"/>
      <c r="C154" s="493"/>
      <c r="D154" s="230"/>
      <c r="E154" s="230"/>
      <c r="F154" s="230"/>
      <c r="G154" s="230"/>
      <c r="H154" s="230"/>
      <c r="I154" s="563"/>
      <c r="J154" s="563"/>
      <c r="K154" s="563"/>
      <c r="L154" s="563"/>
      <c r="M154" s="563"/>
      <c r="N154" s="563"/>
      <c r="O154" s="377"/>
    </row>
    <row r="155" spans="2:15" s="102" customFormat="1" ht="15" customHeight="1" outlineLevel="1" thickBot="1">
      <c r="B155" s="566" t="s">
        <v>231</v>
      </c>
      <c r="C155" s="493"/>
      <c r="D155" s="493"/>
      <c r="E155" s="493"/>
      <c r="F155" s="718" t="str">
        <f>'Model-R'!S155</f>
        <v>COMPLETE</v>
      </c>
      <c r="G155" s="565">
        <f t="shared" ref="G155:N155" si="59">F152-G152</f>
        <v>-575</v>
      </c>
      <c r="H155" s="565">
        <f t="shared" si="59"/>
        <v>-263</v>
      </c>
      <c r="I155" s="565">
        <f t="shared" si="59"/>
        <v>-659.50894335274006</v>
      </c>
      <c r="J155" s="565">
        <f t="shared" si="59"/>
        <v>-104.82742609548677</v>
      </c>
      <c r="K155" s="565">
        <f t="shared" si="59"/>
        <v>-106.41887913913433</v>
      </c>
      <c r="L155" s="565">
        <f t="shared" si="59"/>
        <v>-78.296341127667802</v>
      </c>
      <c r="M155" s="565">
        <f t="shared" si="59"/>
        <v>-40.754457134486074</v>
      </c>
      <c r="N155" s="564">
        <f t="shared" si="59"/>
        <v>-54.595664422164191</v>
      </c>
      <c r="O155" s="377"/>
    </row>
    <row r="156" spans="2:15" s="102" customFormat="1" ht="15" customHeight="1" outlineLevel="1">
      <c r="C156" s="493"/>
      <c r="D156" s="493"/>
      <c r="E156" s="493"/>
      <c r="F156" s="493"/>
      <c r="G156" s="464"/>
      <c r="H156" s="464"/>
      <c r="I156" s="464"/>
      <c r="J156" s="464"/>
      <c r="K156" s="464"/>
      <c r="L156" s="464"/>
      <c r="M156" s="464"/>
      <c r="N156" s="464"/>
      <c r="O156" s="377"/>
    </row>
    <row r="157" spans="2:15" s="102" customFormat="1" ht="15" customHeight="1" outlineLevel="1">
      <c r="C157" s="493"/>
      <c r="D157" s="493"/>
      <c r="E157" s="493"/>
      <c r="F157" s="493"/>
      <c r="G157" s="464"/>
      <c r="H157" s="464"/>
      <c r="I157" s="464"/>
      <c r="J157" s="464"/>
      <c r="K157" s="464"/>
      <c r="L157" s="464"/>
      <c r="M157" s="464"/>
      <c r="N157" s="464"/>
      <c r="O157" s="377"/>
    </row>
    <row r="158" spans="2:15" s="131" customFormat="1" ht="15" customHeight="1" outlineLevel="1">
      <c r="C158" s="140"/>
      <c r="D158" s="132"/>
      <c r="E158" s="132"/>
      <c r="F158" s="132"/>
      <c r="G158" s="132"/>
      <c r="H158" s="132"/>
      <c r="I158" s="136"/>
      <c r="J158" s="136"/>
      <c r="K158" s="136"/>
      <c r="N158" s="38" t="s">
        <v>120</v>
      </c>
      <c r="O158" s="98"/>
    </row>
    <row r="159" spans="2:15" s="102" customFormat="1" ht="15" customHeight="1" outlineLevel="1">
      <c r="B159" s="230"/>
      <c r="C159" s="230"/>
      <c r="D159" s="563"/>
      <c r="E159" s="563"/>
      <c r="F159" s="563"/>
      <c r="G159" s="563"/>
      <c r="H159" s="563"/>
      <c r="I159" s="563"/>
      <c r="J159" s="563"/>
      <c r="K159" s="563"/>
      <c r="L159" s="563"/>
      <c r="M159" s="230"/>
      <c r="O159" s="377"/>
    </row>
    <row r="160" spans="2:15" s="102" customFormat="1" ht="15" customHeight="1" outlineLevel="1">
      <c r="B160" s="562"/>
      <c r="C160" s="562"/>
      <c r="D160" s="562"/>
      <c r="E160" s="562"/>
      <c r="F160" s="562"/>
      <c r="G160" s="562"/>
      <c r="H160" s="562"/>
      <c r="I160" s="562"/>
      <c r="J160" s="562"/>
      <c r="K160" s="562"/>
      <c r="L160" s="562"/>
      <c r="M160" s="562"/>
      <c r="N160" s="562"/>
      <c r="O160" s="377"/>
    </row>
    <row r="161" spans="1:16" s="102" customFormat="1" ht="15" customHeight="1">
      <c r="B161" s="104"/>
      <c r="C161" s="108"/>
      <c r="D161" s="561"/>
      <c r="E161" s="230"/>
      <c r="F161" s="252"/>
      <c r="G161" s="252"/>
      <c r="H161" s="252"/>
      <c r="I161" s="252"/>
      <c r="J161" s="252"/>
      <c r="K161" s="252"/>
      <c r="L161" s="252"/>
      <c r="M161" s="252"/>
      <c r="N161" s="252"/>
      <c r="O161" s="98"/>
    </row>
    <row r="162" spans="1:16" s="131" customFormat="1" ht="15" customHeight="1">
      <c r="A162" s="131" t="s">
        <v>0</v>
      </c>
      <c r="B162" s="560" t="s">
        <v>230</v>
      </c>
      <c r="C162" s="143"/>
      <c r="D162" s="429"/>
      <c r="E162" s="429"/>
      <c r="F162" s="141"/>
      <c r="G162" s="141"/>
      <c r="H162" s="141"/>
      <c r="I162" s="428"/>
      <c r="J162" s="427"/>
      <c r="K162" s="427"/>
      <c r="L162" s="427"/>
      <c r="M162" s="427"/>
      <c r="N162" s="447"/>
    </row>
    <row r="163" spans="1:16" s="131" customFormat="1" ht="15" customHeight="1" outlineLevel="1">
      <c r="B163" s="304"/>
      <c r="C163" s="140"/>
      <c r="D163" s="139"/>
      <c r="E163" s="139"/>
      <c r="F163" s="138"/>
      <c r="G163" s="138"/>
      <c r="H163" s="138"/>
      <c r="I163" s="138"/>
      <c r="J163" s="138"/>
      <c r="K163" s="138"/>
      <c r="L163" s="138"/>
      <c r="M163" s="138"/>
    </row>
    <row r="164" spans="1:16" s="131" customFormat="1" ht="15" customHeight="1" outlineLevel="1" thickBot="1">
      <c r="B164" s="122" t="s">
        <v>40</v>
      </c>
      <c r="C164" s="140"/>
      <c r="D164" s="132"/>
      <c r="E164" s="132"/>
      <c r="F164" s="490">
        <f t="shared" ref="F164:M164" si="60">F$5</f>
        <v>2020</v>
      </c>
      <c r="G164" s="490">
        <f t="shared" si="60"/>
        <v>2021</v>
      </c>
      <c r="H164" s="490">
        <f t="shared" si="60"/>
        <v>2022</v>
      </c>
      <c r="I164" s="354">
        <f t="shared" si="60"/>
        <v>2023</v>
      </c>
      <c r="J164" s="354">
        <f t="shared" si="60"/>
        <v>2024</v>
      </c>
      <c r="K164" s="354">
        <f t="shared" si="60"/>
        <v>2025</v>
      </c>
      <c r="L164" s="354">
        <f t="shared" si="60"/>
        <v>2026</v>
      </c>
      <c r="M164" s="354">
        <f t="shared" si="60"/>
        <v>2027</v>
      </c>
    </row>
    <row r="165" spans="1:16" ht="15" customHeight="1" outlineLevel="1">
      <c r="A165" s="102"/>
      <c r="B165" s="122" t="str">
        <f>$B$6</f>
        <v>Model Running: Base Case Drivers</v>
      </c>
      <c r="C165" s="140"/>
      <c r="D165" s="132"/>
      <c r="E165" s="132"/>
      <c r="F165" s="132"/>
      <c r="G165" s="132"/>
      <c r="H165" s="132"/>
      <c r="I165" s="136"/>
      <c r="J165" s="136"/>
      <c r="K165" s="136"/>
      <c r="L165" s="136"/>
      <c r="M165" s="136"/>
      <c r="N165" s="136"/>
    </row>
    <row r="166" spans="1:16" s="131" customFormat="1" ht="15" customHeight="1" outlineLevel="1">
      <c r="B166" s="122"/>
      <c r="C166" s="140"/>
      <c r="D166" s="132"/>
      <c r="E166" s="132"/>
      <c r="F166" s="132"/>
      <c r="G166" s="132"/>
      <c r="H166" s="559"/>
      <c r="I166" s="559"/>
      <c r="J166" s="559"/>
      <c r="K166" s="559"/>
      <c r="L166" s="559"/>
      <c r="M166" s="559"/>
    </row>
    <row r="167" spans="1:16" s="131" customFormat="1" ht="15" customHeight="1" outlineLevel="1">
      <c r="B167" s="558" t="s">
        <v>229</v>
      </c>
      <c r="C167" s="140"/>
      <c r="D167" s="132"/>
      <c r="E167" s="132"/>
      <c r="F167" s="557">
        <v>4982</v>
      </c>
      <c r="G167" s="556">
        <v>5199</v>
      </c>
      <c r="H167" s="556">
        <v>4400</v>
      </c>
      <c r="I167" s="444">
        <f>Inputs!G24</f>
        <v>4550</v>
      </c>
      <c r="J167" s="444">
        <f>Inputs!H24</f>
        <v>4700</v>
      </c>
      <c r="K167" s="444">
        <f>Inputs!I24</f>
        <v>4850</v>
      </c>
      <c r="L167" s="444">
        <f>Inputs!J24</f>
        <v>5000</v>
      </c>
      <c r="M167" s="505">
        <f>Inputs!K24</f>
        <v>5125</v>
      </c>
      <c r="P167" s="800">
        <f>'Model-R'!S167</f>
        <v>1</v>
      </c>
    </row>
    <row r="168" spans="1:16" s="131" customFormat="1" ht="15" customHeight="1" outlineLevel="1">
      <c r="B168" s="555"/>
      <c r="C168" s="140"/>
      <c r="D168" s="132"/>
      <c r="E168" s="132"/>
      <c r="F168" s="391"/>
      <c r="G168" s="391"/>
      <c r="H168" s="391"/>
      <c r="I168" s="126"/>
      <c r="J168" s="126"/>
      <c r="K168" s="126"/>
      <c r="L168" s="126"/>
      <c r="M168" s="126"/>
    </row>
    <row r="169" spans="1:16" s="131" customFormat="1" ht="15" customHeight="1" outlineLevel="1">
      <c r="B169" s="122"/>
      <c r="C169" s="140"/>
      <c r="D169" s="132"/>
      <c r="E169" s="132"/>
      <c r="F169" s="132"/>
      <c r="G169" s="132"/>
      <c r="H169" s="132"/>
      <c r="I169" s="136"/>
      <c r="J169" s="136"/>
      <c r="K169" s="136"/>
      <c r="L169" s="136"/>
      <c r="M169" s="136"/>
    </row>
    <row r="170" spans="1:16" s="131" customFormat="1" ht="15" customHeight="1" outlineLevel="1">
      <c r="B170" s="478" t="s">
        <v>228</v>
      </c>
      <c r="D170" s="544" t="s">
        <v>226</v>
      </c>
      <c r="E170" s="132"/>
      <c r="F170" s="132"/>
      <c r="G170" s="132"/>
      <c r="H170" s="132"/>
      <c r="I170" s="523" t="s">
        <v>225</v>
      </c>
      <c r="J170" s="522"/>
      <c r="K170" s="522"/>
      <c r="L170" s="522"/>
      <c r="M170" s="521"/>
    </row>
    <row r="171" spans="1:16" s="131" customFormat="1" ht="15" customHeight="1" outlineLevel="1">
      <c r="B171" s="419" t="s">
        <v>52</v>
      </c>
      <c r="C171" s="382"/>
      <c r="D171" s="554">
        <f>Inputs!$L$109</f>
        <v>16</v>
      </c>
      <c r="E171" s="132"/>
      <c r="F171" s="551"/>
      <c r="G171" s="132"/>
      <c r="H171" s="132"/>
      <c r="I171" s="553">
        <v>1</v>
      </c>
      <c r="J171" s="553">
        <f>I171+1</f>
        <v>2</v>
      </c>
      <c r="K171" s="553">
        <f>J171+1</f>
        <v>3</v>
      </c>
      <c r="L171" s="553">
        <f>K171+1</f>
        <v>4</v>
      </c>
      <c r="M171" s="553">
        <f>L171+1</f>
        <v>5</v>
      </c>
    </row>
    <row r="172" spans="1:16" s="131" customFormat="1" ht="15" customHeight="1" outlineLevel="1">
      <c r="B172" s="466" t="str">
        <f>CONCATENATE("PP&amp;E at End of ",H164)</f>
        <v>PP&amp;E at End of 2022</v>
      </c>
      <c r="C172" s="502"/>
      <c r="D172" s="552">
        <f>Inputs!$L$95</f>
        <v>65014</v>
      </c>
      <c r="E172" s="132"/>
      <c r="F172" s="551"/>
      <c r="G172" s="132"/>
      <c r="H172" s="550"/>
      <c r="I172" s="549">
        <f>MIN($D171-SUM($H172:H172),1)</f>
        <v>1</v>
      </c>
      <c r="J172" s="549">
        <f>MIN($D171-SUM($H172:I172),1)</f>
        <v>1</v>
      </c>
      <c r="K172" s="549">
        <f>MIN($D171-SUM($H172:J172),1)</f>
        <v>1</v>
      </c>
      <c r="L172" s="549">
        <f>MIN($D171-SUM($H172:K172),1)</f>
        <v>1</v>
      </c>
      <c r="M172" s="548">
        <f>MIN($D171-SUM($H172:L172),1)</f>
        <v>1</v>
      </c>
      <c r="O172" s="547"/>
    </row>
    <row r="173" spans="1:16" s="131" customFormat="1" ht="15" customHeight="1" outlineLevel="1">
      <c r="B173" s="274"/>
      <c r="C173" s="546"/>
      <c r="D173" s="545"/>
      <c r="E173" s="132"/>
      <c r="F173" s="132"/>
      <c r="G173" s="132"/>
      <c r="H173" s="132"/>
      <c r="I173" s="537"/>
      <c r="J173" s="537"/>
      <c r="K173" s="537"/>
      <c r="L173" s="537"/>
      <c r="M173" s="537"/>
    </row>
    <row r="174" spans="1:16" s="131" customFormat="1" ht="15" customHeight="1" outlineLevel="1">
      <c r="B174" s="357"/>
      <c r="C174" s="240"/>
      <c r="D174" s="356"/>
      <c r="E174" s="356"/>
      <c r="F174" s="356"/>
      <c r="G174" s="356"/>
      <c r="H174" s="356"/>
      <c r="I174" s="355"/>
      <c r="J174" s="355"/>
      <c r="K174" s="355"/>
      <c r="L174" s="355"/>
      <c r="M174" s="355"/>
    </row>
    <row r="175" spans="1:16" s="131" customFormat="1" ht="15" customHeight="1" outlineLevel="1">
      <c r="B175" s="122"/>
      <c r="C175" s="140"/>
      <c r="D175" s="132"/>
      <c r="E175" s="132"/>
      <c r="F175" s="132"/>
      <c r="G175" s="132"/>
      <c r="H175" s="132"/>
      <c r="I175" s="136"/>
      <c r="J175" s="136"/>
      <c r="K175" s="136"/>
      <c r="L175" s="136"/>
      <c r="M175" s="136"/>
    </row>
    <row r="176" spans="1:16" s="131" customFormat="1" ht="15" customHeight="1" outlineLevel="1">
      <c r="B176" s="478" t="s">
        <v>227</v>
      </c>
      <c r="D176" s="544" t="s">
        <v>226</v>
      </c>
      <c r="E176" s="132"/>
      <c r="F176" s="132"/>
      <c r="G176" s="132"/>
      <c r="H176" s="132"/>
      <c r="I176" s="523" t="s">
        <v>225</v>
      </c>
      <c r="J176" s="522"/>
      <c r="K176" s="522"/>
      <c r="L176" s="522"/>
      <c r="M176" s="521"/>
    </row>
    <row r="177" spans="2:15" s="131" customFormat="1" ht="15" customHeight="1" outlineLevel="1">
      <c r="B177" s="419" t="s">
        <v>50</v>
      </c>
      <c r="C177" s="382"/>
      <c r="D177" s="543">
        <f>Inputs!$L$110</f>
        <v>20</v>
      </c>
      <c r="E177" s="132"/>
      <c r="F177" s="132"/>
      <c r="G177" s="132"/>
      <c r="H177" s="132"/>
      <c r="I177" s="542">
        <v>1</v>
      </c>
      <c r="J177" s="542">
        <f>I177+1</f>
        <v>2</v>
      </c>
      <c r="K177" s="542">
        <f>J177+1</f>
        <v>3</v>
      </c>
      <c r="L177" s="542">
        <f>K177+1</f>
        <v>4</v>
      </c>
      <c r="M177" s="542">
        <f>L177+1</f>
        <v>5</v>
      </c>
    </row>
    <row r="178" spans="2:15" s="131" customFormat="1" ht="15" customHeight="1" outlineLevel="1">
      <c r="B178" s="466" t="s">
        <v>54</v>
      </c>
      <c r="C178" s="502"/>
      <c r="D178" s="541">
        <f>Inputs!$L$108</f>
        <v>0.5</v>
      </c>
      <c r="E178" s="132"/>
      <c r="F178" s="132"/>
      <c r="G178" s="132"/>
      <c r="H178" s="132"/>
      <c r="I178" s="540">
        <f>IF(H178="",$D$178,MIN($D177-SUM($H178:H178),1))</f>
        <v>0.5</v>
      </c>
      <c r="J178" s="539">
        <f>IF(I178="",$D$178,MIN($D177-SUM($H178:I178),1))</f>
        <v>1</v>
      </c>
      <c r="K178" s="539">
        <f>IF(J178="",$D$178,MIN($D177-SUM($H178:J178),1))</f>
        <v>1</v>
      </c>
      <c r="L178" s="539">
        <f>IF(K178="",$D$178,MIN($D177-SUM($H178:K178),1))</f>
        <v>1</v>
      </c>
      <c r="M178" s="465">
        <f>IF(L178="",$D$178,MIN($D177-SUM($H178:L178),1))</f>
        <v>1</v>
      </c>
    </row>
    <row r="179" spans="2:15" s="131" customFormat="1" ht="15" customHeight="1" outlineLevel="1">
      <c r="B179" s="274"/>
      <c r="D179" s="538"/>
      <c r="E179" s="132"/>
      <c r="F179" s="132"/>
      <c r="G179" s="132"/>
      <c r="H179" s="132"/>
      <c r="I179" s="537"/>
      <c r="J179" s="537"/>
      <c r="K179" s="537"/>
      <c r="L179" s="537"/>
      <c r="M179" s="537"/>
    </row>
    <row r="180" spans="2:15" s="131" customFormat="1" ht="15" customHeight="1" outlineLevel="1">
      <c r="B180" s="122"/>
      <c r="C180" s="140"/>
      <c r="D180" s="132"/>
      <c r="E180" s="132"/>
      <c r="F180" s="132"/>
      <c r="G180" s="132"/>
      <c r="H180" s="132"/>
      <c r="I180" s="523" t="s">
        <v>225</v>
      </c>
      <c r="J180" s="522"/>
      <c r="K180" s="522"/>
      <c r="L180" s="522"/>
      <c r="M180" s="521"/>
      <c r="O180" s="536"/>
    </row>
    <row r="181" spans="2:15" s="131" customFormat="1" ht="15" customHeight="1" outlineLevel="1">
      <c r="D181" s="370"/>
      <c r="F181" s="370" t="s">
        <v>222</v>
      </c>
      <c r="G181" s="370" t="s">
        <v>224</v>
      </c>
      <c r="H181" s="132"/>
      <c r="I181" s="520">
        <f>I$164</f>
        <v>2023</v>
      </c>
      <c r="J181" s="520">
        <f>J$164</f>
        <v>2024</v>
      </c>
      <c r="K181" s="520">
        <f>K$164</f>
        <v>2025</v>
      </c>
      <c r="L181" s="520">
        <f>L$164</f>
        <v>2026</v>
      </c>
      <c r="M181" s="520">
        <f>M$164</f>
        <v>2027</v>
      </c>
    </row>
    <row r="182" spans="2:15" s="131" customFormat="1" ht="15" customHeight="1" outlineLevel="1">
      <c r="B182" s="122"/>
      <c r="D182" s="370"/>
      <c r="F182" s="519">
        <f>I164</f>
        <v>2023</v>
      </c>
      <c r="G182" s="535">
        <f>$D$177</f>
        <v>20</v>
      </c>
      <c r="H182" s="534"/>
      <c r="I182" s="533">
        <f>I178</f>
        <v>0.5</v>
      </c>
      <c r="J182" s="533">
        <f>J178</f>
        <v>1</v>
      </c>
      <c r="K182" s="533">
        <f>K178</f>
        <v>1</v>
      </c>
      <c r="L182" s="533">
        <f>L178</f>
        <v>1</v>
      </c>
      <c r="M182" s="532">
        <f>M178</f>
        <v>1</v>
      </c>
    </row>
    <row r="183" spans="2:15" s="131" customFormat="1" ht="15" customHeight="1" outlineLevel="1">
      <c r="B183" s="122"/>
      <c r="D183" s="370"/>
      <c r="F183" s="514">
        <f>F182+1</f>
        <v>2024</v>
      </c>
      <c r="G183" s="531">
        <f>$D$177</f>
        <v>20</v>
      </c>
      <c r="H183" s="530"/>
      <c r="I183" s="529">
        <f t="shared" ref="I183:M186" si="61">H182</f>
        <v>0</v>
      </c>
      <c r="J183" s="529">
        <f t="shared" si="61"/>
        <v>0.5</v>
      </c>
      <c r="K183" s="529">
        <f t="shared" si="61"/>
        <v>1</v>
      </c>
      <c r="L183" s="529">
        <f t="shared" si="61"/>
        <v>1</v>
      </c>
      <c r="M183" s="528">
        <f t="shared" si="61"/>
        <v>1</v>
      </c>
    </row>
    <row r="184" spans="2:15" s="131" customFormat="1" ht="15" customHeight="1" outlineLevel="1">
      <c r="B184" s="122"/>
      <c r="D184" s="370"/>
      <c r="F184" s="514">
        <f>F183+1</f>
        <v>2025</v>
      </c>
      <c r="G184" s="531">
        <f>$D$177</f>
        <v>20</v>
      </c>
      <c r="H184" s="530"/>
      <c r="I184" s="529">
        <f t="shared" si="61"/>
        <v>0</v>
      </c>
      <c r="J184" s="529">
        <f t="shared" si="61"/>
        <v>0</v>
      </c>
      <c r="K184" s="529">
        <f t="shared" si="61"/>
        <v>0.5</v>
      </c>
      <c r="L184" s="529">
        <f t="shared" si="61"/>
        <v>1</v>
      </c>
      <c r="M184" s="528">
        <f t="shared" si="61"/>
        <v>1</v>
      </c>
    </row>
    <row r="185" spans="2:15" s="131" customFormat="1" ht="15" customHeight="1" outlineLevel="1">
      <c r="B185" s="122"/>
      <c r="D185" s="370"/>
      <c r="F185" s="514">
        <f>F184+1</f>
        <v>2026</v>
      </c>
      <c r="G185" s="531">
        <f>$D$177</f>
        <v>20</v>
      </c>
      <c r="H185" s="530"/>
      <c r="I185" s="529">
        <f t="shared" si="61"/>
        <v>0</v>
      </c>
      <c r="J185" s="529">
        <f t="shared" si="61"/>
        <v>0</v>
      </c>
      <c r="K185" s="529">
        <f t="shared" si="61"/>
        <v>0</v>
      </c>
      <c r="L185" s="529">
        <f t="shared" si="61"/>
        <v>0.5</v>
      </c>
      <c r="M185" s="528">
        <f t="shared" si="61"/>
        <v>1</v>
      </c>
    </row>
    <row r="186" spans="2:15" s="131" customFormat="1" ht="15" customHeight="1" outlineLevel="1">
      <c r="B186" s="122"/>
      <c r="D186" s="370"/>
      <c r="F186" s="510">
        <f>F185+1</f>
        <v>2027</v>
      </c>
      <c r="G186" s="527">
        <f>$D$177</f>
        <v>20</v>
      </c>
      <c r="H186" s="526"/>
      <c r="I186" s="525">
        <f t="shared" si="61"/>
        <v>0</v>
      </c>
      <c r="J186" s="525">
        <f t="shared" si="61"/>
        <v>0</v>
      </c>
      <c r="K186" s="525">
        <f t="shared" si="61"/>
        <v>0</v>
      </c>
      <c r="L186" s="525">
        <f t="shared" si="61"/>
        <v>0</v>
      </c>
      <c r="M186" s="524">
        <f t="shared" si="61"/>
        <v>0.5</v>
      </c>
    </row>
    <row r="187" spans="2:15" s="131" customFormat="1" ht="15" customHeight="1" outlineLevel="1">
      <c r="B187" s="122"/>
      <c r="C187" s="140"/>
      <c r="D187" s="370"/>
      <c r="E187" s="132"/>
      <c r="F187" s="132"/>
      <c r="G187" s="132"/>
      <c r="H187" s="132"/>
      <c r="I187" s="136"/>
      <c r="J187" s="136"/>
      <c r="K187" s="136"/>
      <c r="L187" s="136"/>
      <c r="M187" s="136"/>
      <c r="O187" s="377"/>
    </row>
    <row r="188" spans="2:15" s="131" customFormat="1" ht="15" customHeight="1" outlineLevel="1">
      <c r="B188" s="122"/>
      <c r="C188" s="140"/>
      <c r="D188" s="132"/>
      <c r="E188" s="132"/>
      <c r="F188" s="132"/>
      <c r="G188" s="132"/>
      <c r="H188" s="132"/>
      <c r="I188" s="523" t="s">
        <v>223</v>
      </c>
      <c r="J188" s="522"/>
      <c r="K188" s="522"/>
      <c r="L188" s="522"/>
      <c r="M188" s="521"/>
      <c r="O188" s="377"/>
    </row>
    <row r="189" spans="2:15" s="131" customFormat="1" ht="15" customHeight="1" outlineLevel="1">
      <c r="E189" s="132"/>
      <c r="F189" s="370" t="s">
        <v>222</v>
      </c>
      <c r="G189" s="370" t="s">
        <v>221</v>
      </c>
      <c r="H189" s="370" t="s">
        <v>220</v>
      </c>
      <c r="I189" s="520">
        <f>I$164</f>
        <v>2023</v>
      </c>
      <c r="J189" s="520">
        <f>J$164</f>
        <v>2024</v>
      </c>
      <c r="K189" s="520">
        <f>K$164</f>
        <v>2025</v>
      </c>
      <c r="L189" s="520">
        <f>L$164</f>
        <v>2026</v>
      </c>
      <c r="M189" s="520">
        <f>M$164</f>
        <v>2027</v>
      </c>
      <c r="O189" s="377"/>
    </row>
    <row r="190" spans="2:15" s="131" customFormat="1" ht="15" customHeight="1" outlineLevel="1">
      <c r="B190" s="122"/>
      <c r="E190" s="132"/>
      <c r="F190" s="519">
        <f>F182</f>
        <v>2023</v>
      </c>
      <c r="G190" s="518">
        <f>SUMIF($I$164:$M$164,F190,$I$167:$M$167)</f>
        <v>4550</v>
      </c>
      <c r="H190" s="517">
        <f>G190/G182</f>
        <v>227.5</v>
      </c>
      <c r="I190" s="516">
        <f t="shared" ref="I190:M194" si="62">$H190*I182</f>
        <v>113.75</v>
      </c>
      <c r="J190" s="516">
        <f t="shared" si="62"/>
        <v>227.5</v>
      </c>
      <c r="K190" s="516">
        <f t="shared" si="62"/>
        <v>227.5</v>
      </c>
      <c r="L190" s="516">
        <f t="shared" si="62"/>
        <v>227.5</v>
      </c>
      <c r="M190" s="515">
        <f t="shared" si="62"/>
        <v>227.5</v>
      </c>
    </row>
    <row r="191" spans="2:15" s="131" customFormat="1" ht="15" customHeight="1" outlineLevel="1">
      <c r="B191" s="122"/>
      <c r="E191" s="132"/>
      <c r="F191" s="514">
        <f>F183</f>
        <v>2024</v>
      </c>
      <c r="G191" s="513">
        <f>SUMIF($I$164:$M$164,F191,$I$167:$M$167)</f>
        <v>4700</v>
      </c>
      <c r="H191" s="512">
        <f>G191/G183</f>
        <v>235</v>
      </c>
      <c r="I191" s="385">
        <f t="shared" si="62"/>
        <v>0</v>
      </c>
      <c r="J191" s="385">
        <f t="shared" si="62"/>
        <v>117.5</v>
      </c>
      <c r="K191" s="385">
        <f t="shared" si="62"/>
        <v>235</v>
      </c>
      <c r="L191" s="385">
        <f t="shared" si="62"/>
        <v>235</v>
      </c>
      <c r="M191" s="511">
        <f t="shared" si="62"/>
        <v>235</v>
      </c>
    </row>
    <row r="192" spans="2:15" s="131" customFormat="1" ht="15" customHeight="1" outlineLevel="1">
      <c r="B192" s="122"/>
      <c r="E192" s="132"/>
      <c r="F192" s="514">
        <f>F184</f>
        <v>2025</v>
      </c>
      <c r="G192" s="513">
        <f>SUMIF($I$164:$M$164,F192,$I$167:$M$167)</f>
        <v>4850</v>
      </c>
      <c r="H192" s="512">
        <f>G192/G184</f>
        <v>242.5</v>
      </c>
      <c r="I192" s="385">
        <f t="shared" si="62"/>
        <v>0</v>
      </c>
      <c r="J192" s="385">
        <f t="shared" si="62"/>
        <v>0</v>
      </c>
      <c r="K192" s="385">
        <f t="shared" si="62"/>
        <v>121.25</v>
      </c>
      <c r="L192" s="385">
        <f t="shared" si="62"/>
        <v>242.5</v>
      </c>
      <c r="M192" s="511">
        <f t="shared" si="62"/>
        <v>242.5</v>
      </c>
    </row>
    <row r="193" spans="1:15" s="131" customFormat="1" ht="15" customHeight="1" outlineLevel="1">
      <c r="B193" s="122"/>
      <c r="E193" s="132"/>
      <c r="F193" s="514">
        <f>F185</f>
        <v>2026</v>
      </c>
      <c r="G193" s="513">
        <f>SUMIF($I$164:$M$164,F193,$I$167:$M$167)</f>
        <v>5000</v>
      </c>
      <c r="H193" s="512">
        <f>G193/G185</f>
        <v>250</v>
      </c>
      <c r="I193" s="385">
        <f t="shared" si="62"/>
        <v>0</v>
      </c>
      <c r="J193" s="385">
        <f t="shared" si="62"/>
        <v>0</v>
      </c>
      <c r="K193" s="385">
        <f t="shared" si="62"/>
        <v>0</v>
      </c>
      <c r="L193" s="385">
        <f t="shared" si="62"/>
        <v>125</v>
      </c>
      <c r="M193" s="511">
        <f t="shared" si="62"/>
        <v>250</v>
      </c>
    </row>
    <row r="194" spans="1:15" s="131" customFormat="1" ht="15" customHeight="1" outlineLevel="1">
      <c r="B194" s="122"/>
      <c r="E194" s="132"/>
      <c r="F194" s="510">
        <f>F186</f>
        <v>2027</v>
      </c>
      <c r="G194" s="509">
        <f>SUMIF($I$164:$M$164,F194,$I$167:$M$167)</f>
        <v>5125</v>
      </c>
      <c r="H194" s="508">
        <f>G194/G186</f>
        <v>256.25</v>
      </c>
      <c r="I194" s="393">
        <f t="shared" si="62"/>
        <v>0</v>
      </c>
      <c r="J194" s="393">
        <f t="shared" si="62"/>
        <v>0</v>
      </c>
      <c r="K194" s="393">
        <f t="shared" si="62"/>
        <v>0</v>
      </c>
      <c r="L194" s="393">
        <f t="shared" si="62"/>
        <v>0</v>
      </c>
      <c r="M194" s="507">
        <f t="shared" si="62"/>
        <v>128.125</v>
      </c>
    </row>
    <row r="195" spans="1:15" s="131" customFormat="1" ht="15" customHeight="1" outlineLevel="1">
      <c r="B195" s="357"/>
      <c r="C195" s="240"/>
      <c r="D195" s="356"/>
      <c r="E195" s="356"/>
      <c r="F195" s="356"/>
      <c r="G195" s="356"/>
      <c r="H195" s="356"/>
      <c r="I195" s="355"/>
      <c r="J195" s="355"/>
      <c r="K195" s="355"/>
      <c r="L195" s="355"/>
      <c r="M195" s="355"/>
      <c r="O195" s="377"/>
    </row>
    <row r="196" spans="1:15" s="131" customFormat="1" ht="15" customHeight="1" outlineLevel="1">
      <c r="B196" s="122"/>
      <c r="C196" s="140"/>
      <c r="D196" s="132"/>
      <c r="E196" s="132"/>
      <c r="F196" s="132"/>
      <c r="G196" s="132"/>
      <c r="H196" s="132"/>
      <c r="I196" s="136"/>
      <c r="J196" s="136"/>
      <c r="K196" s="136"/>
      <c r="L196" s="136"/>
      <c r="M196" s="136"/>
      <c r="O196" s="377"/>
    </row>
    <row r="197" spans="1:15" s="131" customFormat="1" ht="15" customHeight="1" outlineLevel="1">
      <c r="B197" s="478" t="s">
        <v>219</v>
      </c>
      <c r="C197" s="140"/>
      <c r="D197" s="132"/>
      <c r="E197" s="132"/>
      <c r="F197" s="132"/>
      <c r="G197" s="132"/>
      <c r="H197" s="132"/>
      <c r="I197" s="136"/>
      <c r="J197" s="136"/>
      <c r="K197" s="136"/>
      <c r="L197" s="136"/>
      <c r="M197" s="136"/>
      <c r="O197" s="377"/>
    </row>
    <row r="198" spans="1:15" s="131" customFormat="1" ht="15" customHeight="1" outlineLevel="1">
      <c r="B198" s="376" t="s">
        <v>218</v>
      </c>
      <c r="C198" s="140"/>
      <c r="D198" s="132"/>
      <c r="E198" s="132"/>
      <c r="F198" s="252"/>
      <c r="G198" s="252"/>
      <c r="H198" s="252"/>
      <c r="I198" s="126">
        <f>($D$172/$D$171)*I172</f>
        <v>4063.375</v>
      </c>
      <c r="J198" s="126">
        <f>($D$172/$D$171)*J172</f>
        <v>4063.375</v>
      </c>
      <c r="K198" s="126">
        <f>($D$172/$D$171)*K172</f>
        <v>4063.375</v>
      </c>
      <c r="L198" s="126">
        <f>($D$172/$D$171)*L172</f>
        <v>4063.375</v>
      </c>
      <c r="M198" s="126">
        <f>($D$172/$D$171)*M172</f>
        <v>4063.375</v>
      </c>
      <c r="O198" s="98"/>
    </row>
    <row r="199" spans="1:15" s="131" customFormat="1" ht="15" customHeight="1" outlineLevel="1">
      <c r="B199" s="376" t="s">
        <v>217</v>
      </c>
      <c r="C199" s="140"/>
      <c r="D199" s="132"/>
      <c r="E199" s="132"/>
      <c r="F199" s="132"/>
      <c r="G199" s="132"/>
      <c r="H199" s="132"/>
      <c r="I199" s="126">
        <f>SUM(I190:I194)</f>
        <v>113.75</v>
      </c>
      <c r="J199" s="126">
        <f>SUM(J190:J194)</f>
        <v>345</v>
      </c>
      <c r="K199" s="126">
        <f>SUM(K190:K194)</f>
        <v>583.75</v>
      </c>
      <c r="L199" s="126">
        <f>SUM(L190:L194)</f>
        <v>830</v>
      </c>
      <c r="M199" s="126">
        <f>SUM(M190:M194)</f>
        <v>1083.125</v>
      </c>
      <c r="O199" s="98"/>
    </row>
    <row r="200" spans="1:15" s="131" customFormat="1" ht="15" customHeight="1" outlineLevel="1" thickBot="1">
      <c r="B200" s="376" t="s">
        <v>216</v>
      </c>
      <c r="C200" s="140"/>
      <c r="D200" s="717" t="str">
        <f>'Model-R'!S200</f>
        <v>COMPLETE</v>
      </c>
      <c r="E200" s="132"/>
      <c r="F200" s="132"/>
      <c r="G200" s="132"/>
      <c r="H200" s="132"/>
      <c r="I200" s="472">
        <f>SUM(I198:I199)</f>
        <v>4177.125</v>
      </c>
      <c r="J200" s="472">
        <f>SUM(J198:J199)</f>
        <v>4408.375</v>
      </c>
      <c r="K200" s="472">
        <f>SUM(K198:K199)</f>
        <v>4647.125</v>
      </c>
      <c r="L200" s="472">
        <f>SUM(L198:L199)</f>
        <v>4893.375</v>
      </c>
      <c r="M200" s="472">
        <f>SUM(M198:M199)</f>
        <v>5146.5</v>
      </c>
      <c r="O200" s="377"/>
    </row>
    <row r="201" spans="1:15" s="131" customFormat="1" ht="15" customHeight="1" outlineLevel="1">
      <c r="B201" s="122"/>
      <c r="C201" s="140"/>
      <c r="D201" s="132"/>
      <c r="E201" s="132"/>
      <c r="F201" s="132"/>
      <c r="G201" s="132"/>
      <c r="H201" s="132"/>
      <c r="I201" s="252"/>
      <c r="J201" s="252"/>
      <c r="K201" s="252"/>
      <c r="L201" s="252"/>
      <c r="M201" s="252"/>
      <c r="O201" s="377"/>
    </row>
    <row r="202" spans="1:15" s="131" customFormat="1" ht="15" customHeight="1" outlineLevel="1">
      <c r="B202" s="122"/>
      <c r="C202" s="140"/>
      <c r="D202" s="132"/>
      <c r="E202" s="132"/>
      <c r="F202" s="132"/>
      <c r="G202" s="132"/>
      <c r="H202" s="132"/>
      <c r="I202" s="252"/>
      <c r="J202" s="252"/>
      <c r="K202" s="252"/>
      <c r="L202" s="252"/>
      <c r="M202" s="252"/>
      <c r="O202" s="377"/>
    </row>
    <row r="203" spans="1:15" s="131" customFormat="1" ht="15" customHeight="1" outlineLevel="1">
      <c r="C203" s="140"/>
      <c r="D203" s="132"/>
      <c r="E203" s="132"/>
      <c r="F203" s="132"/>
      <c r="G203" s="132"/>
      <c r="H203" s="132"/>
      <c r="I203" s="136"/>
      <c r="J203" s="136"/>
      <c r="K203" s="136"/>
      <c r="L203" s="136"/>
      <c r="M203" s="38" t="s">
        <v>215</v>
      </c>
      <c r="O203" s="98"/>
    </row>
    <row r="204" spans="1:15" s="131" customFormat="1" ht="15" customHeight="1" outlineLevel="1">
      <c r="C204" s="140"/>
      <c r="D204" s="132"/>
      <c r="E204" s="132"/>
      <c r="F204" s="132"/>
      <c r="G204" s="132"/>
      <c r="H204" s="132"/>
      <c r="I204" s="136"/>
      <c r="J204" s="136"/>
      <c r="K204" s="136"/>
      <c r="L204" s="136"/>
      <c r="M204" s="358" t="s">
        <v>214</v>
      </c>
      <c r="O204" s="98"/>
    </row>
    <row r="205" spans="1:15" s="131" customFormat="1" ht="15" customHeight="1" outlineLevel="1">
      <c r="C205" s="140"/>
      <c r="D205" s="132"/>
      <c r="E205" s="132"/>
      <c r="F205" s="132"/>
      <c r="G205" s="132"/>
      <c r="H205" s="132"/>
      <c r="I205" s="136"/>
      <c r="J205" s="136"/>
      <c r="K205" s="136"/>
      <c r="L205" s="136"/>
      <c r="M205" s="430"/>
      <c r="O205" s="98"/>
    </row>
    <row r="206" spans="1:15" s="131" customFormat="1" ht="15" customHeight="1" outlineLevel="1">
      <c r="B206" s="357"/>
      <c r="C206" s="240"/>
      <c r="D206" s="356"/>
      <c r="E206" s="356"/>
      <c r="F206" s="356"/>
      <c r="G206" s="356"/>
      <c r="H206" s="356"/>
      <c r="I206" s="355"/>
      <c r="J206" s="355"/>
      <c r="K206" s="355"/>
      <c r="L206" s="355"/>
      <c r="M206" s="355"/>
      <c r="N206" s="355"/>
      <c r="O206" s="377"/>
    </row>
    <row r="207" spans="1:15" s="131" customFormat="1" ht="15" customHeight="1">
      <c r="B207" s="122"/>
      <c r="C207" s="140"/>
      <c r="D207" s="132"/>
      <c r="E207" s="132"/>
      <c r="F207" s="132"/>
      <c r="G207" s="132"/>
      <c r="H207" s="132"/>
      <c r="I207" s="136"/>
      <c r="J207" s="136"/>
      <c r="K207" s="136"/>
      <c r="L207" s="136"/>
      <c r="M207" s="136"/>
      <c r="N207" s="136"/>
      <c r="O207" s="377"/>
    </row>
    <row r="208" spans="1:15" s="131" customFormat="1" ht="15" customHeight="1">
      <c r="A208" s="131" t="s">
        <v>0</v>
      </c>
      <c r="B208" s="144" t="s">
        <v>213</v>
      </c>
      <c r="C208" s="143"/>
      <c r="D208" s="429"/>
      <c r="E208" s="429"/>
      <c r="F208" s="141"/>
      <c r="G208" s="141"/>
      <c r="H208" s="141"/>
      <c r="I208" s="428"/>
      <c r="J208" s="427"/>
      <c r="K208" s="427"/>
      <c r="L208" s="427"/>
      <c r="M208" s="427"/>
      <c r="N208" s="447"/>
      <c r="O208" s="377"/>
    </row>
    <row r="209" spans="1:16" s="131" customFormat="1" ht="15" customHeight="1" outlineLevel="1">
      <c r="B209" s="304"/>
      <c r="C209" s="140"/>
      <c r="D209" s="139"/>
      <c r="E209" s="139"/>
      <c r="F209" s="138"/>
      <c r="G209" s="138"/>
      <c r="H209" s="138"/>
      <c r="I209" s="138"/>
      <c r="J209" s="138"/>
      <c r="K209" s="138"/>
      <c r="L209" s="138"/>
      <c r="M209" s="138"/>
      <c r="O209" s="377"/>
    </row>
    <row r="210" spans="1:16" s="131" customFormat="1" ht="15" customHeight="1" outlineLevel="1" thickBot="1">
      <c r="B210" s="122" t="s">
        <v>40</v>
      </c>
      <c r="C210" s="140"/>
      <c r="D210" s="132"/>
      <c r="E210" s="132"/>
      <c r="F210" s="138"/>
      <c r="G210" s="132"/>
      <c r="H210" s="490">
        <f t="shared" ref="H210:M210" si="63">H$5</f>
        <v>2022</v>
      </c>
      <c r="I210" s="354">
        <f t="shared" si="63"/>
        <v>2023</v>
      </c>
      <c r="J210" s="354">
        <f t="shared" si="63"/>
        <v>2024</v>
      </c>
      <c r="K210" s="354">
        <f t="shared" si="63"/>
        <v>2025</v>
      </c>
      <c r="L210" s="354">
        <f t="shared" si="63"/>
        <v>2026</v>
      </c>
      <c r="M210" s="354">
        <f t="shared" si="63"/>
        <v>2027</v>
      </c>
      <c r="N210" s="136"/>
      <c r="O210" s="98"/>
    </row>
    <row r="211" spans="1:16" ht="15" customHeight="1" outlineLevel="1">
      <c r="A211" s="102"/>
      <c r="B211" s="122" t="str">
        <f>$B$6</f>
        <v>Model Running: Base Case Drivers</v>
      </c>
      <c r="C211" s="140"/>
      <c r="D211" s="132"/>
      <c r="E211" s="132"/>
      <c r="F211" s="132"/>
      <c r="G211" s="132"/>
      <c r="H211" s="132"/>
      <c r="I211" s="136"/>
      <c r="J211" s="136"/>
      <c r="K211" s="136"/>
      <c r="L211" s="136"/>
      <c r="M211" s="136"/>
      <c r="N211" s="136"/>
    </row>
    <row r="212" spans="1:16" s="131" customFormat="1" ht="15" customHeight="1" outlineLevel="1">
      <c r="B212" s="122"/>
      <c r="C212" s="140"/>
      <c r="D212" s="132"/>
      <c r="E212" s="132"/>
      <c r="F212" s="132"/>
      <c r="G212" s="132"/>
      <c r="H212" s="132"/>
      <c r="I212" s="136"/>
      <c r="J212" s="136"/>
      <c r="K212" s="136"/>
      <c r="L212" s="136"/>
      <c r="M212" s="136"/>
      <c r="O212" s="377"/>
    </row>
    <row r="213" spans="1:16" s="131" customFormat="1" ht="15" customHeight="1" outlineLevel="1">
      <c r="B213" s="274" t="s">
        <v>127</v>
      </c>
      <c r="C213" s="140"/>
      <c r="D213" s="132"/>
      <c r="E213" s="132"/>
      <c r="F213" s="132"/>
      <c r="G213" s="126"/>
      <c r="H213" s="126"/>
      <c r="I213" s="506">
        <f>I167</f>
        <v>4550</v>
      </c>
      <c r="J213" s="444">
        <f t="shared" ref="J213:M213" si="64">J167</f>
        <v>4700</v>
      </c>
      <c r="K213" s="444">
        <f t="shared" si="64"/>
        <v>4850</v>
      </c>
      <c r="L213" s="444">
        <f t="shared" si="64"/>
        <v>5000</v>
      </c>
      <c r="M213" s="505">
        <f t="shared" si="64"/>
        <v>5125</v>
      </c>
      <c r="N213" s="126"/>
      <c r="P213" s="800">
        <f>'Model-R'!S213</f>
        <v>1</v>
      </c>
    </row>
    <row r="214" spans="1:16" s="131" customFormat="1" ht="15" customHeight="1" outlineLevel="1">
      <c r="B214" s="122"/>
      <c r="C214" s="140"/>
      <c r="D214" s="132"/>
      <c r="E214" s="132"/>
      <c r="F214" s="132"/>
      <c r="G214" s="132"/>
      <c r="H214" s="132"/>
      <c r="I214" s="136"/>
      <c r="J214" s="136"/>
      <c r="K214" s="136"/>
      <c r="L214" s="136"/>
      <c r="M214" s="136"/>
      <c r="P214" s="817"/>
    </row>
    <row r="215" spans="1:16" s="131" customFormat="1" ht="15" customHeight="1" outlineLevel="1">
      <c r="B215" s="468" t="s">
        <v>57</v>
      </c>
      <c r="C215" s="504"/>
      <c r="D215" s="503">
        <f>Inputs!$L$106</f>
        <v>0.5</v>
      </c>
      <c r="E215" s="132"/>
      <c r="F215" s="132"/>
      <c r="G215" s="132"/>
      <c r="H215" s="132"/>
      <c r="I215" s="136"/>
      <c r="J215" s="136"/>
      <c r="K215" s="136"/>
      <c r="L215" s="136"/>
      <c r="M215" s="136"/>
      <c r="P215" s="817"/>
    </row>
    <row r="216" spans="1:16" s="131" customFormat="1" ht="15" customHeight="1" outlineLevel="1">
      <c r="B216" s="416" t="s">
        <v>56</v>
      </c>
      <c r="C216" s="502"/>
      <c r="D216" s="501">
        <f>Inputs!$L$107</f>
        <v>0.15</v>
      </c>
      <c r="E216" s="132"/>
      <c r="F216" s="132"/>
      <c r="G216" s="132"/>
      <c r="H216" s="132"/>
      <c r="J216" s="136"/>
      <c r="K216" s="136"/>
      <c r="L216" s="136"/>
      <c r="M216" s="136"/>
      <c r="P216" s="817"/>
    </row>
    <row r="217" spans="1:16" s="131" customFormat="1" ht="15" customHeight="1" outlineLevel="1">
      <c r="B217" s="104"/>
      <c r="C217" s="405"/>
      <c r="D217" s="500"/>
      <c r="E217" s="132"/>
      <c r="F217" s="132"/>
      <c r="G217" s="132"/>
      <c r="H217" s="132"/>
      <c r="I217" s="499"/>
      <c r="J217" s="499"/>
      <c r="K217" s="499"/>
      <c r="L217" s="499"/>
      <c r="M217" s="499"/>
      <c r="P217" s="817"/>
    </row>
    <row r="218" spans="1:16" s="131" customFormat="1" ht="15" customHeight="1" outlineLevel="1">
      <c r="B218" s="104"/>
      <c r="C218" s="405"/>
      <c r="D218" s="500"/>
      <c r="E218" s="132"/>
      <c r="F218" s="132"/>
      <c r="G218" s="132"/>
      <c r="H218" s="132"/>
      <c r="I218" s="499"/>
      <c r="J218" s="499"/>
      <c r="K218" s="499"/>
      <c r="L218" s="499"/>
      <c r="M218" s="499"/>
      <c r="P218" s="817"/>
    </row>
    <row r="219" spans="1:16" s="131" customFormat="1" ht="15" customHeight="1" outlineLevel="1">
      <c r="B219" s="478" t="s">
        <v>212</v>
      </c>
      <c r="C219" s="140"/>
      <c r="D219" s="132"/>
      <c r="E219" s="132"/>
      <c r="F219" s="132"/>
      <c r="G219" s="132"/>
      <c r="H219" s="132"/>
      <c r="I219" s="136"/>
      <c r="J219" s="136"/>
      <c r="K219" s="136"/>
      <c r="L219" s="136"/>
      <c r="M219" s="136"/>
      <c r="P219" s="817"/>
    </row>
    <row r="220" spans="1:16" s="131" customFormat="1" ht="15" customHeight="1" outlineLevel="1">
      <c r="B220" s="376" t="s">
        <v>192</v>
      </c>
      <c r="C220" s="140"/>
      <c r="D220" s="132"/>
      <c r="E220" s="132"/>
      <c r="F220" s="132"/>
      <c r="G220" s="252"/>
      <c r="H220" s="126"/>
      <c r="I220" s="126">
        <f>H223</f>
        <v>65014</v>
      </c>
      <c r="J220" s="126">
        <f>I223</f>
        <v>65386.875</v>
      </c>
      <c r="K220" s="126">
        <f>J223</f>
        <v>65678.5</v>
      </c>
      <c r="L220" s="126">
        <f>K223</f>
        <v>65881.375</v>
      </c>
      <c r="M220" s="126">
        <f>L223</f>
        <v>65988</v>
      </c>
      <c r="N220" s="126"/>
      <c r="P220" s="817"/>
    </row>
    <row r="221" spans="1:16" s="131" customFormat="1" ht="15" customHeight="1" outlineLevel="1">
      <c r="B221" s="376" t="s">
        <v>127</v>
      </c>
      <c r="C221" s="140"/>
      <c r="D221" s="132"/>
      <c r="E221" s="132"/>
      <c r="F221" s="132"/>
      <c r="G221" s="252"/>
      <c r="H221" s="498"/>
      <c r="I221" s="126">
        <f>I213</f>
        <v>4550</v>
      </c>
      <c r="J221" s="126">
        <f>J213</f>
        <v>4700</v>
      </c>
      <c r="K221" s="126">
        <f>K213</f>
        <v>4850</v>
      </c>
      <c r="L221" s="126">
        <f>L213</f>
        <v>5000</v>
      </c>
      <c r="M221" s="126">
        <f>M213</f>
        <v>5125</v>
      </c>
      <c r="N221" s="126"/>
      <c r="P221" s="817"/>
    </row>
    <row r="222" spans="1:16" s="131" customFormat="1" ht="15" customHeight="1" outlineLevel="1">
      <c r="B222" s="376" t="s">
        <v>211</v>
      </c>
      <c r="C222" s="140"/>
      <c r="D222" s="132"/>
      <c r="E222" s="132"/>
      <c r="F222" s="132"/>
      <c r="G222" s="252"/>
      <c r="H222" s="389"/>
      <c r="I222" s="479">
        <f>-I200</f>
        <v>-4177.125</v>
      </c>
      <c r="J222" s="479">
        <f t="shared" ref="J222:M222" si="65">-J200</f>
        <v>-4408.375</v>
      </c>
      <c r="K222" s="479">
        <f t="shared" si="65"/>
        <v>-4647.125</v>
      </c>
      <c r="L222" s="479">
        <f t="shared" si="65"/>
        <v>-4893.375</v>
      </c>
      <c r="M222" s="479">
        <f t="shared" si="65"/>
        <v>-5146.5</v>
      </c>
      <c r="N222" s="126"/>
      <c r="P222" s="800">
        <f>'Model-R'!S222</f>
        <v>1</v>
      </c>
    </row>
    <row r="223" spans="1:16" s="131" customFormat="1" ht="15" customHeight="1" outlineLevel="1">
      <c r="B223" s="376" t="s">
        <v>189</v>
      </c>
      <c r="C223" s="140"/>
      <c r="D223" s="132"/>
      <c r="E223" s="132"/>
      <c r="F223" s="497"/>
      <c r="G223" s="252"/>
      <c r="H223" s="494">
        <f>$D$172</f>
        <v>65014</v>
      </c>
      <c r="I223" s="126">
        <f>SUM(I220:I222)</f>
        <v>65386.875</v>
      </c>
      <c r="J223" s="126">
        <f>SUM(J220:J222)</f>
        <v>65678.5</v>
      </c>
      <c r="K223" s="126">
        <f>SUM(K220:K222)</f>
        <v>65881.375</v>
      </c>
      <c r="L223" s="126">
        <f>SUM(L220:L222)</f>
        <v>65988</v>
      </c>
      <c r="M223" s="126">
        <f>SUM(M220:M222)</f>
        <v>65966.5</v>
      </c>
      <c r="N223" s="126"/>
    </row>
    <row r="224" spans="1:16" s="131" customFormat="1" ht="15" customHeight="1" outlineLevel="1">
      <c r="B224" s="122"/>
      <c r="C224" s="140"/>
      <c r="D224" s="132"/>
      <c r="E224" s="132"/>
      <c r="F224" s="132"/>
      <c r="G224" s="132"/>
      <c r="H224" s="469"/>
      <c r="I224" s="469"/>
      <c r="J224" s="469"/>
      <c r="K224" s="469"/>
      <c r="L224" s="469"/>
      <c r="M224" s="469"/>
      <c r="N224" s="469"/>
      <c r="O224" s="136"/>
    </row>
    <row r="225" spans="1:15" s="131" customFormat="1" ht="15" customHeight="1" outlineLevel="1">
      <c r="B225" s="122"/>
      <c r="C225" s="140"/>
      <c r="D225" s="132"/>
      <c r="E225" s="132"/>
      <c r="F225" s="132"/>
      <c r="G225" s="132"/>
      <c r="H225" s="469"/>
      <c r="I225" s="469"/>
      <c r="J225" s="469"/>
      <c r="K225" s="469"/>
      <c r="L225" s="469"/>
      <c r="M225" s="469"/>
      <c r="N225" s="469"/>
      <c r="O225" s="136"/>
    </row>
    <row r="226" spans="1:15" s="131" customFormat="1" ht="15" customHeight="1" outlineLevel="1">
      <c r="B226" s="478" t="s">
        <v>210</v>
      </c>
      <c r="C226" s="140"/>
      <c r="D226" s="132"/>
      <c r="E226" s="132"/>
      <c r="F226" s="132"/>
      <c r="G226" s="132"/>
      <c r="H226" s="469"/>
      <c r="I226" s="469"/>
      <c r="J226" s="469"/>
      <c r="K226" s="469"/>
      <c r="L226" s="469"/>
      <c r="M226" s="469"/>
      <c r="N226" s="469"/>
      <c r="O226" s="136"/>
    </row>
    <row r="227" spans="1:15" s="131" customFormat="1" ht="15" customHeight="1" outlineLevel="1">
      <c r="B227" s="376" t="s">
        <v>192</v>
      </c>
      <c r="C227" s="140"/>
      <c r="D227" s="132"/>
      <c r="E227" s="132"/>
      <c r="F227" s="132"/>
      <c r="G227" s="252"/>
      <c r="H227" s="126"/>
      <c r="I227" s="126">
        <f>H230</f>
        <v>39211</v>
      </c>
      <c r="J227" s="126">
        <f>I230</f>
        <v>37538.1</v>
      </c>
      <c r="K227" s="126">
        <f>J230</f>
        <v>36254.885000000002</v>
      </c>
      <c r="L227" s="126">
        <f>K230</f>
        <v>35302.902249999999</v>
      </c>
      <c r="M227" s="126">
        <f>L230</f>
        <v>34632.4669125</v>
      </c>
      <c r="N227" s="126"/>
      <c r="O227" s="136"/>
    </row>
    <row r="228" spans="1:15" s="131" customFormat="1" ht="15" customHeight="1" outlineLevel="1">
      <c r="B228" s="376" t="s">
        <v>127</v>
      </c>
      <c r="C228" s="140"/>
      <c r="D228" s="132"/>
      <c r="E228" s="132"/>
      <c r="F228" s="132"/>
      <c r="G228" s="252"/>
      <c r="H228" s="126"/>
      <c r="I228" s="126">
        <f>I221</f>
        <v>4550</v>
      </c>
      <c r="J228" s="126">
        <f>J221</f>
        <v>4700</v>
      </c>
      <c r="K228" s="126">
        <f>K221</f>
        <v>4850</v>
      </c>
      <c r="L228" s="126">
        <f>L221</f>
        <v>5000</v>
      </c>
      <c r="M228" s="126">
        <f>M221</f>
        <v>5125</v>
      </c>
      <c r="N228" s="126"/>
      <c r="O228" s="136"/>
    </row>
    <row r="229" spans="1:15" s="131" customFormat="1" ht="15" customHeight="1" outlineLevel="1">
      <c r="B229" s="376" t="s">
        <v>209</v>
      </c>
      <c r="H229" s="496"/>
      <c r="I229" s="389">
        <f>-(I227+I228*$D$215)*$D$216</f>
        <v>-6222.9</v>
      </c>
      <c r="J229" s="389">
        <f>-(J227+J228*$D$215)*$D$216</f>
        <v>-5983.2149999999992</v>
      </c>
      <c r="K229" s="389">
        <f>-(K227+K228*$D$215)*$D$216</f>
        <v>-5801.9827500000001</v>
      </c>
      <c r="L229" s="389">
        <f>-(L227+L228*$D$215)*$D$216</f>
        <v>-5670.4353375000001</v>
      </c>
      <c r="M229" s="389">
        <f>-(M227+M228*$D$215)*$D$216</f>
        <v>-5579.2450368749996</v>
      </c>
      <c r="N229" s="126"/>
    </row>
    <row r="230" spans="1:15" s="131" customFormat="1" ht="15" customHeight="1" outlineLevel="1">
      <c r="B230" s="376" t="s">
        <v>189</v>
      </c>
      <c r="C230" s="140"/>
      <c r="D230" s="717" t="str">
        <f>'Model-R'!S230</f>
        <v>COMPLETE</v>
      </c>
      <c r="E230" s="132"/>
      <c r="F230" s="384"/>
      <c r="G230" s="252"/>
      <c r="H230" s="494">
        <f>Inputs!$L$96</f>
        <v>39211</v>
      </c>
      <c r="I230" s="126">
        <f>SUM(I227:I229)</f>
        <v>37538.1</v>
      </c>
      <c r="J230" s="126">
        <f>SUM(J227:J229)</f>
        <v>36254.885000000002</v>
      </c>
      <c r="K230" s="126">
        <f>SUM(K227:K229)</f>
        <v>35302.902249999999</v>
      </c>
      <c r="L230" s="126">
        <f>SUM(L227:L229)</f>
        <v>34632.4669125</v>
      </c>
      <c r="M230" s="126">
        <f>SUM(M227:M229)</f>
        <v>34178.221875625</v>
      </c>
      <c r="N230" s="126"/>
    </row>
    <row r="231" spans="1:15" s="131" customFormat="1" ht="15" customHeight="1" outlineLevel="1">
      <c r="B231" s="122"/>
      <c r="C231" s="140"/>
      <c r="D231" s="132"/>
      <c r="E231" s="132"/>
      <c r="F231" s="132"/>
      <c r="G231" s="132"/>
      <c r="H231" s="132"/>
      <c r="I231" s="136"/>
      <c r="J231" s="136"/>
      <c r="K231" s="136"/>
      <c r="L231" s="136"/>
      <c r="M231" s="136"/>
    </row>
    <row r="232" spans="1:15" s="131" customFormat="1" ht="15" customHeight="1" outlineLevel="1">
      <c r="B232" s="122"/>
      <c r="C232" s="140"/>
      <c r="D232" s="132"/>
      <c r="E232" s="132"/>
      <c r="F232" s="132"/>
      <c r="G232" s="132"/>
      <c r="H232" s="132"/>
      <c r="I232" s="136"/>
      <c r="J232" s="136"/>
      <c r="K232" s="136"/>
      <c r="L232" s="136"/>
      <c r="M232" s="136"/>
      <c r="O232" s="377"/>
    </row>
    <row r="233" spans="1:15" s="131" customFormat="1" ht="15" customHeight="1" outlineLevel="1">
      <c r="B233" s="122"/>
      <c r="C233" s="140"/>
      <c r="D233" s="132"/>
      <c r="E233" s="132"/>
      <c r="F233" s="132"/>
      <c r="G233" s="132"/>
      <c r="H233" s="132"/>
      <c r="I233" s="136"/>
      <c r="J233" s="136"/>
      <c r="K233" s="136"/>
      <c r="L233" s="136"/>
      <c r="M233" s="38" t="s">
        <v>208</v>
      </c>
      <c r="O233" s="98"/>
    </row>
    <row r="234" spans="1:15" s="131" customFormat="1" ht="15" customHeight="1" outlineLevel="1">
      <c r="B234" s="122"/>
      <c r="C234" s="140"/>
      <c r="D234" s="132"/>
      <c r="E234" s="132"/>
      <c r="F234" s="132"/>
      <c r="G234" s="132"/>
      <c r="H234" s="132"/>
      <c r="I234" s="136"/>
      <c r="J234" s="136"/>
      <c r="K234" s="136"/>
      <c r="L234" s="136"/>
      <c r="M234" s="430"/>
      <c r="O234" s="98"/>
    </row>
    <row r="235" spans="1:15" s="131" customFormat="1" ht="15" customHeight="1" outlineLevel="1">
      <c r="B235" s="357"/>
      <c r="C235" s="240"/>
      <c r="D235" s="356"/>
      <c r="E235" s="356"/>
      <c r="F235" s="356"/>
      <c r="G235" s="356"/>
      <c r="H235" s="356"/>
      <c r="I235" s="355"/>
      <c r="J235" s="355"/>
      <c r="K235" s="355"/>
      <c r="L235" s="355"/>
      <c r="M235" s="355"/>
      <c r="N235" s="355"/>
      <c r="O235" s="401"/>
    </row>
    <row r="236" spans="1:15" s="131" customFormat="1" ht="15" customHeight="1">
      <c r="B236" s="122"/>
      <c r="C236" s="140"/>
      <c r="D236" s="132"/>
      <c r="E236" s="132"/>
      <c r="F236" s="132"/>
      <c r="G236" s="132"/>
      <c r="H236" s="132"/>
      <c r="I236" s="136"/>
      <c r="J236" s="136"/>
      <c r="K236" s="136"/>
      <c r="L236" s="136"/>
      <c r="M236" s="136"/>
      <c r="N236" s="136"/>
      <c r="O236" s="401"/>
    </row>
    <row r="237" spans="1:15" s="131" customFormat="1" ht="15" customHeight="1">
      <c r="A237" s="131" t="s">
        <v>0</v>
      </c>
      <c r="B237" s="144" t="s">
        <v>207</v>
      </c>
      <c r="C237" s="143"/>
      <c r="D237" s="429"/>
      <c r="E237" s="429"/>
      <c r="F237" s="141"/>
      <c r="G237" s="141"/>
      <c r="H237" s="141"/>
      <c r="I237" s="428"/>
      <c r="J237" s="427"/>
      <c r="K237" s="427"/>
      <c r="L237" s="427"/>
      <c r="M237" s="427"/>
      <c r="N237" s="447"/>
      <c r="O237" s="401"/>
    </row>
    <row r="238" spans="1:15" s="131" customFormat="1" ht="15" customHeight="1" outlineLevel="1">
      <c r="B238" s="304"/>
      <c r="C238" s="140"/>
      <c r="D238" s="139"/>
      <c r="E238" s="139"/>
      <c r="F238" s="138"/>
      <c r="G238" s="138"/>
      <c r="H238" s="138"/>
      <c r="I238" s="138"/>
      <c r="J238" s="138"/>
      <c r="K238" s="138"/>
      <c r="L238" s="138"/>
      <c r="M238" s="138"/>
      <c r="O238" s="401"/>
    </row>
    <row r="239" spans="1:15" s="131" customFormat="1" ht="15" customHeight="1" outlineLevel="1" thickBot="1">
      <c r="B239" s="122" t="s">
        <v>40</v>
      </c>
      <c r="C239" s="140"/>
      <c r="D239" s="132"/>
      <c r="E239" s="132"/>
      <c r="F239" s="132"/>
      <c r="G239" s="132"/>
      <c r="H239" s="490">
        <f t="shared" ref="H239:M239" si="66">H$5</f>
        <v>2022</v>
      </c>
      <c r="I239" s="354">
        <f t="shared" si="66"/>
        <v>2023</v>
      </c>
      <c r="J239" s="354">
        <f t="shared" si="66"/>
        <v>2024</v>
      </c>
      <c r="K239" s="354">
        <f t="shared" si="66"/>
        <v>2025</v>
      </c>
      <c r="L239" s="354">
        <f t="shared" si="66"/>
        <v>2026</v>
      </c>
      <c r="M239" s="354">
        <f t="shared" si="66"/>
        <v>2027</v>
      </c>
      <c r="N239" s="136"/>
      <c r="O239" s="401"/>
    </row>
    <row r="240" spans="1:15" ht="15" customHeight="1" outlineLevel="1">
      <c r="A240" s="102"/>
      <c r="B240" s="122" t="str">
        <f>$B$6</f>
        <v>Model Running: Base Case Drivers</v>
      </c>
      <c r="C240" s="140"/>
      <c r="D240" s="132"/>
      <c r="E240" s="132"/>
      <c r="F240" s="132"/>
      <c r="G240" s="132"/>
      <c r="H240" s="132"/>
      <c r="I240" s="136"/>
      <c r="J240" s="136"/>
      <c r="K240" s="136"/>
      <c r="L240" s="136"/>
      <c r="M240" s="136"/>
      <c r="N240" s="136"/>
    </row>
    <row r="241" spans="1:16" s="131" customFormat="1" ht="15" customHeight="1" outlineLevel="1">
      <c r="B241" s="122"/>
      <c r="C241" s="140"/>
      <c r="D241" s="132"/>
      <c r="E241" s="132"/>
      <c r="F241" s="132"/>
      <c r="G241" s="132"/>
      <c r="H241" s="132"/>
      <c r="I241" s="136"/>
      <c r="J241" s="136"/>
      <c r="K241" s="136"/>
      <c r="L241" s="136"/>
      <c r="M241" s="136"/>
      <c r="O241" s="377"/>
    </row>
    <row r="242" spans="1:16" s="131" customFormat="1" ht="15" customHeight="1" outlineLevel="1">
      <c r="B242" s="274" t="s">
        <v>206</v>
      </c>
      <c r="C242" s="140"/>
      <c r="D242" s="132"/>
      <c r="E242" s="132"/>
      <c r="G242" s="252"/>
      <c r="H242" s="126"/>
      <c r="I242" s="489">
        <f>I117</f>
        <v>13061.502962850012</v>
      </c>
      <c r="J242" s="436">
        <f t="shared" ref="J242:M242" si="67">J117</f>
        <v>12772.844957366317</v>
      </c>
      <c r="K242" s="436">
        <f t="shared" si="67"/>
        <v>12460.475897114535</v>
      </c>
      <c r="L242" s="436">
        <f t="shared" si="67"/>
        <v>12060.61117908694</v>
      </c>
      <c r="M242" s="381">
        <f t="shared" si="67"/>
        <v>11328.887463014515</v>
      </c>
      <c r="N242" s="126"/>
      <c r="O242" s="98"/>
      <c r="P242" s="800">
        <f>'Model-R'!S242</f>
        <v>1</v>
      </c>
    </row>
    <row r="243" spans="1:16" s="131" customFormat="1" ht="15" customHeight="1" outlineLevel="1">
      <c r="B243" s="274" t="s">
        <v>202</v>
      </c>
      <c r="C243" s="140"/>
      <c r="D243" s="132"/>
      <c r="E243" s="132"/>
      <c r="F243" s="132"/>
      <c r="G243" s="132"/>
      <c r="H243" s="132"/>
      <c r="I243" s="488">
        <f>IF(I253&gt;0,1,0)</f>
        <v>1</v>
      </c>
      <c r="J243" s="487">
        <f>IF(J253&gt;0,1,0)</f>
        <v>1</v>
      </c>
      <c r="K243" s="487">
        <f>IF(K253&gt;0,1,0)</f>
        <v>1</v>
      </c>
      <c r="L243" s="487">
        <f>IF(L253&gt;0,1,0)</f>
        <v>1</v>
      </c>
      <c r="M243" s="486">
        <f>IF(M253&gt;0,1,0)</f>
        <v>1</v>
      </c>
      <c r="N243" s="485"/>
      <c r="O243" s="98"/>
      <c r="P243" s="817"/>
    </row>
    <row r="244" spans="1:16" s="131" customFormat="1" ht="15" customHeight="1" outlineLevel="1">
      <c r="B244" s="122"/>
      <c r="C244" s="140"/>
      <c r="D244" s="132"/>
      <c r="E244" s="132"/>
      <c r="F244" s="132"/>
      <c r="G244" s="132"/>
      <c r="H244" s="132"/>
      <c r="I244" s="136"/>
      <c r="J244" s="136"/>
      <c r="K244" s="136"/>
      <c r="L244" s="136"/>
      <c r="M244" s="136"/>
      <c r="O244" s="98"/>
      <c r="P244" s="817"/>
    </row>
    <row r="245" spans="1:16" s="131" customFormat="1" ht="15" customHeight="1" outlineLevel="1">
      <c r="B245" s="468" t="s">
        <v>87</v>
      </c>
      <c r="C245" s="484"/>
      <c r="D245" s="483">
        <f>$C$101</f>
        <v>0.3</v>
      </c>
      <c r="E245" s="132"/>
      <c r="F245" s="132"/>
      <c r="G245" s="132"/>
      <c r="H245" s="132"/>
      <c r="I245" s="136"/>
      <c r="J245" s="136"/>
      <c r="K245" s="136"/>
      <c r="L245" s="136"/>
      <c r="M245" s="136"/>
      <c r="O245" s="98"/>
      <c r="P245" s="817"/>
    </row>
    <row r="246" spans="1:16" ht="15" customHeight="1" outlineLevel="1">
      <c r="A246" s="131"/>
      <c r="B246" s="482" t="s">
        <v>201</v>
      </c>
      <c r="C246" s="240"/>
      <c r="D246" s="481">
        <f>IF(M264=0,0,1)</f>
        <v>0</v>
      </c>
      <c r="E246" s="132"/>
      <c r="F246" s="126"/>
      <c r="G246" s="495"/>
      <c r="H246" s="126"/>
      <c r="I246" s="126"/>
      <c r="J246" s="126"/>
      <c r="K246" s="126"/>
      <c r="L246" s="126"/>
      <c r="O246" s="98"/>
      <c r="P246" s="799"/>
    </row>
    <row r="247" spans="1:16" s="131" customFormat="1" ht="15" customHeight="1" outlineLevel="1">
      <c r="B247" s="122"/>
      <c r="C247" s="140"/>
      <c r="D247" s="480"/>
      <c r="E247" s="132"/>
      <c r="F247" s="132"/>
      <c r="G247" s="132"/>
      <c r="H247" s="132"/>
      <c r="I247" s="136"/>
      <c r="J247" s="136"/>
      <c r="K247" s="136"/>
      <c r="L247" s="136"/>
      <c r="M247" s="136"/>
      <c r="P247" s="817"/>
    </row>
    <row r="248" spans="1:16" s="131" customFormat="1" ht="15" customHeight="1" outlineLevel="1">
      <c r="B248" s="122"/>
      <c r="C248" s="140"/>
      <c r="D248" s="480"/>
      <c r="E248" s="132"/>
      <c r="F248" s="132"/>
      <c r="G248" s="132"/>
      <c r="H248" s="132"/>
      <c r="I248" s="136"/>
      <c r="J248" s="136"/>
      <c r="K248" s="136"/>
      <c r="L248" s="136"/>
      <c r="M248" s="136"/>
      <c r="P248" s="817"/>
    </row>
    <row r="249" spans="1:16" s="131" customFormat="1" ht="15" customHeight="1" outlineLevel="1">
      <c r="B249" s="370" t="s">
        <v>200</v>
      </c>
      <c r="C249" s="140"/>
      <c r="D249" s="132"/>
      <c r="E249" s="132"/>
      <c r="F249" s="132"/>
      <c r="G249" s="132"/>
      <c r="H249" s="132"/>
      <c r="I249" s="136"/>
      <c r="J249" s="136"/>
      <c r="K249" s="136"/>
      <c r="L249" s="136"/>
      <c r="M249" s="136"/>
      <c r="O249" s="377"/>
      <c r="P249" s="817"/>
    </row>
    <row r="250" spans="1:16" s="131" customFormat="1" ht="15" customHeight="1" outlineLevel="1">
      <c r="B250" s="376" t="s">
        <v>177</v>
      </c>
      <c r="C250" s="140"/>
      <c r="D250" s="132"/>
      <c r="E250" s="132"/>
      <c r="F250" s="132"/>
      <c r="G250" s="132"/>
      <c r="H250" s="126"/>
      <c r="I250" s="126">
        <f>I242</f>
        <v>13061.502962850012</v>
      </c>
      <c r="J250" s="126">
        <f>J242</f>
        <v>12772.844957366317</v>
      </c>
      <c r="K250" s="126">
        <f>K242</f>
        <v>12460.475897114535</v>
      </c>
      <c r="L250" s="126">
        <f>L242</f>
        <v>12060.61117908694</v>
      </c>
      <c r="M250" s="126">
        <f>M242</f>
        <v>11328.887463014515</v>
      </c>
      <c r="N250" s="126"/>
      <c r="O250" s="377"/>
      <c r="P250" s="817"/>
    </row>
    <row r="251" spans="1:16" s="131" customFormat="1" ht="15" customHeight="1" outlineLevel="1">
      <c r="B251" s="376" t="s">
        <v>199</v>
      </c>
      <c r="C251" s="140"/>
      <c r="D251" s="132"/>
      <c r="E251" s="132"/>
      <c r="F251" s="132"/>
      <c r="G251" s="132"/>
      <c r="H251" s="469"/>
      <c r="I251" s="461">
        <f>I200</f>
        <v>4177.125</v>
      </c>
      <c r="J251" s="461">
        <f t="shared" ref="J251:M251" si="68">J200</f>
        <v>4408.375</v>
      </c>
      <c r="K251" s="461">
        <f t="shared" si="68"/>
        <v>4647.125</v>
      </c>
      <c r="L251" s="461">
        <f t="shared" si="68"/>
        <v>4893.375</v>
      </c>
      <c r="M251" s="461">
        <f t="shared" si="68"/>
        <v>5146.5</v>
      </c>
      <c r="N251" s="126"/>
      <c r="O251" s="98"/>
      <c r="P251" s="800">
        <f>'Model-R'!S251</f>
        <v>1</v>
      </c>
    </row>
    <row r="252" spans="1:16" s="131" customFormat="1" ht="15" customHeight="1" outlineLevel="1">
      <c r="B252" s="376" t="s">
        <v>198</v>
      </c>
      <c r="C252" s="140"/>
      <c r="D252" s="132"/>
      <c r="E252" s="132"/>
      <c r="F252" s="132"/>
      <c r="G252" s="132"/>
      <c r="H252" s="469"/>
      <c r="I252" s="479">
        <f>I229</f>
        <v>-6222.9</v>
      </c>
      <c r="J252" s="479">
        <f t="shared" ref="J252:M252" si="69">J229</f>
        <v>-5983.2149999999992</v>
      </c>
      <c r="K252" s="479">
        <f t="shared" si="69"/>
        <v>-5801.9827500000001</v>
      </c>
      <c r="L252" s="479">
        <f t="shared" si="69"/>
        <v>-5670.4353375000001</v>
      </c>
      <c r="M252" s="479">
        <f t="shared" si="69"/>
        <v>-5579.2450368749996</v>
      </c>
      <c r="N252" s="126"/>
      <c r="O252" s="98"/>
      <c r="P252" s="800">
        <f>'Model-R'!S252</f>
        <v>1</v>
      </c>
    </row>
    <row r="253" spans="1:16" s="131" customFormat="1" ht="15" customHeight="1" outlineLevel="1">
      <c r="B253" s="376" t="s">
        <v>205</v>
      </c>
      <c r="C253" s="140"/>
      <c r="D253" s="132"/>
      <c r="E253" s="132"/>
      <c r="F253" s="132"/>
      <c r="G253" s="132"/>
      <c r="H253" s="126"/>
      <c r="I253" s="126">
        <f>SUM(I250:I252)</f>
        <v>11015.727962850013</v>
      </c>
      <c r="J253" s="126">
        <f>SUM(J250:J252)</f>
        <v>11198.004957366316</v>
      </c>
      <c r="K253" s="126">
        <f>SUM(K250:K252)</f>
        <v>11305.618147114536</v>
      </c>
      <c r="L253" s="126">
        <f>SUM(L250:L252)</f>
        <v>11283.550841586941</v>
      </c>
      <c r="M253" s="126">
        <f>SUM(M250:M252)</f>
        <v>10896.142426139515</v>
      </c>
      <c r="N253" s="126"/>
      <c r="O253" s="377"/>
      <c r="P253" s="817"/>
    </row>
    <row r="254" spans="1:16" s="131" customFormat="1" ht="15" customHeight="1" outlineLevel="1">
      <c r="B254" s="122"/>
      <c r="C254" s="140"/>
      <c r="D254" s="132"/>
      <c r="E254" s="132"/>
      <c r="F254" s="132"/>
      <c r="G254" s="132"/>
      <c r="H254" s="469"/>
      <c r="I254" s="126"/>
      <c r="J254" s="126"/>
      <c r="K254" s="126"/>
      <c r="L254" s="126"/>
      <c r="M254" s="126"/>
      <c r="N254" s="126"/>
      <c r="O254" s="98"/>
      <c r="P254" s="817"/>
    </row>
    <row r="255" spans="1:16" s="131" customFormat="1" ht="15" customHeight="1" outlineLevel="1">
      <c r="B255" s="478" t="s">
        <v>197</v>
      </c>
      <c r="C255" s="140"/>
      <c r="D255" s="132"/>
      <c r="E255" s="132"/>
      <c r="F255" s="132"/>
      <c r="G255" s="132"/>
      <c r="H255" s="469"/>
      <c r="I255" s="126"/>
      <c r="J255" s="126"/>
      <c r="K255" s="126"/>
      <c r="L255" s="126"/>
      <c r="M255" s="126"/>
      <c r="N255" s="126"/>
      <c r="O255" s="98"/>
      <c r="P255" s="817"/>
    </row>
    <row r="256" spans="1:16" s="131" customFormat="1" ht="15" customHeight="1" outlineLevel="1">
      <c r="B256" s="376" t="s">
        <v>205</v>
      </c>
      <c r="C256" s="140"/>
      <c r="D256" s="132"/>
      <c r="E256" s="132"/>
      <c r="F256" s="132"/>
      <c r="G256" s="132"/>
      <c r="H256" s="126"/>
      <c r="I256" s="126">
        <f>I253</f>
        <v>11015.727962850013</v>
      </c>
      <c r="J256" s="126">
        <f>J253</f>
        <v>11198.004957366316</v>
      </c>
      <c r="K256" s="126">
        <f>K253</f>
        <v>11305.618147114536</v>
      </c>
      <c r="L256" s="126">
        <f>L253</f>
        <v>11283.550841586941</v>
      </c>
      <c r="M256" s="126">
        <f>M253</f>
        <v>10896.142426139515</v>
      </c>
      <c r="N256" s="126"/>
      <c r="O256" s="98"/>
      <c r="P256" s="817"/>
    </row>
    <row r="257" spans="2:16" s="131" customFormat="1" ht="15" customHeight="1" outlineLevel="1">
      <c r="B257" s="477" t="s">
        <v>195</v>
      </c>
      <c r="C257" s="140"/>
      <c r="D257" s="132"/>
      <c r="E257" s="132"/>
      <c r="F257" s="132"/>
      <c r="G257" s="132"/>
      <c r="H257" s="469"/>
      <c r="I257" s="389">
        <f>I263</f>
        <v>-11015.727962850013</v>
      </c>
      <c r="J257" s="389">
        <f>J263</f>
        <v>-11198.004957366316</v>
      </c>
      <c r="K257" s="389">
        <f>K263</f>
        <v>-1914.2670797836709</v>
      </c>
      <c r="L257" s="389">
        <f>L263</f>
        <v>0</v>
      </c>
      <c r="M257" s="389">
        <f>M263</f>
        <v>0</v>
      </c>
      <c r="N257" s="126"/>
      <c r="O257" s="98"/>
      <c r="P257" s="817"/>
    </row>
    <row r="258" spans="2:16" s="131" customFormat="1" ht="15" customHeight="1" outlineLevel="1">
      <c r="B258" s="376" t="s">
        <v>194</v>
      </c>
      <c r="C258" s="140"/>
      <c r="D258" s="132"/>
      <c r="E258" s="132"/>
      <c r="F258" s="132"/>
      <c r="G258" s="132"/>
      <c r="H258" s="469"/>
      <c r="I258" s="126">
        <f xml:space="preserve"> MAX(SUM(I256:I257),0)</f>
        <v>0</v>
      </c>
      <c r="J258" s="126">
        <f xml:space="preserve"> MAX(SUM(J256:J257),0)</f>
        <v>0</v>
      </c>
      <c r="K258" s="126">
        <f xml:space="preserve"> MAX(SUM(K256:K257),0)</f>
        <v>9391.3510673308647</v>
      </c>
      <c r="L258" s="126">
        <f xml:space="preserve"> MAX(SUM(L256:L257),0)</f>
        <v>11283.550841586941</v>
      </c>
      <c r="M258" s="126">
        <f xml:space="preserve"> MAX(SUM(M256:M257),0)</f>
        <v>10896.142426139515</v>
      </c>
      <c r="N258" s="126"/>
      <c r="O258" s="377"/>
      <c r="P258" s="817"/>
    </row>
    <row r="259" spans="2:16" s="131" customFormat="1" ht="15" customHeight="1" outlineLevel="1">
      <c r="B259" s="122"/>
      <c r="C259" s="140"/>
      <c r="D259" s="132"/>
      <c r="E259" s="132"/>
      <c r="F259" s="132"/>
      <c r="G259" s="132"/>
      <c r="H259" s="469"/>
      <c r="I259" s="469"/>
      <c r="J259" s="469"/>
      <c r="K259" s="469"/>
      <c r="L259" s="469"/>
      <c r="M259" s="469"/>
      <c r="N259" s="469"/>
      <c r="O259" s="377"/>
      <c r="P259" s="817"/>
    </row>
    <row r="260" spans="2:16" s="131" customFormat="1" ht="15" customHeight="1" outlineLevel="1">
      <c r="B260" s="478" t="s">
        <v>193</v>
      </c>
      <c r="C260" s="140"/>
      <c r="D260" s="132"/>
      <c r="E260" s="132"/>
      <c r="F260" s="132"/>
      <c r="G260" s="132"/>
      <c r="H260" s="469"/>
      <c r="I260" s="469"/>
      <c r="J260" s="469"/>
      <c r="K260" s="469"/>
      <c r="L260" s="469"/>
      <c r="M260" s="469"/>
      <c r="N260" s="469"/>
      <c r="O260" s="377"/>
      <c r="P260" s="817"/>
    </row>
    <row r="261" spans="2:16" s="131" customFormat="1" ht="15" customHeight="1" outlineLevel="1">
      <c r="B261" s="376" t="s">
        <v>192</v>
      </c>
      <c r="C261" s="140"/>
      <c r="D261" s="132"/>
      <c r="E261" s="132"/>
      <c r="F261" s="132"/>
      <c r="G261" s="132"/>
      <c r="H261" s="469"/>
      <c r="I261" s="126">
        <f>H264</f>
        <v>24128</v>
      </c>
      <c r="J261" s="126">
        <f>I264</f>
        <v>13112.272037149987</v>
      </c>
      <c r="K261" s="126">
        <f>J264</f>
        <v>1914.2670797836709</v>
      </c>
      <c r="L261" s="126">
        <f>K264</f>
        <v>0</v>
      </c>
      <c r="M261" s="126">
        <f>L264</f>
        <v>0</v>
      </c>
      <c r="N261" s="126"/>
      <c r="O261" s="377"/>
      <c r="P261" s="817"/>
    </row>
    <row r="262" spans="2:16" s="131" customFormat="1" ht="15" customHeight="1" outlineLevel="1">
      <c r="B262" s="376" t="s">
        <v>191</v>
      </c>
      <c r="C262" s="140"/>
      <c r="D262" s="132"/>
      <c r="E262" s="132"/>
      <c r="F262" s="132"/>
      <c r="G262" s="132"/>
      <c r="H262" s="469"/>
      <c r="I262" s="126">
        <f>-MIN(I250,0)</f>
        <v>0</v>
      </c>
      <c r="J262" s="126">
        <f>-MIN(J250,0)</f>
        <v>0</v>
      </c>
      <c r="K262" s="126">
        <f>-MIN(K250,0)</f>
        <v>0</v>
      </c>
      <c r="L262" s="126">
        <f>-MIN(L250,0)</f>
        <v>0</v>
      </c>
      <c r="M262" s="126">
        <f>-MIN(M250,0)</f>
        <v>0</v>
      </c>
      <c r="N262" s="126"/>
      <c r="O262" s="377"/>
      <c r="P262" s="817"/>
    </row>
    <row r="263" spans="2:16" s="131" customFormat="1" ht="15" customHeight="1" outlineLevel="1">
      <c r="B263" s="477" t="s">
        <v>190</v>
      </c>
      <c r="C263" s="140"/>
      <c r="D263" s="132"/>
      <c r="E263" s="132"/>
      <c r="F263" s="132"/>
      <c r="G263" s="132"/>
      <c r="H263" s="476"/>
      <c r="I263" s="389">
        <f>-MIN(I261,I256)*I243</f>
        <v>-11015.727962850013</v>
      </c>
      <c r="J263" s="389">
        <f>-MIN(J261,J256)*J243</f>
        <v>-11198.004957366316</v>
      </c>
      <c r="K263" s="389">
        <f>-MIN(K261,K256)*K243</f>
        <v>-1914.2670797836709</v>
      </c>
      <c r="L263" s="389">
        <f>-MIN(L261,L256)*L243</f>
        <v>0</v>
      </c>
      <c r="M263" s="389">
        <f>-MIN(M261,M256)*M243</f>
        <v>0</v>
      </c>
      <c r="N263" s="126"/>
      <c r="O263" s="377"/>
      <c r="P263" s="817"/>
    </row>
    <row r="264" spans="2:16" s="131" customFormat="1" ht="15" customHeight="1" outlineLevel="1">
      <c r="B264" s="376" t="s">
        <v>189</v>
      </c>
      <c r="C264" s="140"/>
      <c r="E264" s="132"/>
      <c r="F264" s="132"/>
      <c r="G264" s="132"/>
      <c r="H264" s="494">
        <f>Inputs!$L$97</f>
        <v>24128</v>
      </c>
      <c r="I264" s="126">
        <f>SUM(I261:I263)</f>
        <v>13112.272037149987</v>
      </c>
      <c r="J264" s="126">
        <f>SUM(J261:J263)</f>
        <v>1914.2670797836709</v>
      </c>
      <c r="K264" s="126">
        <f>SUM(K261:K263)</f>
        <v>0</v>
      </c>
      <c r="L264" s="126">
        <f>SUM(L261:L263)</f>
        <v>0</v>
      </c>
      <c r="M264" s="126">
        <f>SUM(M261:M263)</f>
        <v>0</v>
      </c>
      <c r="N264" s="126"/>
      <c r="O264" s="98"/>
      <c r="P264" s="817"/>
    </row>
    <row r="265" spans="2:16" s="131" customFormat="1" ht="15" customHeight="1" outlineLevel="1">
      <c r="B265" s="122"/>
      <c r="C265" s="140"/>
      <c r="D265" s="132"/>
      <c r="E265" s="132"/>
      <c r="F265" s="132"/>
      <c r="G265" s="132"/>
      <c r="H265" s="469"/>
      <c r="I265" s="469"/>
      <c r="J265" s="469"/>
      <c r="K265" s="469"/>
      <c r="L265" s="469"/>
      <c r="M265" s="469"/>
      <c r="N265" s="469"/>
      <c r="O265" s="377"/>
      <c r="P265" s="817"/>
    </row>
    <row r="266" spans="2:16" s="131" customFormat="1" ht="15" customHeight="1" outlineLevel="1">
      <c r="B266" s="475"/>
      <c r="C266" s="474"/>
      <c r="D266" s="473"/>
      <c r="E266" s="473"/>
      <c r="F266" s="473"/>
      <c r="G266" s="473"/>
      <c r="H266" s="251"/>
      <c r="I266" s="251"/>
      <c r="J266" s="251"/>
      <c r="K266" s="251"/>
      <c r="L266" s="251"/>
      <c r="M266" s="251"/>
      <c r="N266" s="295"/>
      <c r="O266" s="377"/>
      <c r="P266" s="817"/>
    </row>
    <row r="267" spans="2:16" s="131" customFormat="1" ht="15" customHeight="1" outlineLevel="1">
      <c r="B267" s="122"/>
      <c r="C267" s="140"/>
      <c r="D267" s="132"/>
      <c r="E267" s="132"/>
      <c r="F267" s="132"/>
      <c r="G267" s="132"/>
      <c r="H267" s="469"/>
      <c r="I267" s="469"/>
      <c r="J267" s="469"/>
      <c r="K267" s="469"/>
      <c r="L267" s="469"/>
      <c r="M267" s="469"/>
      <c r="N267" s="469"/>
      <c r="O267" s="377"/>
      <c r="P267" s="817"/>
    </row>
    <row r="268" spans="2:16" s="131" customFormat="1" ht="15" customHeight="1" outlineLevel="1">
      <c r="B268" s="370" t="s">
        <v>188</v>
      </c>
      <c r="C268" s="140"/>
      <c r="D268" s="132"/>
      <c r="E268" s="132"/>
      <c r="F268" s="132"/>
      <c r="G268" s="132"/>
      <c r="H268" s="469"/>
      <c r="I268" s="469"/>
      <c r="J268" s="469"/>
      <c r="K268" s="469"/>
      <c r="L268" s="469"/>
      <c r="M268" s="469"/>
      <c r="N268" s="469"/>
      <c r="O268" s="377"/>
      <c r="P268" s="817"/>
    </row>
    <row r="269" spans="2:16" s="131" customFormat="1" ht="15" customHeight="1" outlineLevel="1">
      <c r="B269" s="376" t="s">
        <v>174</v>
      </c>
      <c r="C269" s="140"/>
      <c r="D269" s="132"/>
      <c r="E269" s="132"/>
      <c r="F269" s="252"/>
      <c r="G269" s="252"/>
      <c r="H269" s="126"/>
      <c r="I269" s="126">
        <f>$D$245*I258</f>
        <v>0</v>
      </c>
      <c r="J269" s="126">
        <f>$D$245*J258</f>
        <v>0</v>
      </c>
      <c r="K269" s="126">
        <f>$D$245*K258</f>
        <v>2817.4053201992592</v>
      </c>
      <c r="L269" s="126">
        <f>$D$245*L258</f>
        <v>3385.0652524760822</v>
      </c>
      <c r="M269" s="126">
        <f>$D$245*M258</f>
        <v>3268.8427278418544</v>
      </c>
      <c r="N269" s="126"/>
      <c r="P269" s="817"/>
    </row>
    <row r="270" spans="2:16" s="131" customFormat="1" ht="15" customHeight="1" outlineLevel="1">
      <c r="B270" s="376" t="s">
        <v>187</v>
      </c>
      <c r="C270" s="140"/>
      <c r="D270" s="132"/>
      <c r="E270" s="132"/>
      <c r="F270" s="132"/>
      <c r="G270" s="132"/>
      <c r="H270" s="469"/>
      <c r="I270" s="126">
        <f>I271-I269</f>
        <v>3918.4508888550035</v>
      </c>
      <c r="J270" s="126">
        <f>J271-J269</f>
        <v>3831.8534872098949</v>
      </c>
      <c r="K270" s="126">
        <f>K271-K269</f>
        <v>920.73744893510093</v>
      </c>
      <c r="L270" s="126">
        <f>L271-L269</f>
        <v>233.11810124999965</v>
      </c>
      <c r="M270" s="126">
        <f>M271-M269</f>
        <v>129.82351106250007</v>
      </c>
      <c r="N270" s="126"/>
      <c r="P270" s="817"/>
    </row>
    <row r="271" spans="2:16" s="131" customFormat="1" ht="15" customHeight="1" outlineLevel="1" thickBot="1">
      <c r="B271" s="376" t="s">
        <v>186</v>
      </c>
      <c r="C271" s="140"/>
      <c r="D271" s="717" t="str">
        <f>'Model-R'!S271</f>
        <v>COMPLETE</v>
      </c>
      <c r="E271" s="132"/>
      <c r="F271" s="132"/>
      <c r="G271" s="132"/>
      <c r="H271" s="469"/>
      <c r="I271" s="472">
        <f>MAX($D$245*I250,0)</f>
        <v>3918.4508888550035</v>
      </c>
      <c r="J271" s="472">
        <f>MAX($D$245*J250,0)</f>
        <v>3831.8534872098949</v>
      </c>
      <c r="K271" s="472">
        <f>MAX($D$245*K250,0)</f>
        <v>3738.1427691343602</v>
      </c>
      <c r="L271" s="472">
        <f>MAX($D$245*L250,0)</f>
        <v>3618.1833537260818</v>
      </c>
      <c r="M271" s="472">
        <f>MAX($D$245*M250,0)</f>
        <v>3398.6662389043545</v>
      </c>
      <c r="N271" s="126"/>
      <c r="P271" s="817"/>
    </row>
    <row r="272" spans="2:16" s="131" customFormat="1" ht="15" customHeight="1" outlineLevel="1">
      <c r="B272" s="122"/>
      <c r="C272" s="140"/>
      <c r="D272" s="132"/>
      <c r="E272" s="132"/>
      <c r="F272" s="132"/>
      <c r="G272" s="132"/>
      <c r="H272" s="132"/>
      <c r="I272" s="136"/>
      <c r="J272" s="136"/>
      <c r="K272" s="136"/>
      <c r="L272" s="136"/>
      <c r="M272" s="136"/>
      <c r="O272" s="98"/>
      <c r="P272" s="817"/>
    </row>
    <row r="273" spans="1:16" s="102" customFormat="1" ht="15" customHeight="1" outlineLevel="1">
      <c r="B273" s="493"/>
      <c r="C273" s="493"/>
      <c r="D273" s="230"/>
      <c r="E273" s="230"/>
      <c r="F273" s="377"/>
      <c r="G273" s="377"/>
      <c r="H273" s="377"/>
      <c r="I273" s="492"/>
      <c r="J273" s="492"/>
      <c r="K273" s="492"/>
      <c r="L273" s="492"/>
      <c r="M273" s="491"/>
      <c r="N273" s="491"/>
      <c r="O273" s="37"/>
    </row>
    <row r="274" spans="1:16" s="131" customFormat="1" ht="15" customHeight="1" outlineLevel="1">
      <c r="C274" s="140"/>
      <c r="D274" s="132"/>
      <c r="E274" s="132"/>
      <c r="F274" s="132"/>
      <c r="G274" s="132"/>
      <c r="H274" s="132"/>
      <c r="I274" s="136"/>
      <c r="J274" s="136"/>
      <c r="K274" s="136"/>
      <c r="L274" s="136"/>
      <c r="M274" s="38" t="s">
        <v>185</v>
      </c>
      <c r="O274" s="98"/>
    </row>
    <row r="275" spans="1:16" s="131" customFormat="1" ht="15" customHeight="1" outlineLevel="1">
      <c r="C275" s="140"/>
      <c r="D275" s="132"/>
      <c r="E275" s="132"/>
      <c r="F275" s="132"/>
      <c r="G275" s="132"/>
      <c r="H275" s="132"/>
      <c r="I275" s="136"/>
      <c r="J275" s="136"/>
      <c r="K275" s="136"/>
      <c r="L275" s="136"/>
      <c r="M275" s="358" t="s">
        <v>184</v>
      </c>
      <c r="O275" s="98"/>
    </row>
    <row r="276" spans="1:16" s="131" customFormat="1" ht="15" customHeight="1" outlineLevel="1">
      <c r="C276" s="140"/>
      <c r="D276" s="132"/>
      <c r="E276" s="132"/>
      <c r="F276" s="132"/>
      <c r="G276" s="132"/>
      <c r="H276" s="132"/>
      <c r="I276" s="136"/>
      <c r="J276" s="136"/>
      <c r="K276" s="136"/>
      <c r="L276" s="136"/>
      <c r="M276" s="471"/>
      <c r="O276" s="98"/>
    </row>
    <row r="277" spans="1:16" s="131" customFormat="1" ht="15" customHeight="1" outlineLevel="1">
      <c r="B277" s="357"/>
      <c r="C277" s="240"/>
      <c r="D277" s="356"/>
      <c r="E277" s="356"/>
      <c r="F277" s="356"/>
      <c r="G277" s="356"/>
      <c r="H277" s="356"/>
      <c r="I277" s="355"/>
      <c r="J277" s="355"/>
      <c r="K277" s="355"/>
      <c r="L277" s="355"/>
      <c r="M277" s="355"/>
      <c r="N277" s="355"/>
      <c r="O277" s="377"/>
    </row>
    <row r="278" spans="1:16" s="131" customFormat="1" ht="15" customHeight="1">
      <c r="B278" s="122"/>
      <c r="C278" s="140"/>
      <c r="D278" s="132"/>
      <c r="E278" s="132"/>
      <c r="F278" s="132"/>
      <c r="G278" s="132"/>
      <c r="H278" s="132"/>
      <c r="I278" s="136"/>
      <c r="J278" s="136"/>
      <c r="K278" s="136"/>
      <c r="L278" s="136"/>
      <c r="M278" s="136"/>
      <c r="N278" s="136"/>
      <c r="O278" s="377"/>
    </row>
    <row r="279" spans="1:16" s="131" customFormat="1" ht="15" customHeight="1">
      <c r="A279" s="131" t="s">
        <v>0</v>
      </c>
      <c r="B279" s="144" t="s">
        <v>204</v>
      </c>
      <c r="C279" s="143"/>
      <c r="D279" s="429"/>
      <c r="E279" s="429"/>
      <c r="F279" s="141"/>
      <c r="G279" s="141"/>
      <c r="H279" s="141"/>
      <c r="I279" s="428"/>
      <c r="J279" s="427"/>
      <c r="K279" s="427"/>
      <c r="L279" s="427"/>
      <c r="M279" s="427"/>
      <c r="N279" s="447"/>
      <c r="O279" s="377"/>
    </row>
    <row r="280" spans="1:16" s="131" customFormat="1" ht="15" customHeight="1" outlineLevel="1">
      <c r="B280" s="304"/>
      <c r="C280" s="140"/>
      <c r="D280" s="139"/>
      <c r="E280" s="139"/>
      <c r="F280" s="138"/>
      <c r="G280" s="138"/>
      <c r="H280" s="138"/>
      <c r="I280" s="138"/>
      <c r="J280" s="138"/>
      <c r="K280" s="138"/>
      <c r="L280" s="138"/>
      <c r="M280" s="138"/>
      <c r="O280" s="401"/>
    </row>
    <row r="281" spans="1:16" s="131" customFormat="1" ht="15" customHeight="1" outlineLevel="1" thickBot="1">
      <c r="B281" s="122" t="s">
        <v>40</v>
      </c>
      <c r="C281" s="140"/>
      <c r="D281" s="132"/>
      <c r="E281" s="132"/>
      <c r="F281" s="132"/>
      <c r="G281" s="132"/>
      <c r="H281" s="490">
        <f t="shared" ref="H281:M281" si="70">H$5</f>
        <v>2022</v>
      </c>
      <c r="I281" s="354">
        <f t="shared" si="70"/>
        <v>2023</v>
      </c>
      <c r="J281" s="354">
        <f t="shared" si="70"/>
        <v>2024</v>
      </c>
      <c r="K281" s="354">
        <f t="shared" si="70"/>
        <v>2025</v>
      </c>
      <c r="L281" s="354">
        <f t="shared" si="70"/>
        <v>2026</v>
      </c>
      <c r="M281" s="354">
        <f t="shared" si="70"/>
        <v>2027</v>
      </c>
      <c r="N281" s="136"/>
      <c r="O281" s="377"/>
    </row>
    <row r="282" spans="1:16" ht="15" customHeight="1" outlineLevel="1">
      <c r="A282" s="102"/>
      <c r="B282" s="122" t="str">
        <f>$B$6</f>
        <v>Model Running: Base Case Drivers</v>
      </c>
      <c r="C282" s="140"/>
      <c r="D282" s="132"/>
      <c r="E282" s="132"/>
      <c r="F282" s="132"/>
      <c r="G282" s="132"/>
      <c r="H282" s="132"/>
      <c r="I282" s="136"/>
      <c r="J282" s="136"/>
      <c r="K282" s="136"/>
      <c r="L282" s="136"/>
      <c r="M282" s="136"/>
      <c r="N282" s="136"/>
    </row>
    <row r="283" spans="1:16" s="131" customFormat="1" ht="15" customHeight="1" outlineLevel="1">
      <c r="B283" s="122"/>
      <c r="C283" s="140"/>
      <c r="D283" s="132"/>
      <c r="E283" s="132"/>
      <c r="F283" s="132"/>
      <c r="G283" s="132"/>
      <c r="H283" s="132"/>
      <c r="I283" s="136"/>
      <c r="J283" s="136"/>
      <c r="K283" s="136"/>
      <c r="L283" s="136"/>
      <c r="M283" s="136"/>
      <c r="O283" s="377"/>
    </row>
    <row r="284" spans="1:16" s="131" customFormat="1" ht="15" customHeight="1" outlineLevel="1">
      <c r="B284" s="274" t="s">
        <v>203</v>
      </c>
      <c r="C284" s="140"/>
      <c r="D284" s="132"/>
      <c r="E284" s="132"/>
      <c r="F284" s="252"/>
      <c r="G284" s="252"/>
      <c r="H284" s="126"/>
      <c r="I284" s="489">
        <f>I114</f>
        <v>15581.502962850012</v>
      </c>
      <c r="J284" s="436">
        <f t="shared" ref="J284:M284" si="71">J114</f>
        <v>15292.844957366317</v>
      </c>
      <c r="K284" s="436">
        <f t="shared" si="71"/>
        <v>14980.475897114535</v>
      </c>
      <c r="L284" s="436">
        <f t="shared" si="71"/>
        <v>14580.61117908694</v>
      </c>
      <c r="M284" s="381">
        <f t="shared" si="71"/>
        <v>13848.887463014515</v>
      </c>
      <c r="N284" s="126"/>
      <c r="O284" s="98"/>
      <c r="P284" s="800">
        <f>'Model-R'!S284</f>
        <v>1</v>
      </c>
    </row>
    <row r="285" spans="1:16" s="131" customFormat="1" ht="15" customHeight="1" outlineLevel="1">
      <c r="B285" s="274" t="s">
        <v>202</v>
      </c>
      <c r="C285" s="140"/>
      <c r="D285" s="132"/>
      <c r="E285" s="132"/>
      <c r="F285" s="132"/>
      <c r="G285" s="132"/>
      <c r="H285" s="132"/>
      <c r="I285" s="488">
        <f>IF(I295&gt;0,1,0)</f>
        <v>1</v>
      </c>
      <c r="J285" s="487">
        <f>IF(J295&gt;0,1,0)</f>
        <v>1</v>
      </c>
      <c r="K285" s="487">
        <f>IF(K295&gt;0,1,0)</f>
        <v>1</v>
      </c>
      <c r="L285" s="487">
        <f>IF(L295&gt;0,1,0)</f>
        <v>1</v>
      </c>
      <c r="M285" s="486">
        <f>IF(M295&gt;0,1,0)</f>
        <v>1</v>
      </c>
      <c r="N285" s="485"/>
      <c r="O285" s="98"/>
      <c r="P285" s="817"/>
    </row>
    <row r="286" spans="1:16" s="131" customFormat="1" ht="15" customHeight="1" outlineLevel="1">
      <c r="B286" s="122"/>
      <c r="C286" s="140"/>
      <c r="D286" s="132"/>
      <c r="E286" s="132"/>
      <c r="F286" s="132"/>
      <c r="G286" s="132"/>
      <c r="H286" s="132"/>
      <c r="I286" s="136"/>
      <c r="J286" s="136"/>
      <c r="K286" s="136"/>
      <c r="L286" s="136"/>
      <c r="M286" s="136"/>
      <c r="O286" s="98"/>
      <c r="P286" s="817"/>
    </row>
    <row r="287" spans="1:16" s="131" customFormat="1" ht="15" customHeight="1" outlineLevel="1">
      <c r="B287" s="468" t="s">
        <v>87</v>
      </c>
      <c r="C287" s="484"/>
      <c r="D287" s="483">
        <f>$C$101</f>
        <v>0.3</v>
      </c>
      <c r="E287" s="132"/>
      <c r="F287" s="132"/>
      <c r="G287" s="132"/>
      <c r="H287" s="132"/>
      <c r="I287" s="136"/>
      <c r="J287" s="136"/>
      <c r="K287" s="136"/>
      <c r="L287" s="136"/>
      <c r="M287" s="136"/>
      <c r="O287" s="98"/>
      <c r="P287" s="817"/>
    </row>
    <row r="288" spans="1:16" ht="15" customHeight="1" outlineLevel="1">
      <c r="A288" s="131"/>
      <c r="B288" s="482" t="s">
        <v>201</v>
      </c>
      <c r="C288" s="240"/>
      <c r="D288" s="481">
        <f>IF(M306=0,0,1)</f>
        <v>0</v>
      </c>
      <c r="E288" s="132"/>
      <c r="F288" s="126"/>
      <c r="G288" s="126"/>
      <c r="H288" s="126"/>
      <c r="I288" s="126"/>
      <c r="J288" s="126"/>
      <c r="K288" s="126"/>
      <c r="L288" s="126"/>
      <c r="O288" s="98"/>
      <c r="P288" s="799"/>
    </row>
    <row r="289" spans="2:16" s="131" customFormat="1" ht="15" customHeight="1" outlineLevel="1">
      <c r="B289" s="122"/>
      <c r="C289" s="140"/>
      <c r="D289" s="480"/>
      <c r="E289" s="132"/>
      <c r="F289" s="132"/>
      <c r="G289" s="132"/>
      <c r="H289" s="132"/>
      <c r="I289" s="136"/>
      <c r="J289" s="136"/>
      <c r="K289" s="136"/>
      <c r="L289" s="136"/>
      <c r="M289" s="136"/>
      <c r="P289" s="817"/>
    </row>
    <row r="290" spans="2:16" s="131" customFormat="1" ht="15" customHeight="1" outlineLevel="1">
      <c r="B290" s="122"/>
      <c r="C290" s="140"/>
      <c r="D290" s="480"/>
      <c r="E290" s="132"/>
      <c r="F290" s="132"/>
      <c r="G290" s="132"/>
      <c r="H290" s="132"/>
      <c r="I290" s="136"/>
      <c r="J290" s="136"/>
      <c r="K290" s="136"/>
      <c r="L290" s="136"/>
      <c r="M290" s="136"/>
      <c r="P290" s="817"/>
    </row>
    <row r="291" spans="2:16" s="131" customFormat="1" ht="15" customHeight="1" outlineLevel="1">
      <c r="B291" s="370" t="s">
        <v>200</v>
      </c>
      <c r="C291" s="140"/>
      <c r="D291" s="132"/>
      <c r="E291" s="132"/>
      <c r="F291" s="132"/>
      <c r="G291" s="132"/>
      <c r="H291" s="469"/>
      <c r="I291" s="469"/>
      <c r="J291" s="469"/>
      <c r="K291" s="469"/>
      <c r="L291" s="469"/>
      <c r="M291" s="469"/>
      <c r="O291" s="377"/>
      <c r="P291" s="817"/>
    </row>
    <row r="292" spans="2:16" s="131" customFormat="1" ht="15" customHeight="1" outlineLevel="1">
      <c r="B292" s="376" t="s">
        <v>179</v>
      </c>
      <c r="C292" s="140"/>
      <c r="D292" s="132"/>
      <c r="E292" s="132"/>
      <c r="F292" s="252"/>
      <c r="G292" s="252"/>
      <c r="H292" s="126"/>
      <c r="I292" s="126">
        <f>I284</f>
        <v>15581.502962850012</v>
      </c>
      <c r="J292" s="126">
        <f>J284</f>
        <v>15292.844957366317</v>
      </c>
      <c r="K292" s="126">
        <f>K284</f>
        <v>14980.475897114535</v>
      </c>
      <c r="L292" s="126">
        <f>L284</f>
        <v>14580.61117908694</v>
      </c>
      <c r="M292" s="126">
        <f>M284</f>
        <v>13848.887463014515</v>
      </c>
      <c r="N292" s="126"/>
      <c r="O292" s="377"/>
      <c r="P292" s="817"/>
    </row>
    <row r="293" spans="2:16" s="131" customFormat="1" ht="15" customHeight="1" outlineLevel="1">
      <c r="B293" s="376" t="s">
        <v>199</v>
      </c>
      <c r="C293" s="140"/>
      <c r="D293" s="132"/>
      <c r="E293" s="132"/>
      <c r="F293" s="132"/>
      <c r="G293" s="132"/>
      <c r="H293" s="469"/>
      <c r="I293" s="461">
        <f>-I222</f>
        <v>4177.125</v>
      </c>
      <c r="J293" s="461">
        <f t="shared" ref="J293:M293" si="72">-J222</f>
        <v>4408.375</v>
      </c>
      <c r="K293" s="461">
        <f t="shared" si="72"/>
        <v>4647.125</v>
      </c>
      <c r="L293" s="461">
        <f t="shared" si="72"/>
        <v>4893.375</v>
      </c>
      <c r="M293" s="461">
        <f t="shared" si="72"/>
        <v>5146.5</v>
      </c>
      <c r="N293" s="126"/>
      <c r="O293" s="98"/>
      <c r="P293" s="800">
        <f>'Model-R'!S293</f>
        <v>1</v>
      </c>
    </row>
    <row r="294" spans="2:16" s="131" customFormat="1" ht="15" customHeight="1" outlineLevel="1">
      <c r="B294" s="376" t="s">
        <v>198</v>
      </c>
      <c r="C294" s="140"/>
      <c r="D294" s="132"/>
      <c r="E294" s="132"/>
      <c r="F294" s="132"/>
      <c r="G294" s="132"/>
      <c r="H294" s="469"/>
      <c r="I294" s="479">
        <f>I229</f>
        <v>-6222.9</v>
      </c>
      <c r="J294" s="479">
        <f t="shared" ref="J294:M294" si="73">J229</f>
        <v>-5983.2149999999992</v>
      </c>
      <c r="K294" s="479">
        <f t="shared" si="73"/>
        <v>-5801.9827500000001</v>
      </c>
      <c r="L294" s="479">
        <f t="shared" si="73"/>
        <v>-5670.4353375000001</v>
      </c>
      <c r="M294" s="479">
        <f t="shared" si="73"/>
        <v>-5579.2450368749996</v>
      </c>
      <c r="N294" s="126"/>
      <c r="O294" s="98"/>
      <c r="P294" s="800">
        <f>'Model-R'!S294</f>
        <v>1</v>
      </c>
    </row>
    <row r="295" spans="2:16" s="131" customFormat="1" ht="15" customHeight="1" outlineLevel="1">
      <c r="B295" s="376" t="s">
        <v>196</v>
      </c>
      <c r="C295" s="140"/>
      <c r="D295" s="132"/>
      <c r="E295" s="132"/>
      <c r="F295" s="252"/>
      <c r="G295" s="252"/>
      <c r="H295" s="126"/>
      <c r="I295" s="126">
        <f>SUM(I292:I294)</f>
        <v>13535.727962850013</v>
      </c>
      <c r="J295" s="126">
        <f>SUM(J292:J294)</f>
        <v>13718.004957366316</v>
      </c>
      <c r="K295" s="126">
        <f>SUM(K292:K294)</f>
        <v>13825.618147114536</v>
      </c>
      <c r="L295" s="126">
        <f>SUM(L292:L294)</f>
        <v>13803.550841586941</v>
      </c>
      <c r="M295" s="126">
        <f>SUM(M292:M294)</f>
        <v>13416.142426139515</v>
      </c>
      <c r="N295" s="126"/>
      <c r="O295" s="377"/>
      <c r="P295" s="817"/>
    </row>
    <row r="296" spans="2:16" s="131" customFormat="1" ht="15" customHeight="1" outlineLevel="1">
      <c r="B296" s="122"/>
      <c r="C296" s="140"/>
      <c r="D296" s="132"/>
      <c r="E296" s="132"/>
      <c r="F296" s="132"/>
      <c r="G296" s="132"/>
      <c r="H296" s="469"/>
      <c r="I296" s="126"/>
      <c r="J296" s="126"/>
      <c r="K296" s="126"/>
      <c r="L296" s="126"/>
      <c r="M296" s="126"/>
      <c r="N296" s="126"/>
      <c r="O296" s="98"/>
      <c r="P296" s="817"/>
    </row>
    <row r="297" spans="2:16" s="131" customFormat="1" ht="15" customHeight="1" outlineLevel="1">
      <c r="B297" s="478" t="s">
        <v>197</v>
      </c>
      <c r="C297" s="140"/>
      <c r="D297" s="132"/>
      <c r="E297" s="132"/>
      <c r="F297" s="132"/>
      <c r="G297" s="132"/>
      <c r="H297" s="469"/>
      <c r="I297" s="126"/>
      <c r="J297" s="126"/>
      <c r="K297" s="126"/>
      <c r="L297" s="126"/>
      <c r="M297" s="126"/>
      <c r="N297" s="126"/>
      <c r="O297" s="98"/>
      <c r="P297" s="817"/>
    </row>
    <row r="298" spans="2:16" s="131" customFormat="1" ht="15" customHeight="1" outlineLevel="1">
      <c r="B298" s="376" t="s">
        <v>196</v>
      </c>
      <c r="C298" s="140"/>
      <c r="D298" s="132"/>
      <c r="E298" s="132"/>
      <c r="F298" s="252"/>
      <c r="G298" s="252"/>
      <c r="H298" s="126"/>
      <c r="I298" s="126">
        <f>I295</f>
        <v>13535.727962850013</v>
      </c>
      <c r="J298" s="126">
        <f>J295</f>
        <v>13718.004957366316</v>
      </c>
      <c r="K298" s="126">
        <f>K295</f>
        <v>13825.618147114536</v>
      </c>
      <c r="L298" s="126">
        <f>L295</f>
        <v>13803.550841586941</v>
      </c>
      <c r="M298" s="126">
        <f>M295</f>
        <v>13416.142426139515</v>
      </c>
      <c r="N298" s="126"/>
      <c r="O298" s="98"/>
      <c r="P298" s="817"/>
    </row>
    <row r="299" spans="2:16" s="131" customFormat="1" ht="15" customHeight="1" outlineLevel="1">
      <c r="B299" s="477" t="s">
        <v>195</v>
      </c>
      <c r="C299" s="140"/>
      <c r="D299" s="132"/>
      <c r="E299" s="132"/>
      <c r="F299" s="132"/>
      <c r="G299" s="132"/>
      <c r="H299" s="469"/>
      <c r="I299" s="389">
        <f>I305</f>
        <v>-13535.727962850013</v>
      </c>
      <c r="J299" s="389">
        <f>J305</f>
        <v>-10592.272037149987</v>
      </c>
      <c r="K299" s="389">
        <f>K305</f>
        <v>0</v>
      </c>
      <c r="L299" s="389">
        <f>L305</f>
        <v>0</v>
      </c>
      <c r="M299" s="389">
        <f>M305</f>
        <v>0</v>
      </c>
      <c r="N299" s="126"/>
      <c r="O299" s="98"/>
      <c r="P299" s="817"/>
    </row>
    <row r="300" spans="2:16" s="131" customFormat="1" ht="15" customHeight="1" outlineLevel="1">
      <c r="B300" s="376" t="s">
        <v>194</v>
      </c>
      <c r="C300" s="140"/>
      <c r="D300" s="132"/>
      <c r="E300" s="132"/>
      <c r="F300" s="132"/>
      <c r="G300" s="132"/>
      <c r="H300" s="469"/>
      <c r="I300" s="126">
        <f xml:space="preserve"> MAX(SUM(I298:I299),0)</f>
        <v>0</v>
      </c>
      <c r="J300" s="126">
        <f xml:space="preserve"> MAX(SUM(J298:J299),0)</f>
        <v>3125.7329202163291</v>
      </c>
      <c r="K300" s="126">
        <f xml:space="preserve"> MAX(SUM(K298:K299),0)</f>
        <v>13825.618147114536</v>
      </c>
      <c r="L300" s="126">
        <f xml:space="preserve"> MAX(SUM(L298:L299),0)</f>
        <v>13803.550841586941</v>
      </c>
      <c r="M300" s="126">
        <f xml:space="preserve"> MAX(SUM(M298:M299),0)</f>
        <v>13416.142426139515</v>
      </c>
      <c r="N300" s="126"/>
      <c r="O300" s="377"/>
      <c r="P300" s="817"/>
    </row>
    <row r="301" spans="2:16" s="131" customFormat="1" ht="15" customHeight="1" outlineLevel="1">
      <c r="B301" s="122"/>
      <c r="C301" s="140"/>
      <c r="D301" s="132"/>
      <c r="E301" s="132"/>
      <c r="F301" s="132"/>
      <c r="G301" s="132"/>
      <c r="H301" s="469"/>
      <c r="I301" s="469"/>
      <c r="J301" s="469"/>
      <c r="K301" s="469"/>
      <c r="L301" s="469"/>
      <c r="M301" s="469"/>
      <c r="N301" s="469"/>
      <c r="O301" s="377"/>
      <c r="P301" s="817"/>
    </row>
    <row r="302" spans="2:16" s="131" customFormat="1" ht="15" customHeight="1" outlineLevel="1">
      <c r="B302" s="370" t="s">
        <v>193</v>
      </c>
      <c r="C302" s="140"/>
      <c r="D302" s="132"/>
      <c r="E302" s="132"/>
      <c r="F302" s="132"/>
      <c r="G302" s="132"/>
      <c r="H302" s="469"/>
      <c r="I302" s="469"/>
      <c r="J302" s="469"/>
      <c r="K302" s="469"/>
      <c r="L302" s="469"/>
      <c r="M302" s="469"/>
      <c r="N302" s="469"/>
      <c r="O302" s="377"/>
      <c r="P302" s="817"/>
    </row>
    <row r="303" spans="2:16" s="131" customFormat="1" ht="15" customHeight="1" outlineLevel="1">
      <c r="B303" s="376" t="s">
        <v>192</v>
      </c>
      <c r="C303" s="140"/>
      <c r="D303" s="132"/>
      <c r="E303" s="132"/>
      <c r="F303" s="132"/>
      <c r="G303" s="132"/>
      <c r="H303" s="469"/>
      <c r="I303" s="126">
        <f>H306</f>
        <v>24128</v>
      </c>
      <c r="J303" s="126">
        <f>I306</f>
        <v>10592.272037149987</v>
      </c>
      <c r="K303" s="126">
        <f>J306</f>
        <v>0</v>
      </c>
      <c r="L303" s="126">
        <f>K306</f>
        <v>0</v>
      </c>
      <c r="M303" s="126">
        <f>L306</f>
        <v>0</v>
      </c>
      <c r="N303" s="126"/>
      <c r="O303" s="377"/>
      <c r="P303" s="817"/>
    </row>
    <row r="304" spans="2:16" s="131" customFormat="1" ht="15" customHeight="1" outlineLevel="1">
      <c r="B304" s="376" t="s">
        <v>191</v>
      </c>
      <c r="C304" s="140"/>
      <c r="D304" s="132"/>
      <c r="E304" s="132"/>
      <c r="F304" s="132"/>
      <c r="G304" s="132"/>
      <c r="H304" s="469"/>
      <c r="I304" s="126">
        <f>-MIN(I292,0)</f>
        <v>0</v>
      </c>
      <c r="J304" s="126">
        <f>-MIN(J292,0)</f>
        <v>0</v>
      </c>
      <c r="K304" s="126">
        <f>-MIN(K292,0)</f>
        <v>0</v>
      </c>
      <c r="L304" s="126">
        <f>-MIN(L292,0)</f>
        <v>0</v>
      </c>
      <c r="M304" s="126">
        <f>-MIN(M292,0)</f>
        <v>0</v>
      </c>
      <c r="N304" s="126"/>
      <c r="O304" s="377"/>
      <c r="P304" s="817"/>
    </row>
    <row r="305" spans="2:16" s="131" customFormat="1" ht="15" customHeight="1" outlineLevel="1">
      <c r="B305" s="376" t="s">
        <v>190</v>
      </c>
      <c r="C305" s="140"/>
      <c r="D305" s="132"/>
      <c r="E305" s="132"/>
      <c r="F305" s="132"/>
      <c r="G305" s="132"/>
      <c r="H305" s="476"/>
      <c r="I305" s="389">
        <f>-MIN(I303,I298)*I285</f>
        <v>-13535.727962850013</v>
      </c>
      <c r="J305" s="389">
        <f>-MIN(J303,J298)*J285</f>
        <v>-10592.272037149987</v>
      </c>
      <c r="K305" s="389">
        <f>-MIN(K303,K298)*K285</f>
        <v>0</v>
      </c>
      <c r="L305" s="389">
        <f>-MIN(L303,L298)*L285</f>
        <v>0</v>
      </c>
      <c r="M305" s="389">
        <f>-MIN(M303,M298)*M285</f>
        <v>0</v>
      </c>
      <c r="N305" s="126"/>
      <c r="O305" s="377"/>
      <c r="P305" s="817"/>
    </row>
    <row r="306" spans="2:16" s="131" customFormat="1" ht="15" customHeight="1" outlineLevel="1">
      <c r="B306" s="376" t="s">
        <v>189</v>
      </c>
      <c r="C306" s="140"/>
      <c r="D306" s="132"/>
      <c r="E306" s="132"/>
      <c r="F306" s="132"/>
      <c r="G306" s="132"/>
      <c r="H306" s="126">
        <f>H264</f>
        <v>24128</v>
      </c>
      <c r="I306" s="126">
        <f>SUM(I303:I305)</f>
        <v>10592.272037149987</v>
      </c>
      <c r="J306" s="126">
        <f>SUM(J303:J305)</f>
        <v>0</v>
      </c>
      <c r="K306" s="126">
        <f>SUM(K303:K305)</f>
        <v>0</v>
      </c>
      <c r="L306" s="126">
        <f>SUM(L303:L305)</f>
        <v>0</v>
      </c>
      <c r="M306" s="126">
        <f>SUM(M303:M305)</f>
        <v>0</v>
      </c>
      <c r="N306" s="126"/>
      <c r="O306" s="98"/>
      <c r="P306" s="817"/>
    </row>
    <row r="307" spans="2:16" s="131" customFormat="1" ht="15" customHeight="1" outlineLevel="1">
      <c r="B307" s="122"/>
      <c r="C307" s="140"/>
      <c r="D307" s="132"/>
      <c r="E307" s="132"/>
      <c r="F307" s="132"/>
      <c r="G307" s="132"/>
      <c r="H307" s="469"/>
      <c r="I307" s="469"/>
      <c r="J307" s="469"/>
      <c r="K307" s="469"/>
      <c r="L307" s="469"/>
      <c r="M307" s="469"/>
      <c r="N307" s="469"/>
      <c r="O307" s="377"/>
      <c r="P307" s="817"/>
    </row>
    <row r="308" spans="2:16" s="131" customFormat="1" ht="15" customHeight="1" outlineLevel="1">
      <c r="B308" s="475"/>
      <c r="C308" s="474"/>
      <c r="D308" s="473"/>
      <c r="E308" s="473"/>
      <c r="F308" s="473"/>
      <c r="G308" s="473"/>
      <c r="H308" s="251"/>
      <c r="I308" s="251"/>
      <c r="J308" s="251"/>
      <c r="K308" s="251"/>
      <c r="L308" s="251"/>
      <c r="M308" s="251"/>
      <c r="N308" s="295"/>
      <c r="O308" s="377"/>
      <c r="P308" s="817"/>
    </row>
    <row r="309" spans="2:16" s="131" customFormat="1" ht="15" customHeight="1" outlineLevel="1">
      <c r="B309" s="122"/>
      <c r="C309" s="140"/>
      <c r="D309" s="132"/>
      <c r="E309" s="132"/>
      <c r="F309" s="132"/>
      <c r="G309" s="132"/>
      <c r="H309" s="469"/>
      <c r="I309" s="469"/>
      <c r="J309" s="469"/>
      <c r="K309" s="469"/>
      <c r="L309" s="469"/>
      <c r="M309" s="469"/>
      <c r="N309" s="469"/>
      <c r="O309" s="377"/>
      <c r="P309" s="817"/>
    </row>
    <row r="310" spans="2:16" s="131" customFormat="1" ht="15" customHeight="1" outlineLevel="1">
      <c r="B310" s="370" t="s">
        <v>188</v>
      </c>
      <c r="C310" s="140"/>
      <c r="D310" s="132"/>
      <c r="E310" s="132"/>
      <c r="F310" s="132"/>
      <c r="G310" s="132"/>
      <c r="H310" s="469"/>
      <c r="I310" s="469"/>
      <c r="J310" s="469"/>
      <c r="K310" s="469"/>
      <c r="L310" s="469"/>
      <c r="M310" s="469"/>
      <c r="N310" s="469"/>
      <c r="O310" s="377"/>
      <c r="P310" s="817"/>
    </row>
    <row r="311" spans="2:16" s="131" customFormat="1" ht="15" customHeight="1" outlineLevel="1">
      <c r="B311" s="376" t="s">
        <v>174</v>
      </c>
      <c r="C311" s="140"/>
      <c r="D311" s="132"/>
      <c r="E311" s="132"/>
      <c r="F311" s="252"/>
      <c r="G311" s="252"/>
      <c r="H311" s="126"/>
      <c r="I311" s="126">
        <f>$D$287*I300</f>
        <v>0</v>
      </c>
      <c r="J311" s="126">
        <f>$D$287*J300</f>
        <v>937.7198760648987</v>
      </c>
      <c r="K311" s="126">
        <f>$D$287*K300</f>
        <v>4147.6854441343603</v>
      </c>
      <c r="L311" s="126">
        <f>$D$287*L300</f>
        <v>4141.0652524760817</v>
      </c>
      <c r="M311" s="126">
        <f>$D$287*M300</f>
        <v>4024.8427278418544</v>
      </c>
      <c r="N311" s="126"/>
      <c r="O311" s="98"/>
      <c r="P311" s="817"/>
    </row>
    <row r="312" spans="2:16" s="131" customFormat="1" ht="15" customHeight="1" outlineLevel="1">
      <c r="B312" s="376" t="s">
        <v>187</v>
      </c>
      <c r="C312" s="140"/>
      <c r="D312" s="132"/>
      <c r="E312" s="132"/>
      <c r="F312" s="132"/>
      <c r="G312" s="132"/>
      <c r="H312" s="469"/>
      <c r="I312" s="126">
        <f>I313-I311</f>
        <v>4674.4508888550035</v>
      </c>
      <c r="J312" s="126">
        <f>J313-J311</f>
        <v>3650.1336111449955</v>
      </c>
      <c r="K312" s="126">
        <f>K313-K311</f>
        <v>346.45732500000031</v>
      </c>
      <c r="L312" s="126">
        <f>L313-L311</f>
        <v>233.11810125000011</v>
      </c>
      <c r="M312" s="126">
        <f>M313-M311</f>
        <v>129.82351106249962</v>
      </c>
      <c r="N312" s="126"/>
      <c r="O312" s="98"/>
      <c r="P312" s="817"/>
    </row>
    <row r="313" spans="2:16" s="131" customFormat="1" ht="15" customHeight="1" outlineLevel="1" thickBot="1">
      <c r="B313" s="376" t="s">
        <v>186</v>
      </c>
      <c r="C313" s="140"/>
      <c r="D313" s="717" t="str">
        <f>'Model-R'!S313</f>
        <v>COMPLETE</v>
      </c>
      <c r="E313" s="132"/>
      <c r="F313" s="132"/>
      <c r="G313" s="132"/>
      <c r="H313" s="469"/>
      <c r="I313" s="472">
        <f>MAX($D$287*I292,0)</f>
        <v>4674.4508888550035</v>
      </c>
      <c r="J313" s="472">
        <f>MAX($D$287*J292,0)</f>
        <v>4587.8534872098944</v>
      </c>
      <c r="K313" s="472">
        <f>MAX($D$287*K292,0)</f>
        <v>4494.1427691343606</v>
      </c>
      <c r="L313" s="472">
        <f>MAX($D$287*L292,0)</f>
        <v>4374.1833537260818</v>
      </c>
      <c r="M313" s="472">
        <f>MAX($D$287*M292,0)</f>
        <v>4154.666238904354</v>
      </c>
      <c r="N313" s="126"/>
      <c r="O313" s="98"/>
      <c r="P313" s="817"/>
    </row>
    <row r="314" spans="2:16" s="131" customFormat="1" ht="15" customHeight="1" outlineLevel="1">
      <c r="B314" s="122"/>
      <c r="C314" s="140"/>
      <c r="D314" s="132"/>
      <c r="E314" s="132"/>
      <c r="F314" s="132"/>
      <c r="G314" s="132"/>
      <c r="H314" s="132"/>
      <c r="I314" s="136"/>
      <c r="J314" s="136"/>
      <c r="K314" s="136"/>
      <c r="L314" s="136"/>
      <c r="M314" s="136"/>
      <c r="O314" s="98"/>
      <c r="P314" s="817"/>
    </row>
    <row r="315" spans="2:16" s="131" customFormat="1" ht="15" customHeight="1" outlineLevel="1">
      <c r="B315" s="122"/>
      <c r="C315" s="140"/>
      <c r="D315" s="132"/>
      <c r="E315" s="132"/>
      <c r="F315" s="132"/>
      <c r="G315" s="132"/>
      <c r="H315" s="132"/>
      <c r="I315" s="136"/>
      <c r="J315" s="136"/>
      <c r="K315" s="136"/>
      <c r="L315" s="136"/>
      <c r="M315" s="136"/>
      <c r="O315" s="98"/>
      <c r="P315" s="817"/>
    </row>
    <row r="316" spans="2:16" s="131" customFormat="1" ht="15" customHeight="1" outlineLevel="1">
      <c r="C316" s="140"/>
      <c r="D316" s="132"/>
      <c r="E316" s="132"/>
      <c r="F316" s="132"/>
      <c r="G316" s="132"/>
      <c r="H316" s="132"/>
      <c r="I316" s="136"/>
      <c r="J316" s="136"/>
      <c r="K316" s="136"/>
      <c r="L316" s="136"/>
      <c r="M316" s="38" t="s">
        <v>185</v>
      </c>
      <c r="O316" s="98"/>
      <c r="P316" s="817"/>
    </row>
    <row r="317" spans="2:16" s="131" customFormat="1" ht="15" customHeight="1" outlineLevel="1">
      <c r="C317" s="140"/>
      <c r="D317" s="132"/>
      <c r="E317" s="132"/>
      <c r="F317" s="132"/>
      <c r="G317" s="132"/>
      <c r="H317" s="132"/>
      <c r="I317" s="136"/>
      <c r="J317" s="136"/>
      <c r="K317" s="136"/>
      <c r="L317" s="136"/>
      <c r="M317" s="358" t="s">
        <v>184</v>
      </c>
      <c r="O317" s="98"/>
    </row>
    <row r="318" spans="2:16" s="131" customFormat="1" ht="15" customHeight="1" outlineLevel="1">
      <c r="C318" s="140"/>
      <c r="D318" s="132"/>
      <c r="E318" s="132"/>
      <c r="F318" s="132"/>
      <c r="G318" s="132"/>
      <c r="H318" s="132"/>
      <c r="I318" s="136"/>
      <c r="J318" s="136"/>
      <c r="K318" s="136"/>
      <c r="L318" s="136"/>
      <c r="M318" s="471"/>
      <c r="O318" s="98"/>
    </row>
    <row r="319" spans="2:16" s="131" customFormat="1" ht="15" customHeight="1" outlineLevel="1">
      <c r="B319" s="357"/>
      <c r="C319" s="240"/>
      <c r="D319" s="356"/>
      <c r="E319" s="356"/>
      <c r="F319" s="356"/>
      <c r="G319" s="356"/>
      <c r="H319" s="356"/>
      <c r="I319" s="355"/>
      <c r="J319" s="355"/>
      <c r="K319" s="355"/>
      <c r="L319" s="355"/>
      <c r="M319" s="355"/>
      <c r="N319" s="355"/>
      <c r="O319" s="377"/>
    </row>
    <row r="320" spans="2:16" s="131" customFormat="1" ht="15" customHeight="1">
      <c r="B320" s="122"/>
      <c r="C320" s="140"/>
      <c r="D320" s="132"/>
      <c r="E320" s="132"/>
      <c r="F320" s="132"/>
      <c r="G320" s="132"/>
      <c r="H320" s="132"/>
      <c r="I320" s="136"/>
      <c r="J320" s="136"/>
      <c r="K320" s="136"/>
      <c r="L320" s="136"/>
      <c r="M320" s="136"/>
      <c r="N320" s="136"/>
      <c r="O320" s="377"/>
    </row>
    <row r="321" spans="1:16" s="131" customFormat="1" ht="15" customHeight="1">
      <c r="A321" s="131" t="s">
        <v>0</v>
      </c>
      <c r="B321" s="144" t="s">
        <v>183</v>
      </c>
      <c r="C321" s="143"/>
      <c r="D321" s="429"/>
      <c r="E321" s="429"/>
      <c r="F321" s="141"/>
      <c r="G321" s="141"/>
      <c r="H321" s="141"/>
      <c r="I321" s="428"/>
      <c r="J321" s="427"/>
      <c r="K321" s="427"/>
      <c r="L321" s="427"/>
      <c r="M321" s="427"/>
      <c r="N321" s="447"/>
      <c r="O321" s="98"/>
    </row>
    <row r="322" spans="1:16" s="131" customFormat="1" ht="15" customHeight="1" outlineLevel="1">
      <c r="B322" s="304"/>
      <c r="C322" s="140"/>
      <c r="D322" s="139"/>
      <c r="E322" s="139"/>
      <c r="F322" s="138"/>
      <c r="G322" s="138"/>
      <c r="H322" s="138"/>
      <c r="I322" s="138"/>
      <c r="J322" s="138"/>
      <c r="K322" s="138"/>
      <c r="L322" s="138"/>
      <c r="M322" s="138"/>
      <c r="N322" s="138"/>
      <c r="O322" s="401"/>
    </row>
    <row r="323" spans="1:16" s="131" customFormat="1" ht="15" customHeight="1" outlineLevel="1" thickBot="1">
      <c r="B323" s="122" t="s">
        <v>40</v>
      </c>
      <c r="C323" s="140"/>
      <c r="D323" s="132"/>
      <c r="E323" s="132"/>
      <c r="F323" s="138"/>
      <c r="G323" s="138"/>
      <c r="H323" s="138"/>
      <c r="I323" s="354">
        <f t="shared" ref="I323:N323" si="74">I$5</f>
        <v>2023</v>
      </c>
      <c r="J323" s="354">
        <f t="shared" si="74"/>
        <v>2024</v>
      </c>
      <c r="K323" s="354">
        <f t="shared" si="74"/>
        <v>2025</v>
      </c>
      <c r="L323" s="354">
        <f t="shared" si="74"/>
        <v>2026</v>
      </c>
      <c r="M323" s="354">
        <f t="shared" si="74"/>
        <v>2027</v>
      </c>
      <c r="N323" s="354" t="str">
        <f t="shared" si="74"/>
        <v>Term</v>
      </c>
    </row>
    <row r="324" spans="1:16" ht="15" customHeight="1" outlineLevel="1">
      <c r="A324" s="102"/>
      <c r="B324" s="122" t="str">
        <f>$B$6</f>
        <v>Model Running: Base Case Drivers</v>
      </c>
      <c r="C324" s="140"/>
      <c r="D324" s="132"/>
      <c r="E324" s="132"/>
      <c r="F324" s="132"/>
      <c r="G324" s="132"/>
      <c r="H324" s="132"/>
      <c r="I324" s="136"/>
      <c r="J324" s="136"/>
      <c r="K324" s="136"/>
      <c r="L324" s="136"/>
      <c r="M324" s="136"/>
      <c r="N324" s="136"/>
    </row>
    <row r="325" spans="1:16" s="131" customFormat="1" ht="15" customHeight="1" outlineLevel="1">
      <c r="B325" s="122"/>
      <c r="C325" s="140"/>
      <c r="D325" s="132"/>
      <c r="E325" s="132"/>
      <c r="F325" s="132"/>
      <c r="G325" s="132"/>
      <c r="H325" s="132"/>
      <c r="I325" s="470"/>
      <c r="J325" s="470"/>
      <c r="K325" s="470"/>
      <c r="L325" s="470"/>
      <c r="M325" s="470"/>
      <c r="N325" s="470"/>
    </row>
    <row r="326" spans="1:16" s="131" customFormat="1" ht="15" customHeight="1" outlineLevel="1">
      <c r="B326" s="370" t="s">
        <v>182</v>
      </c>
      <c r="C326" s="140"/>
      <c r="D326" s="132"/>
      <c r="E326" s="370"/>
      <c r="F326" s="370" t="s">
        <v>181</v>
      </c>
      <c r="G326" s="469" t="s">
        <v>131</v>
      </c>
      <c r="H326" s="132"/>
      <c r="I326" s="136"/>
      <c r="J326" s="136"/>
      <c r="K326" s="136"/>
      <c r="L326" s="136"/>
      <c r="M326" s="136"/>
      <c r="N326" s="136"/>
    </row>
    <row r="327" spans="1:16" s="131" customFormat="1" ht="15" customHeight="1" outlineLevel="1">
      <c r="B327" s="376" t="s">
        <v>180</v>
      </c>
      <c r="C327" s="140"/>
      <c r="D327" s="132"/>
      <c r="E327" s="132"/>
      <c r="F327" s="468" t="s">
        <v>179</v>
      </c>
      <c r="G327" s="367">
        <f>N114</f>
        <v>13629.660046379347</v>
      </c>
      <c r="H327" s="252"/>
      <c r="I327" s="461">
        <f>I311</f>
        <v>0</v>
      </c>
      <c r="J327" s="461">
        <f t="shared" ref="J327:M327" si="75">J311</f>
        <v>937.7198760648987</v>
      </c>
      <c r="K327" s="461">
        <f t="shared" si="75"/>
        <v>4147.6854441343603</v>
      </c>
      <c r="L327" s="461">
        <f t="shared" si="75"/>
        <v>4141.0652524760817</v>
      </c>
      <c r="M327" s="461">
        <f t="shared" si="75"/>
        <v>4024.8427278418544</v>
      </c>
      <c r="N327" s="462">
        <f>G327*$G$329</f>
        <v>4088.8980139138039</v>
      </c>
      <c r="P327" s="800">
        <f>'Model-R'!S327</f>
        <v>1</v>
      </c>
    </row>
    <row r="328" spans="1:16" s="131" customFormat="1" ht="15" customHeight="1" outlineLevel="1">
      <c r="B328" s="376" t="s">
        <v>178</v>
      </c>
      <c r="C328" s="140"/>
      <c r="D328" s="132"/>
      <c r="E328" s="132"/>
      <c r="F328" s="467" t="s">
        <v>177</v>
      </c>
      <c r="G328" s="437">
        <f>N117</f>
        <v>11109.660046379347</v>
      </c>
      <c r="H328" s="252"/>
      <c r="I328" s="461">
        <f>I269</f>
        <v>0</v>
      </c>
      <c r="J328" s="461">
        <f t="shared" ref="J328:M328" si="76">J269</f>
        <v>0</v>
      </c>
      <c r="K328" s="461">
        <f t="shared" si="76"/>
        <v>2817.4053201992592</v>
      </c>
      <c r="L328" s="461">
        <f t="shared" si="76"/>
        <v>3385.0652524760822</v>
      </c>
      <c r="M328" s="461">
        <f t="shared" si="76"/>
        <v>3268.8427278418544</v>
      </c>
      <c r="N328" s="460">
        <f>G328*$G$329</f>
        <v>3332.8980139138043</v>
      </c>
      <c r="P328" s="800">
        <f>'Model-R'!S328</f>
        <v>1</v>
      </c>
    </row>
    <row r="329" spans="1:16" s="131" customFormat="1" ht="15" customHeight="1" outlineLevel="1">
      <c r="B329" s="376" t="s">
        <v>176</v>
      </c>
      <c r="C329" s="139"/>
      <c r="D329" s="375"/>
      <c r="E329" s="375"/>
      <c r="F329" s="466" t="s">
        <v>87</v>
      </c>
      <c r="G329" s="465">
        <f>$C$101</f>
        <v>0.3</v>
      </c>
      <c r="H329" s="252"/>
      <c r="I329" s="436">
        <f>I327-I328</f>
        <v>0</v>
      </c>
      <c r="J329" s="436">
        <f t="shared" ref="J329:N329" si="77">J327-J328</f>
        <v>937.7198760648987</v>
      </c>
      <c r="K329" s="436">
        <f t="shared" si="77"/>
        <v>1330.2801239351011</v>
      </c>
      <c r="L329" s="436">
        <f t="shared" si="77"/>
        <v>755.99999999999955</v>
      </c>
      <c r="M329" s="436">
        <f t="shared" si="77"/>
        <v>756</v>
      </c>
      <c r="N329" s="443">
        <f t="shared" si="77"/>
        <v>755.99999999999955</v>
      </c>
      <c r="P329" s="800">
        <f>'Model-R'!S329</f>
        <v>1</v>
      </c>
    </row>
    <row r="330" spans="1:16" s="131" customFormat="1" ht="15" customHeight="1" outlineLevel="1">
      <c r="B330" s="122"/>
      <c r="C330" s="140"/>
      <c r="D330" s="132"/>
      <c r="E330" s="132"/>
      <c r="F330" s="388"/>
      <c r="G330" s="388"/>
      <c r="H330" s="388"/>
      <c r="I330" s="464"/>
      <c r="J330" s="464"/>
      <c r="K330" s="464"/>
      <c r="L330" s="464"/>
      <c r="M330" s="464"/>
      <c r="N330" s="464"/>
      <c r="P330" s="817"/>
    </row>
    <row r="331" spans="1:16" s="131" customFormat="1" ht="15" customHeight="1" outlineLevel="1">
      <c r="B331" s="122"/>
      <c r="C331" s="140"/>
      <c r="D331" s="132"/>
      <c r="E331" s="132"/>
      <c r="F331" s="132"/>
      <c r="G331" s="132"/>
      <c r="H331" s="132"/>
      <c r="I331" s="136"/>
      <c r="J331" s="136"/>
      <c r="K331" s="136"/>
      <c r="L331" s="136"/>
      <c r="M331" s="136"/>
      <c r="N331" s="136"/>
      <c r="P331" s="817"/>
    </row>
    <row r="332" spans="1:16" s="131" customFormat="1" ht="15" customHeight="1" outlineLevel="1">
      <c r="B332" s="357"/>
      <c r="C332" s="240"/>
      <c r="D332" s="356"/>
      <c r="E332" s="356"/>
      <c r="F332" s="356"/>
      <c r="G332" s="356"/>
      <c r="H332" s="356"/>
      <c r="I332" s="355"/>
      <c r="J332" s="355"/>
      <c r="K332" s="355"/>
      <c r="L332" s="355"/>
      <c r="M332" s="355"/>
      <c r="N332" s="355"/>
      <c r="P332" s="817"/>
    </row>
    <row r="333" spans="1:16" s="131" customFormat="1" ht="15" customHeight="1" outlineLevel="1">
      <c r="B333" s="122"/>
      <c r="C333" s="140"/>
      <c r="D333" s="132"/>
      <c r="E333" s="132"/>
      <c r="F333" s="132"/>
      <c r="G333" s="132"/>
      <c r="H333" s="132"/>
      <c r="I333" s="136"/>
      <c r="J333" s="136"/>
      <c r="K333" s="136"/>
      <c r="L333" s="136"/>
      <c r="M333" s="136"/>
      <c r="N333" s="136"/>
      <c r="P333" s="817"/>
    </row>
    <row r="334" spans="1:16" s="131" customFormat="1" ht="15" customHeight="1" outlineLevel="1">
      <c r="B334" s="370" t="s">
        <v>175</v>
      </c>
      <c r="D334" s="463"/>
      <c r="E334" s="132"/>
      <c r="F334" s="132"/>
      <c r="G334" s="132"/>
      <c r="H334" s="132"/>
      <c r="P334" s="817"/>
    </row>
    <row r="335" spans="1:16" s="131" customFormat="1" ht="15" customHeight="1" outlineLevel="1">
      <c r="B335" s="376" t="s">
        <v>156</v>
      </c>
      <c r="C335" s="140"/>
      <c r="D335" s="132"/>
      <c r="E335" s="132"/>
      <c r="F335" s="34"/>
      <c r="G335" s="252"/>
      <c r="H335" s="252"/>
      <c r="I335" s="461">
        <f>I110</f>
        <v>19758.627962850012</v>
      </c>
      <c r="J335" s="461">
        <f t="shared" ref="J335:N335" si="78">J110</f>
        <v>19701.219957366317</v>
      </c>
      <c r="K335" s="461">
        <f t="shared" si="78"/>
        <v>19627.600897114535</v>
      </c>
      <c r="L335" s="461">
        <f t="shared" si="78"/>
        <v>19473.98617908694</v>
      </c>
      <c r="M335" s="461">
        <f t="shared" si="78"/>
        <v>18995.387463014515</v>
      </c>
      <c r="N335" s="462">
        <f t="shared" si="78"/>
        <v>18929.660046379347</v>
      </c>
      <c r="P335" s="800">
        <f>'Model-R'!S335</f>
        <v>1</v>
      </c>
    </row>
    <row r="336" spans="1:16" s="131" customFormat="1" ht="15" customHeight="1" outlineLevel="1">
      <c r="B336" s="376" t="s">
        <v>174</v>
      </c>
      <c r="C336" s="140"/>
      <c r="D336" s="132"/>
      <c r="E336" s="132"/>
      <c r="F336" s="34"/>
      <c r="G336" s="252"/>
      <c r="H336" s="252"/>
      <c r="I336" s="461">
        <f>-I327</f>
        <v>0</v>
      </c>
      <c r="J336" s="461">
        <f t="shared" ref="J336:N336" si="79">-J327</f>
        <v>-937.7198760648987</v>
      </c>
      <c r="K336" s="461">
        <f t="shared" si="79"/>
        <v>-4147.6854441343603</v>
      </c>
      <c r="L336" s="461">
        <f t="shared" si="79"/>
        <v>-4141.0652524760817</v>
      </c>
      <c r="M336" s="461">
        <f t="shared" si="79"/>
        <v>-4024.8427278418544</v>
      </c>
      <c r="N336" s="460">
        <f t="shared" si="79"/>
        <v>-4088.8980139138039</v>
      </c>
      <c r="P336" s="800">
        <f>'Model-R'!S336</f>
        <v>1</v>
      </c>
    </row>
    <row r="337" spans="2:16" s="131" customFormat="1" ht="15" customHeight="1" outlineLevel="1">
      <c r="B337" s="376" t="s">
        <v>127</v>
      </c>
      <c r="C337" s="140"/>
      <c r="D337" s="132"/>
      <c r="E337" s="132"/>
      <c r="F337" s="252"/>
      <c r="G337" s="252"/>
      <c r="H337" s="252"/>
      <c r="I337" s="461">
        <f>-Inputs!G24</f>
        <v>-4550</v>
      </c>
      <c r="J337" s="461">
        <f>-Inputs!H24</f>
        <v>-4700</v>
      </c>
      <c r="K337" s="461">
        <f>-Inputs!I24</f>
        <v>-4850</v>
      </c>
      <c r="L337" s="461">
        <f>-Inputs!J24</f>
        <v>-5000</v>
      </c>
      <c r="M337" s="461">
        <f>-Inputs!K24</f>
        <v>-5125</v>
      </c>
      <c r="N337" s="460">
        <f>-Inputs!L24</f>
        <v>-5300</v>
      </c>
      <c r="P337" s="800">
        <f>'Model-R'!S337</f>
        <v>1</v>
      </c>
    </row>
    <row r="338" spans="2:16" s="131" customFormat="1" ht="15" customHeight="1" outlineLevel="1">
      <c r="B338" s="376" t="s">
        <v>167</v>
      </c>
      <c r="C338" s="140"/>
      <c r="D338" s="132"/>
      <c r="E338" s="132"/>
      <c r="F338" s="252"/>
      <c r="G338" s="252"/>
      <c r="H338" s="252"/>
      <c r="I338" s="461">
        <f>I155</f>
        <v>-659.50894335274006</v>
      </c>
      <c r="J338" s="461">
        <f t="shared" ref="J338:N338" si="80">J155</f>
        <v>-104.82742609548677</v>
      </c>
      <c r="K338" s="461">
        <f t="shared" si="80"/>
        <v>-106.41887913913433</v>
      </c>
      <c r="L338" s="461">
        <f t="shared" si="80"/>
        <v>-78.296341127667802</v>
      </c>
      <c r="M338" s="461">
        <f t="shared" si="80"/>
        <v>-40.754457134486074</v>
      </c>
      <c r="N338" s="460">
        <f t="shared" si="80"/>
        <v>-54.595664422164191</v>
      </c>
      <c r="P338" s="800">
        <f>'Model-R'!S338</f>
        <v>1</v>
      </c>
    </row>
    <row r="339" spans="2:16" ht="15" customHeight="1" outlineLevel="1" thickBot="1">
      <c r="B339" s="376" t="s">
        <v>157</v>
      </c>
      <c r="C339" s="139"/>
      <c r="D339" s="375"/>
      <c r="E339" s="375"/>
      <c r="F339" s="252"/>
      <c r="G339" s="252"/>
      <c r="H339" s="252"/>
      <c r="I339" s="459">
        <f>SUM(I335:I338)</f>
        <v>14549.119019497273</v>
      </c>
      <c r="J339" s="459">
        <f t="shared" ref="J339:N339" si="81">SUM(J335:J338)</f>
        <v>13958.672655205934</v>
      </c>
      <c r="K339" s="459">
        <f t="shared" si="81"/>
        <v>10523.496573841039</v>
      </c>
      <c r="L339" s="459">
        <f t="shared" si="81"/>
        <v>10254.62458548319</v>
      </c>
      <c r="M339" s="459">
        <f t="shared" si="81"/>
        <v>9804.7902780381737</v>
      </c>
      <c r="N339" s="458">
        <f t="shared" si="81"/>
        <v>9486.1663680433794</v>
      </c>
      <c r="P339" s="800">
        <f>'Model-R'!S339</f>
        <v>1</v>
      </c>
    </row>
    <row r="340" spans="2:16" ht="15" customHeight="1" outlineLevel="1">
      <c r="N340" s="37"/>
      <c r="P340" s="799"/>
    </row>
    <row r="341" spans="2:16" ht="15" customHeight="1" outlineLevel="1">
      <c r="P341" s="799"/>
    </row>
    <row r="342" spans="2:16" s="131" customFormat="1" ht="15" customHeight="1" outlineLevel="1">
      <c r="B342" s="370" t="s">
        <v>173</v>
      </c>
      <c r="D342" s="463"/>
      <c r="E342" s="132"/>
      <c r="F342" s="132"/>
      <c r="G342" s="132"/>
      <c r="H342" s="132"/>
      <c r="N342" s="405"/>
      <c r="P342" s="817"/>
    </row>
    <row r="343" spans="2:16" s="131" customFormat="1" ht="15" customHeight="1" outlineLevel="1">
      <c r="B343" s="376" t="s">
        <v>172</v>
      </c>
      <c r="C343" s="140"/>
      <c r="D343" s="132"/>
      <c r="E343" s="132"/>
      <c r="F343" s="252"/>
      <c r="G343" s="252"/>
      <c r="H343" s="252"/>
      <c r="I343" s="461">
        <f>I123</f>
        <v>9143.052073995008</v>
      </c>
      <c r="J343" s="461">
        <f t="shared" ref="J343:N343" si="82">J123</f>
        <v>8940.9914701564212</v>
      </c>
      <c r="K343" s="461">
        <f t="shared" si="82"/>
        <v>8722.333127980175</v>
      </c>
      <c r="L343" s="461">
        <f t="shared" si="82"/>
        <v>8442.4278253608572</v>
      </c>
      <c r="M343" s="461">
        <f t="shared" si="82"/>
        <v>7930.2212241101606</v>
      </c>
      <c r="N343" s="462">
        <f t="shared" si="82"/>
        <v>7776.7620324655436</v>
      </c>
      <c r="P343" s="800">
        <f>'Model-R'!S343</f>
        <v>1</v>
      </c>
    </row>
    <row r="344" spans="2:16" s="131" customFormat="1" ht="15" customHeight="1" outlineLevel="1">
      <c r="B344" s="376" t="s">
        <v>171</v>
      </c>
      <c r="C344" s="140"/>
      <c r="D344" s="132"/>
      <c r="E344" s="132"/>
      <c r="F344" s="252"/>
      <c r="G344" s="252"/>
      <c r="H344" s="252"/>
      <c r="I344" s="461">
        <f>I113</f>
        <v>4177.125</v>
      </c>
      <c r="J344" s="461">
        <f t="shared" ref="J344:N344" si="83">J113</f>
        <v>4408.375</v>
      </c>
      <c r="K344" s="461">
        <f t="shared" si="83"/>
        <v>4647.125</v>
      </c>
      <c r="L344" s="461">
        <f t="shared" si="83"/>
        <v>4893.375</v>
      </c>
      <c r="M344" s="461">
        <f t="shared" si="83"/>
        <v>5146.5</v>
      </c>
      <c r="N344" s="460">
        <f t="shared" si="83"/>
        <v>5300</v>
      </c>
      <c r="P344" s="800">
        <f>'Model-R'!S344</f>
        <v>1</v>
      </c>
    </row>
    <row r="345" spans="2:16" s="131" customFormat="1" ht="15" customHeight="1" outlineLevel="1">
      <c r="B345" s="376" t="s">
        <v>170</v>
      </c>
      <c r="C345" s="140"/>
      <c r="D345" s="132"/>
      <c r="E345" s="132"/>
      <c r="F345" s="252"/>
      <c r="G345" s="252"/>
      <c r="H345" s="252"/>
      <c r="I345" s="461">
        <f>I120</f>
        <v>3918.4508888550035</v>
      </c>
      <c r="J345" s="461">
        <f t="shared" ref="J345:N345" si="84">J120</f>
        <v>3831.8534872098949</v>
      </c>
      <c r="K345" s="461">
        <f t="shared" si="84"/>
        <v>920.73744893510093</v>
      </c>
      <c r="L345" s="461">
        <f t="shared" si="84"/>
        <v>233.11810124999965</v>
      </c>
      <c r="M345" s="461">
        <f t="shared" si="84"/>
        <v>129.82351106250007</v>
      </c>
      <c r="N345" s="460">
        <f t="shared" si="84"/>
        <v>0</v>
      </c>
      <c r="P345" s="800">
        <f>'Model-R'!S345</f>
        <v>1</v>
      </c>
    </row>
    <row r="346" spans="2:16" s="131" customFormat="1" ht="15" customHeight="1" outlineLevel="1">
      <c r="B346" s="376" t="s">
        <v>169</v>
      </c>
      <c r="C346" s="140"/>
      <c r="D346" s="132"/>
      <c r="E346" s="132"/>
      <c r="F346" s="252"/>
      <c r="G346" s="252"/>
      <c r="H346" s="252"/>
      <c r="I346" s="461">
        <f>I116</f>
        <v>2520</v>
      </c>
      <c r="J346" s="461">
        <f t="shared" ref="J346:N346" si="85">J116</f>
        <v>2520</v>
      </c>
      <c r="K346" s="461">
        <f t="shared" si="85"/>
        <v>2520</v>
      </c>
      <c r="L346" s="461">
        <f t="shared" si="85"/>
        <v>2520</v>
      </c>
      <c r="M346" s="461">
        <f t="shared" si="85"/>
        <v>2520</v>
      </c>
      <c r="N346" s="460">
        <f t="shared" si="85"/>
        <v>2520</v>
      </c>
      <c r="P346" s="800">
        <f>'Model-R'!S346</f>
        <v>1</v>
      </c>
    </row>
    <row r="347" spans="2:16" s="131" customFormat="1" ht="15" customHeight="1" outlineLevel="1">
      <c r="B347" s="376" t="s">
        <v>168</v>
      </c>
      <c r="C347" s="140"/>
      <c r="D347" s="132"/>
      <c r="E347" s="132"/>
      <c r="F347" s="252"/>
      <c r="G347" s="252"/>
      <c r="H347" s="252"/>
      <c r="I347" s="461">
        <f>-I329</f>
        <v>0</v>
      </c>
      <c r="J347" s="461">
        <f t="shared" ref="J347:N347" si="86">-J329</f>
        <v>-937.7198760648987</v>
      </c>
      <c r="K347" s="461">
        <f t="shared" si="86"/>
        <v>-1330.2801239351011</v>
      </c>
      <c r="L347" s="461">
        <f t="shared" si="86"/>
        <v>-755.99999999999955</v>
      </c>
      <c r="M347" s="461">
        <f t="shared" si="86"/>
        <v>-756</v>
      </c>
      <c r="N347" s="460">
        <f t="shared" si="86"/>
        <v>-755.99999999999955</v>
      </c>
      <c r="P347" s="800">
        <f>'Model-R'!S347</f>
        <v>1</v>
      </c>
    </row>
    <row r="348" spans="2:16" s="131" customFormat="1" ht="15" customHeight="1" outlineLevel="1">
      <c r="B348" s="376" t="s">
        <v>127</v>
      </c>
      <c r="C348" s="140"/>
      <c r="D348" s="132"/>
      <c r="E348" s="132"/>
      <c r="F348" s="252"/>
      <c r="G348" s="252"/>
      <c r="H348" s="252"/>
      <c r="I348" s="461">
        <f>I337</f>
        <v>-4550</v>
      </c>
      <c r="J348" s="461">
        <f t="shared" ref="J348:N348" si="87">J337</f>
        <v>-4700</v>
      </c>
      <c r="K348" s="461">
        <f t="shared" si="87"/>
        <v>-4850</v>
      </c>
      <c r="L348" s="461">
        <f t="shared" si="87"/>
        <v>-5000</v>
      </c>
      <c r="M348" s="461">
        <f t="shared" si="87"/>
        <v>-5125</v>
      </c>
      <c r="N348" s="460">
        <f t="shared" si="87"/>
        <v>-5300</v>
      </c>
      <c r="P348" s="800">
        <f>'Model-R'!S348</f>
        <v>1</v>
      </c>
    </row>
    <row r="349" spans="2:16" s="131" customFormat="1" ht="15" customHeight="1" outlineLevel="1">
      <c r="B349" s="376" t="s">
        <v>167</v>
      </c>
      <c r="C349" s="140"/>
      <c r="D349" s="132"/>
      <c r="E349" s="132"/>
      <c r="F349" s="252"/>
      <c r="G349" s="252"/>
      <c r="H349" s="252"/>
      <c r="I349" s="461">
        <f>I338</f>
        <v>-659.50894335274006</v>
      </c>
      <c r="J349" s="461">
        <f t="shared" ref="J349:N349" si="88">J338</f>
        <v>-104.82742609548677</v>
      </c>
      <c r="K349" s="461">
        <f t="shared" si="88"/>
        <v>-106.41887913913433</v>
      </c>
      <c r="L349" s="461">
        <f t="shared" si="88"/>
        <v>-78.296341127667802</v>
      </c>
      <c r="M349" s="461">
        <f t="shared" si="88"/>
        <v>-40.754457134486074</v>
      </c>
      <c r="N349" s="460">
        <f t="shared" si="88"/>
        <v>-54.595664422164191</v>
      </c>
      <c r="P349" s="800">
        <f>'Model-R'!S349</f>
        <v>1</v>
      </c>
    </row>
    <row r="350" spans="2:16" ht="15" customHeight="1" outlineLevel="1" thickBot="1">
      <c r="B350" s="376" t="s">
        <v>157</v>
      </c>
      <c r="C350" s="139"/>
      <c r="D350" s="375"/>
      <c r="E350" s="375"/>
      <c r="F350" s="252"/>
      <c r="G350" s="252"/>
      <c r="H350" s="252"/>
      <c r="I350" s="459">
        <f>SUM(I343:I349)</f>
        <v>14549.119019497273</v>
      </c>
      <c r="J350" s="459">
        <f t="shared" ref="J350:N350" si="89">SUM(J343:J349)</f>
        <v>13958.672655205934</v>
      </c>
      <c r="K350" s="459">
        <f t="shared" si="89"/>
        <v>10523.496573841043</v>
      </c>
      <c r="L350" s="459">
        <f t="shared" si="89"/>
        <v>10254.62458548319</v>
      </c>
      <c r="M350" s="459">
        <f t="shared" si="89"/>
        <v>9804.7902780381755</v>
      </c>
      <c r="N350" s="458">
        <f t="shared" si="89"/>
        <v>9486.1663680433794</v>
      </c>
      <c r="P350" s="800">
        <f>'Model-R'!S350</f>
        <v>1</v>
      </c>
    </row>
    <row r="351" spans="2:16" ht="15" customHeight="1" outlineLevel="1">
      <c r="N351" s="37"/>
    </row>
    <row r="352" spans="2:16" ht="15" customHeight="1" outlineLevel="1"/>
    <row r="353" spans="1:16" ht="15" customHeight="1" outlineLevel="1">
      <c r="B353" s="457" t="s">
        <v>8</v>
      </c>
      <c r="C353" s="453"/>
      <c r="D353" s="717" t="str">
        <f>'Model-R'!S353</f>
        <v>COMPLETE</v>
      </c>
      <c r="E353" s="452"/>
      <c r="F353" s="451"/>
      <c r="G353" s="451"/>
      <c r="H353" s="451"/>
      <c r="I353" s="456">
        <f t="shared" ref="I353:N353" si="90">IF(ROUND(I339-I350,1)=0,0,1)</f>
        <v>0</v>
      </c>
      <c r="J353" s="455">
        <f t="shared" si="90"/>
        <v>0</v>
      </c>
      <c r="K353" s="455">
        <f t="shared" si="90"/>
        <v>0</v>
      </c>
      <c r="L353" s="455">
        <f t="shared" si="90"/>
        <v>0</v>
      </c>
      <c r="M353" s="455">
        <f t="shared" si="90"/>
        <v>0</v>
      </c>
      <c r="N353" s="454">
        <f t="shared" si="90"/>
        <v>0</v>
      </c>
    </row>
    <row r="354" spans="1:16" ht="15" customHeight="1" outlineLevel="1">
      <c r="C354" s="453"/>
      <c r="D354" s="452"/>
      <c r="E354" s="452"/>
      <c r="F354" s="451"/>
      <c r="G354" s="451"/>
      <c r="H354" s="451"/>
      <c r="I354" s="451"/>
      <c r="J354" s="451"/>
      <c r="K354" s="451"/>
      <c r="L354" s="451"/>
      <c r="M354" s="451"/>
      <c r="N354" s="451"/>
    </row>
    <row r="355" spans="1:16" ht="15" customHeight="1" outlineLevel="1">
      <c r="C355" s="453"/>
      <c r="D355" s="452"/>
      <c r="E355" s="452"/>
      <c r="F355" s="451"/>
      <c r="G355" s="451"/>
      <c r="H355" s="451"/>
    </row>
    <row r="356" spans="1:16" s="131" customFormat="1" ht="15" customHeight="1" outlineLevel="1">
      <c r="C356" s="140"/>
      <c r="D356" s="132"/>
      <c r="E356" s="132"/>
      <c r="F356" s="132"/>
      <c r="G356" s="132"/>
      <c r="H356" s="132"/>
      <c r="I356" s="136"/>
      <c r="J356" s="136"/>
      <c r="K356" s="136"/>
      <c r="L356" s="136"/>
      <c r="N356" s="38" t="s">
        <v>166</v>
      </c>
      <c r="O356" s="98"/>
    </row>
    <row r="357" spans="1:16" s="131" customFormat="1" ht="15" customHeight="1" outlineLevel="1">
      <c r="C357" s="140"/>
      <c r="D357" s="132"/>
      <c r="E357" s="132"/>
      <c r="F357" s="132"/>
      <c r="G357" s="132"/>
      <c r="H357" s="132"/>
      <c r="I357" s="136"/>
      <c r="J357" s="136"/>
      <c r="K357" s="136"/>
      <c r="L357" s="136"/>
      <c r="N357" s="358" t="s">
        <v>165</v>
      </c>
      <c r="O357" s="98"/>
    </row>
    <row r="358" spans="1:16" ht="15" customHeight="1" outlineLevel="1"/>
    <row r="359" spans="1:16" s="102" customFormat="1" ht="15" customHeight="1" outlineLevel="1">
      <c r="B359" s="242"/>
      <c r="C359" s="450"/>
      <c r="D359" s="449"/>
      <c r="E359" s="449"/>
      <c r="F359" s="448"/>
      <c r="G359" s="448"/>
      <c r="H359" s="448"/>
      <c r="I359" s="448"/>
      <c r="J359" s="448"/>
      <c r="K359" s="448"/>
      <c r="L359" s="448"/>
      <c r="M359" s="448"/>
      <c r="N359" s="448"/>
      <c r="O359" s="98"/>
    </row>
    <row r="360" spans="1:16" s="131" customFormat="1" ht="15" customHeight="1">
      <c r="B360" s="122"/>
      <c r="C360" s="140"/>
      <c r="D360" s="132"/>
      <c r="E360" s="132"/>
      <c r="F360" s="132"/>
      <c r="G360" s="132"/>
      <c r="H360" s="132"/>
      <c r="I360" s="136"/>
      <c r="J360" s="136"/>
      <c r="K360" s="136"/>
      <c r="L360" s="136"/>
      <c r="M360" s="136"/>
      <c r="N360" s="136"/>
    </row>
    <row r="361" spans="1:16" s="131" customFormat="1" ht="15" customHeight="1">
      <c r="A361" s="131" t="s">
        <v>0</v>
      </c>
      <c r="B361" s="144" t="s">
        <v>164</v>
      </c>
      <c r="C361" s="143"/>
      <c r="D361" s="429"/>
      <c r="E361" s="429"/>
      <c r="F361" s="141"/>
      <c r="G361" s="141"/>
      <c r="H361" s="141"/>
      <c r="I361" s="428"/>
      <c r="J361" s="427"/>
      <c r="K361" s="427"/>
      <c r="L361" s="427"/>
      <c r="M361" s="427"/>
      <c r="N361" s="447"/>
    </row>
    <row r="362" spans="1:16" s="131" customFormat="1" ht="15" customHeight="1" outlineLevel="1">
      <c r="B362" s="304"/>
      <c r="C362" s="140"/>
      <c r="D362" s="139"/>
      <c r="E362" s="139"/>
      <c r="F362" s="138"/>
      <c r="G362" s="138"/>
      <c r="H362" s="138"/>
      <c r="I362" s="138"/>
      <c r="J362" s="138"/>
      <c r="K362" s="138"/>
      <c r="L362" s="138"/>
      <c r="M362" s="138"/>
      <c r="N362" s="138"/>
      <c r="O362" s="401"/>
    </row>
    <row r="363" spans="1:16" s="131" customFormat="1" ht="15" customHeight="1" outlineLevel="1">
      <c r="B363" s="122" t="s">
        <v>40</v>
      </c>
      <c r="C363" s="140"/>
      <c r="D363" s="139"/>
      <c r="E363" s="139"/>
    </row>
    <row r="364" spans="1:16" s="131" customFormat="1" ht="15" customHeight="1" outlineLevel="1">
      <c r="B364" s="122" t="str">
        <f>$B$6</f>
        <v>Model Running: Base Case Drivers</v>
      </c>
      <c r="E364" s="132"/>
      <c r="F364" s="138"/>
      <c r="G364" s="138"/>
      <c r="H364" s="426" t="s">
        <v>61</v>
      </c>
      <c r="I364" s="425" t="s">
        <v>147</v>
      </c>
      <c r="J364" s="424"/>
      <c r="K364" s="424"/>
      <c r="L364" s="424"/>
      <c r="M364" s="424"/>
      <c r="N364" s="423" t="s">
        <v>131</v>
      </c>
      <c r="O364" s="410"/>
    </row>
    <row r="365" spans="1:16" s="131" customFormat="1" ht="15" customHeight="1" outlineLevel="1">
      <c r="E365" s="132"/>
      <c r="H365" s="422" t="s">
        <v>68</v>
      </c>
      <c r="I365" s="422" t="s">
        <v>68</v>
      </c>
      <c r="J365" s="421" t="s">
        <v>68</v>
      </c>
      <c r="K365" s="421" t="s">
        <v>68</v>
      </c>
      <c r="L365" s="421" t="s">
        <v>68</v>
      </c>
      <c r="M365" s="421" t="s">
        <v>68</v>
      </c>
      <c r="N365" s="420" t="s">
        <v>68</v>
      </c>
      <c r="O365" s="410"/>
    </row>
    <row r="366" spans="1:16" s="131" customFormat="1" ht="15" customHeight="1" outlineLevel="1">
      <c r="B366" s="419" t="s">
        <v>163</v>
      </c>
      <c r="C366" s="446">
        <f>Outputs!$O$12</f>
        <v>0.02</v>
      </c>
      <c r="E366" s="132"/>
      <c r="F366" s="414" t="s">
        <v>159</v>
      </c>
      <c r="H366" s="413">
        <f>Inputs!$F$94</f>
        <v>45016</v>
      </c>
      <c r="I366" s="413">
        <f>Inputs!$F$96</f>
        <v>45291</v>
      </c>
      <c r="J366" s="412">
        <f>EDATE(I366,12)</f>
        <v>45657</v>
      </c>
      <c r="K366" s="412">
        <f t="shared" ref="K366:N366" si="91">EDATE(J366,12)</f>
        <v>46022</v>
      </c>
      <c r="L366" s="412">
        <f t="shared" si="91"/>
        <v>46387</v>
      </c>
      <c r="M366" s="412">
        <f t="shared" si="91"/>
        <v>46752</v>
      </c>
      <c r="N366" s="417">
        <f t="shared" si="91"/>
        <v>47118</v>
      </c>
      <c r="O366" s="410"/>
      <c r="P366" s="800">
        <f>'Model-R'!S366</f>
        <v>1</v>
      </c>
    </row>
    <row r="367" spans="1:16" s="131" customFormat="1" ht="15" customHeight="1" outlineLevel="1" thickBot="1">
      <c r="B367" s="416" t="s">
        <v>23</v>
      </c>
      <c r="C367" s="415">
        <f>Outputs!$O$13</f>
        <v>9.7429919540151538E-2</v>
      </c>
      <c r="D367" s="139"/>
      <c r="E367" s="139"/>
      <c r="F367" s="414" t="s">
        <v>158</v>
      </c>
      <c r="H367" s="413">
        <f>H366</f>
        <v>45016</v>
      </c>
      <c r="I367" s="413">
        <f>Inputs!$F$95</f>
        <v>45107</v>
      </c>
      <c r="J367" s="412">
        <f>EDATE(I367,12)</f>
        <v>45473</v>
      </c>
      <c r="K367" s="412">
        <f t="shared" ref="K367:N367" si="92">EDATE(J367,12)</f>
        <v>45838</v>
      </c>
      <c r="L367" s="412">
        <f t="shared" si="92"/>
        <v>46203</v>
      </c>
      <c r="M367" s="412">
        <f t="shared" si="92"/>
        <v>46568</v>
      </c>
      <c r="N367" s="411">
        <f t="shared" si="92"/>
        <v>46934</v>
      </c>
      <c r="O367" s="410"/>
      <c r="P367" s="800">
        <f>'Model-R'!S367</f>
        <v>1</v>
      </c>
    </row>
    <row r="368" spans="1:16" s="131" customFormat="1" ht="15" customHeight="1" outlineLevel="1">
      <c r="B368" s="304"/>
      <c r="C368" s="140"/>
      <c r="D368" s="139"/>
      <c r="E368" s="139"/>
      <c r="F368" s="138"/>
      <c r="G368" s="138"/>
      <c r="H368" s="409"/>
      <c r="I368" s="409"/>
      <c r="J368" s="409"/>
      <c r="K368" s="409"/>
      <c r="L368" s="409"/>
      <c r="M368" s="409"/>
      <c r="N368" s="409"/>
      <c r="O368" s="401"/>
      <c r="P368" s="817"/>
    </row>
    <row r="369" spans="2:16" s="131" customFormat="1" ht="15" customHeight="1" outlineLevel="1">
      <c r="B369" s="274" t="s">
        <v>157</v>
      </c>
      <c r="D369" s="132"/>
      <c r="E369" s="132"/>
      <c r="F369" s="252"/>
      <c r="G369" s="252"/>
      <c r="H369" s="445">
        <v>0</v>
      </c>
      <c r="I369" s="444">
        <f>I350</f>
        <v>14549.119019497273</v>
      </c>
      <c r="J369" s="444">
        <f t="shared" ref="J369:N369" si="93">J350</f>
        <v>13958.672655205934</v>
      </c>
      <c r="K369" s="444">
        <f t="shared" si="93"/>
        <v>10523.496573841043</v>
      </c>
      <c r="L369" s="444">
        <f t="shared" si="93"/>
        <v>10254.62458548319</v>
      </c>
      <c r="M369" s="444">
        <f t="shared" si="93"/>
        <v>9804.7902780381755</v>
      </c>
      <c r="N369" s="443">
        <f t="shared" si="93"/>
        <v>9486.1663680433794</v>
      </c>
      <c r="O369" s="401"/>
      <c r="P369" s="800">
        <f>'Model-R'!S369</f>
        <v>1</v>
      </c>
    </row>
    <row r="370" spans="2:16" s="131" customFormat="1" ht="15" customHeight="1" outlineLevel="1">
      <c r="O370" s="377"/>
      <c r="P370" s="817"/>
    </row>
    <row r="371" spans="2:16" s="131" customFormat="1" ht="15" customHeight="1" outlineLevel="1">
      <c r="B371" s="122"/>
      <c r="D371" s="34"/>
      <c r="E371" s="132"/>
      <c r="F371" s="34"/>
      <c r="G371" s="132"/>
      <c r="H371" s="132"/>
      <c r="I371" s="136"/>
      <c r="J371" s="136"/>
      <c r="K371" s="136"/>
      <c r="L371" s="136"/>
      <c r="M371" s="136"/>
      <c r="P371" s="817"/>
    </row>
    <row r="372" spans="2:16" s="131" customFormat="1" ht="15" customHeight="1" outlineLevel="1">
      <c r="B372" s="370" t="s">
        <v>155</v>
      </c>
      <c r="D372" s="34"/>
      <c r="E372" s="132"/>
      <c r="F372" s="34"/>
      <c r="G372" s="132"/>
      <c r="H372" s="132"/>
      <c r="I372" s="136"/>
      <c r="J372" s="136"/>
      <c r="K372" s="136"/>
      <c r="L372" s="136"/>
      <c r="M372" s="136"/>
      <c r="P372" s="817"/>
    </row>
    <row r="373" spans="2:16" s="131" customFormat="1" ht="15" customHeight="1" outlineLevel="1">
      <c r="B373" s="229" t="s">
        <v>147</v>
      </c>
      <c r="D373" s="400"/>
      <c r="E373" s="132"/>
      <c r="F373" s="34"/>
      <c r="G373" s="252"/>
      <c r="H373" s="387">
        <v>0</v>
      </c>
      <c r="I373" s="395">
        <f>I369</f>
        <v>14549.119019497273</v>
      </c>
      <c r="J373" s="395">
        <f t="shared" ref="J373:M373" si="94">J369</f>
        <v>13958.672655205934</v>
      </c>
      <c r="K373" s="395">
        <f t="shared" si="94"/>
        <v>10523.496573841043</v>
      </c>
      <c r="L373" s="395">
        <f t="shared" si="94"/>
        <v>10254.62458548319</v>
      </c>
      <c r="M373" s="395">
        <f t="shared" si="94"/>
        <v>9804.7902780381755</v>
      </c>
      <c r="N373" s="384"/>
      <c r="O373" s="377"/>
      <c r="P373" s="800">
        <f>'Model-R'!S373</f>
        <v>1</v>
      </c>
    </row>
    <row r="374" spans="2:16" s="131" customFormat="1" ht="15" customHeight="1" outlineLevel="1">
      <c r="B374" s="229" t="s">
        <v>146</v>
      </c>
      <c r="D374" s="132"/>
      <c r="E374" s="132"/>
      <c r="F374" s="34"/>
      <c r="G374" s="252"/>
      <c r="H374" s="394">
        <v>0</v>
      </c>
      <c r="I374" s="394">
        <v>0</v>
      </c>
      <c r="J374" s="394">
        <v>0</v>
      </c>
      <c r="K374" s="394">
        <v>0</v>
      </c>
      <c r="L374" s="394">
        <v>0</v>
      </c>
      <c r="M374" s="397">
        <f>N369/(C367-C366)</f>
        <v>122512.930716973</v>
      </c>
      <c r="N374" s="384"/>
      <c r="O374" s="377"/>
      <c r="P374" s="800">
        <f>'Model-R'!S374</f>
        <v>1</v>
      </c>
    </row>
    <row r="375" spans="2:16" s="131" customFormat="1" ht="15" customHeight="1" outlineLevel="1">
      <c r="B375" s="229" t="s">
        <v>145</v>
      </c>
      <c r="D375" s="375"/>
      <c r="E375" s="375"/>
      <c r="F375" s="252"/>
      <c r="G375" s="252"/>
      <c r="H375" s="385">
        <f>SUM(H373:H374)</f>
        <v>0</v>
      </c>
      <c r="I375" s="395">
        <f>SUM(I373:I374)</f>
        <v>14549.119019497273</v>
      </c>
      <c r="J375" s="395">
        <f t="shared" ref="J375:M375" si="95">SUM(J373:J374)</f>
        <v>13958.672655205934</v>
      </c>
      <c r="K375" s="395">
        <f t="shared" si="95"/>
        <v>10523.496573841043</v>
      </c>
      <c r="L375" s="395">
        <f t="shared" si="95"/>
        <v>10254.62458548319</v>
      </c>
      <c r="M375" s="395">
        <f t="shared" si="95"/>
        <v>132317.72099501119</v>
      </c>
      <c r="N375" s="252"/>
      <c r="O375" s="377"/>
      <c r="P375" s="800">
        <f>'Model-R'!S375</f>
        <v>1</v>
      </c>
    </row>
    <row r="376" spans="2:16" s="131" customFormat="1" ht="15" customHeight="1" outlineLevel="1">
      <c r="B376" s="370"/>
      <c r="D376" s="132"/>
      <c r="E376" s="132"/>
      <c r="F376" s="388"/>
      <c r="G376" s="388"/>
      <c r="H376" s="388"/>
      <c r="I376" s="388"/>
      <c r="J376" s="388"/>
      <c r="K376" s="388"/>
      <c r="L376" s="388"/>
      <c r="M376" s="34"/>
      <c r="N376" s="34"/>
      <c r="O376" s="377"/>
      <c r="P376" s="817"/>
    </row>
    <row r="377" spans="2:16" s="131" customFormat="1" ht="15" customHeight="1" outlineLevel="1">
      <c r="B377" s="370" t="s">
        <v>151</v>
      </c>
      <c r="D377" s="132"/>
      <c r="E377" s="132"/>
      <c r="F377" s="34"/>
      <c r="G377" s="132"/>
      <c r="H377" s="132"/>
      <c r="I377" s="136"/>
      <c r="J377" s="136"/>
      <c r="K377" s="136"/>
      <c r="L377" s="136"/>
      <c r="M377" s="136"/>
      <c r="N377" s="252"/>
      <c r="O377" s="377"/>
      <c r="P377" s="817"/>
    </row>
    <row r="378" spans="2:16" s="131" customFormat="1" ht="15" customHeight="1" outlineLevel="1">
      <c r="B378" s="376" t="s">
        <v>150</v>
      </c>
      <c r="D378" s="132"/>
      <c r="E378" s="132"/>
      <c r="F378" s="388"/>
      <c r="G378" s="388"/>
      <c r="H378" s="387">
        <v>0</v>
      </c>
      <c r="I378" s="442">
        <f>YEARFRAC(I366,H366)</f>
        <v>0.75</v>
      </c>
      <c r="J378" s="442">
        <f t="shared" ref="J378:M378" si="96">YEARFRAC(I366,J366)</f>
        <v>1</v>
      </c>
      <c r="K378" s="442">
        <f t="shared" si="96"/>
        <v>1</v>
      </c>
      <c r="L378" s="442">
        <f t="shared" si="96"/>
        <v>1</v>
      </c>
      <c r="M378" s="442">
        <f t="shared" si="96"/>
        <v>1</v>
      </c>
      <c r="N378" s="252"/>
      <c r="O378" s="377"/>
      <c r="P378" s="800">
        <f>'Model-R'!S378</f>
        <v>1</v>
      </c>
    </row>
    <row r="379" spans="2:16" s="131" customFormat="1" ht="6" customHeight="1" outlineLevel="1">
      <c r="B379" s="376"/>
      <c r="D379" s="132"/>
      <c r="E379" s="132"/>
      <c r="F379" s="388"/>
      <c r="G379" s="388"/>
      <c r="H379" s="387"/>
      <c r="I379" s="386"/>
      <c r="J379" s="386"/>
      <c r="K379" s="386"/>
      <c r="L379" s="386"/>
      <c r="M379" s="386"/>
      <c r="N379" s="252"/>
      <c r="O379" s="377"/>
      <c r="P379" s="817"/>
    </row>
    <row r="380" spans="2:16" s="131" customFormat="1" ht="15" customHeight="1" outlineLevel="1">
      <c r="B380" s="229" t="s">
        <v>147</v>
      </c>
      <c r="D380" s="400"/>
      <c r="E380" s="132"/>
      <c r="F380" s="34"/>
      <c r="G380" s="252"/>
      <c r="H380" s="387">
        <v>0</v>
      </c>
      <c r="I380" s="395">
        <f>I$378*I373</f>
        <v>10911.839264622955</v>
      </c>
      <c r="J380" s="395">
        <f t="shared" ref="J380:M380" si="97">J$378*J373</f>
        <v>13958.672655205934</v>
      </c>
      <c r="K380" s="395">
        <f t="shared" si="97"/>
        <v>10523.496573841043</v>
      </c>
      <c r="L380" s="395">
        <f t="shared" si="97"/>
        <v>10254.62458548319</v>
      </c>
      <c r="M380" s="395">
        <f t="shared" si="97"/>
        <v>9804.7902780381755</v>
      </c>
      <c r="N380" s="252"/>
      <c r="O380" s="377"/>
      <c r="P380" s="800">
        <f>'Model-R'!S380</f>
        <v>1</v>
      </c>
    </row>
    <row r="381" spans="2:16" s="131" customFormat="1" ht="15" customHeight="1" outlineLevel="1">
      <c r="B381" s="229" t="s">
        <v>146</v>
      </c>
      <c r="D381" s="132"/>
      <c r="E381" s="132"/>
      <c r="F381" s="34"/>
      <c r="G381" s="252"/>
      <c r="H381" s="394">
        <v>0</v>
      </c>
      <c r="I381" s="397">
        <f>I$378*I374</f>
        <v>0</v>
      </c>
      <c r="J381" s="397">
        <f t="shared" ref="J381:M381" si="98">J$378*J374</f>
        <v>0</v>
      </c>
      <c r="K381" s="397">
        <f t="shared" si="98"/>
        <v>0</v>
      </c>
      <c r="L381" s="397">
        <f t="shared" si="98"/>
        <v>0</v>
      </c>
      <c r="M381" s="397">
        <f t="shared" si="98"/>
        <v>122512.930716973</v>
      </c>
      <c r="N381" s="252"/>
      <c r="O381" s="377"/>
      <c r="P381" s="800">
        <f>'Model-R'!S381</f>
        <v>1</v>
      </c>
    </row>
    <row r="382" spans="2:16" s="131" customFormat="1" ht="15" customHeight="1" outlineLevel="1">
      <c r="B382" s="229" t="s">
        <v>145</v>
      </c>
      <c r="D382" s="375"/>
      <c r="E382" s="375"/>
      <c r="F382" s="252"/>
      <c r="G382" s="252"/>
      <c r="H382" s="385">
        <f>SUM(H380:H381)</f>
        <v>0</v>
      </c>
      <c r="I382" s="395">
        <f>SUM(I380:I381)</f>
        <v>10911.839264622955</v>
      </c>
      <c r="J382" s="395">
        <f t="shared" ref="J382:M382" si="99">SUM(J380:J381)</f>
        <v>13958.672655205934</v>
      </c>
      <c r="K382" s="395">
        <f t="shared" si="99"/>
        <v>10523.496573841043</v>
      </c>
      <c r="L382" s="395">
        <f t="shared" si="99"/>
        <v>10254.62458548319</v>
      </c>
      <c r="M382" s="395">
        <f t="shared" si="99"/>
        <v>132317.72099501119</v>
      </c>
      <c r="N382" s="252"/>
      <c r="O382" s="377"/>
      <c r="P382" s="800">
        <f>'Model-R'!S382</f>
        <v>1</v>
      </c>
    </row>
    <row r="383" spans="2:16" s="131" customFormat="1" ht="15" customHeight="1" outlineLevel="1">
      <c r="B383" s="376"/>
      <c r="D383" s="132"/>
      <c r="E383" s="132"/>
      <c r="F383" s="388"/>
      <c r="G383" s="388"/>
      <c r="H383" s="387"/>
      <c r="I383" s="386"/>
      <c r="J383" s="386"/>
      <c r="K383" s="386"/>
      <c r="L383" s="386"/>
      <c r="M383" s="386"/>
      <c r="N383" s="252"/>
      <c r="O383" s="377"/>
      <c r="P383" s="817"/>
    </row>
    <row r="384" spans="2:16" s="131" customFormat="1" ht="15" customHeight="1" outlineLevel="1">
      <c r="B384" s="370" t="s">
        <v>149</v>
      </c>
      <c r="D384" s="132"/>
      <c r="E384" s="132"/>
      <c r="F384" s="34"/>
      <c r="G384" s="132"/>
      <c r="H384" s="132"/>
      <c r="I384" s="136"/>
      <c r="J384" s="136"/>
      <c r="K384" s="136"/>
      <c r="L384" s="136"/>
      <c r="M384" s="136"/>
      <c r="N384" s="252"/>
      <c r="O384" s="377"/>
      <c r="P384" s="817"/>
    </row>
    <row r="385" spans="2:16" s="131" customFormat="1" ht="15" customHeight="1" outlineLevel="1">
      <c r="B385" s="376" t="s">
        <v>148</v>
      </c>
      <c r="C385" s="34"/>
      <c r="D385" s="132"/>
      <c r="E385" s="132"/>
      <c r="F385" s="252"/>
      <c r="G385" s="252"/>
      <c r="H385" s="257">
        <v>0</v>
      </c>
      <c r="I385" s="255">
        <f>H385+YEARFRAC(I367,H367)</f>
        <v>0.25</v>
      </c>
      <c r="J385" s="255">
        <f t="shared" ref="J385:M385" si="100">I385+YEARFRAC(J367,I367)</f>
        <v>1.25</v>
      </c>
      <c r="K385" s="255">
        <f t="shared" si="100"/>
        <v>2.25</v>
      </c>
      <c r="L385" s="255">
        <f t="shared" si="100"/>
        <v>3.25</v>
      </c>
      <c r="M385" s="255">
        <f t="shared" si="100"/>
        <v>4.25</v>
      </c>
      <c r="N385" s="252"/>
      <c r="O385" s="377"/>
      <c r="P385" s="800">
        <f>'Model-R'!S385</f>
        <v>1</v>
      </c>
    </row>
    <row r="386" spans="2:16" s="131" customFormat="1" ht="6" customHeight="1" outlineLevel="1">
      <c r="B386" s="376"/>
      <c r="C386" s="34"/>
      <c r="D386" s="132"/>
      <c r="E386" s="132"/>
      <c r="F386" s="252"/>
      <c r="G386" s="252"/>
      <c r="H386" s="257"/>
      <c r="I386" s="392"/>
      <c r="J386" s="392"/>
      <c r="K386" s="392"/>
      <c r="L386" s="392"/>
      <c r="M386" s="392"/>
      <c r="N386" s="252"/>
      <c r="O386" s="377"/>
      <c r="P386" s="817"/>
    </row>
    <row r="387" spans="2:16" s="131" customFormat="1" ht="15" customHeight="1" outlineLevel="1">
      <c r="B387" s="229" t="s">
        <v>147</v>
      </c>
      <c r="D387" s="400"/>
      <c r="E387" s="132"/>
      <c r="F387" s="34"/>
      <c r="G387" s="252"/>
      <c r="H387" s="391">
        <v>0</v>
      </c>
      <c r="I387" s="395">
        <f>I380/(1+$C$367)^I$385</f>
        <v>10661.142810939264</v>
      </c>
      <c r="J387" s="395">
        <f t="shared" ref="J387:M387" si="101">J380/(1+$C$367)^J$385</f>
        <v>12427.195408225001</v>
      </c>
      <c r="K387" s="395">
        <f t="shared" si="101"/>
        <v>8537.1374218976744</v>
      </c>
      <c r="L387" s="395">
        <f t="shared" si="101"/>
        <v>7580.4533206082488</v>
      </c>
      <c r="M387" s="395">
        <f t="shared" si="101"/>
        <v>6604.4540707862934</v>
      </c>
      <c r="N387" s="252"/>
      <c r="O387" s="377"/>
      <c r="P387" s="800">
        <f>'Model-R'!S387</f>
        <v>1</v>
      </c>
    </row>
    <row r="388" spans="2:16" s="131" customFormat="1" ht="15" customHeight="1" outlineLevel="1">
      <c r="B388" s="229" t="s">
        <v>146</v>
      </c>
      <c r="D388" s="132"/>
      <c r="E388" s="132"/>
      <c r="F388" s="34"/>
      <c r="G388" s="252"/>
      <c r="H388" s="394">
        <v>0</v>
      </c>
      <c r="I388" s="397">
        <f t="shared" ref="I388:M388" si="102">I381/(1+$C$367)^I$385</f>
        <v>0</v>
      </c>
      <c r="J388" s="397">
        <f t="shared" si="102"/>
        <v>0</v>
      </c>
      <c r="K388" s="397">
        <f t="shared" si="102"/>
        <v>0</v>
      </c>
      <c r="L388" s="397">
        <f t="shared" si="102"/>
        <v>0</v>
      </c>
      <c r="M388" s="397">
        <f t="shared" si="102"/>
        <v>82524.052126851733</v>
      </c>
      <c r="N388" s="252"/>
      <c r="O388" s="377"/>
      <c r="P388" s="800">
        <f>'Model-R'!S388</f>
        <v>1</v>
      </c>
    </row>
    <row r="389" spans="2:16" s="131" customFormat="1" ht="15" customHeight="1" outlineLevel="1">
      <c r="B389" s="229" t="s">
        <v>145</v>
      </c>
      <c r="D389" s="375"/>
      <c r="E389" s="375"/>
      <c r="F389" s="252"/>
      <c r="G389" s="252"/>
      <c r="H389" s="385">
        <f>SUM(H387:H388)</f>
        <v>0</v>
      </c>
      <c r="I389" s="395">
        <f>SUM(I387:I388)</f>
        <v>10661.142810939264</v>
      </c>
      <c r="J389" s="395">
        <f t="shared" ref="J389:M389" si="103">SUM(J387:J388)</f>
        <v>12427.195408225001</v>
      </c>
      <c r="K389" s="395">
        <f t="shared" si="103"/>
        <v>8537.1374218976744</v>
      </c>
      <c r="L389" s="395">
        <f t="shared" si="103"/>
        <v>7580.4533206082488</v>
      </c>
      <c r="M389" s="395">
        <f t="shared" si="103"/>
        <v>89128.506197638024</v>
      </c>
      <c r="N389" s="252"/>
      <c r="O389" s="377"/>
      <c r="P389" s="800">
        <f>'Model-R'!S389</f>
        <v>1</v>
      </c>
    </row>
    <row r="390" spans="2:16" s="131" customFormat="1" ht="15" customHeight="1" outlineLevel="1">
      <c r="B390" s="376"/>
      <c r="D390" s="132"/>
      <c r="E390" s="132"/>
      <c r="F390" s="388"/>
      <c r="G390" s="388"/>
      <c r="H390" s="387"/>
      <c r="I390" s="386"/>
      <c r="J390" s="386"/>
      <c r="K390" s="386"/>
      <c r="L390" s="386"/>
      <c r="M390" s="386"/>
      <c r="N390" s="252"/>
      <c r="O390" s="377"/>
      <c r="P390" s="817"/>
    </row>
    <row r="391" spans="2:16" ht="15" customHeight="1" outlineLevel="1">
      <c r="F391" s="37"/>
      <c r="G391" s="37"/>
      <c r="H391" s="37"/>
      <c r="I391" s="37"/>
      <c r="J391" s="37"/>
      <c r="K391" s="37"/>
      <c r="L391" s="37"/>
      <c r="M391" s="37"/>
      <c r="P391" s="799"/>
    </row>
    <row r="392" spans="2:16" ht="15" customHeight="1" outlineLevel="1">
      <c r="F392" s="114" t="s">
        <v>144</v>
      </c>
      <c r="G392" s="383"/>
      <c r="H392" s="37"/>
      <c r="I392" s="37"/>
      <c r="J392" s="114" t="s">
        <v>144</v>
      </c>
      <c r="K392" s="383"/>
      <c r="L392" s="37"/>
      <c r="M392" s="37"/>
      <c r="P392" s="799"/>
    </row>
    <row r="393" spans="2:16" ht="15" customHeight="1" outlineLevel="1">
      <c r="F393" s="380" t="s">
        <v>143</v>
      </c>
      <c r="G393" s="379"/>
      <c r="H393" s="381">
        <f>SUM(I389:M389)</f>
        <v>128334.43515930821</v>
      </c>
      <c r="I393" s="800">
        <f>'Model-R'!S393</f>
        <v>1</v>
      </c>
      <c r="J393" s="380" t="s">
        <v>142</v>
      </c>
      <c r="K393" s="379"/>
      <c r="L393" s="439">
        <f>M393/$M$395</f>
        <v>0.35696095888519447</v>
      </c>
      <c r="M393" s="381">
        <f>SUM(I387:M387)</f>
        <v>45810.383032456477</v>
      </c>
      <c r="P393" s="800">
        <f>'Model-R'!W393</f>
        <v>1</v>
      </c>
    </row>
    <row r="394" spans="2:16" ht="15" customHeight="1" outlineLevel="1">
      <c r="F394" s="373" t="s">
        <v>162</v>
      </c>
      <c r="G394" s="372"/>
      <c r="H394" s="374">
        <f>XNPV(C367,H382:M382,H367:M367)</f>
        <v>128312.63634373384</v>
      </c>
      <c r="I394" s="800">
        <f>'Model-R'!S394</f>
        <v>1</v>
      </c>
      <c r="J394" s="366" t="s">
        <v>140</v>
      </c>
      <c r="K394" s="37"/>
      <c r="L394" s="441">
        <f>M394/$M$395</f>
        <v>0.64303904111480548</v>
      </c>
      <c r="M394" s="440">
        <f>SUM(I388:M388)</f>
        <v>82524.052126851733</v>
      </c>
      <c r="P394" s="800">
        <f>'Model-R'!W394</f>
        <v>1</v>
      </c>
    </row>
    <row r="395" spans="2:16" ht="15" customHeight="1" outlineLevel="1">
      <c r="I395" s="799"/>
      <c r="J395" s="366" t="s">
        <v>137</v>
      </c>
      <c r="K395" s="37"/>
      <c r="L395" s="439">
        <f>SUM(L393:L394)</f>
        <v>1</v>
      </c>
      <c r="M395" s="381">
        <f>SUM(M393:M394)</f>
        <v>128334.43515930821</v>
      </c>
      <c r="P395" s="800">
        <f>'Model-R'!W395</f>
        <v>1</v>
      </c>
    </row>
    <row r="396" spans="2:16" ht="15" customHeight="1" outlineLevel="1">
      <c r="F396" s="37"/>
      <c r="G396" s="37"/>
      <c r="H396" s="37"/>
      <c r="I396" s="799"/>
      <c r="J396" s="379"/>
      <c r="K396" s="379"/>
      <c r="L396" s="379"/>
      <c r="M396" s="379"/>
      <c r="P396" s="799"/>
    </row>
    <row r="397" spans="2:16" ht="15" customHeight="1" outlineLevel="1">
      <c r="F397" s="37"/>
      <c r="G397" s="37"/>
      <c r="H397" s="37"/>
      <c r="I397" s="799"/>
      <c r="J397" s="37"/>
      <c r="K397" s="37"/>
      <c r="L397" s="37"/>
      <c r="M397" s="37"/>
      <c r="P397" s="799"/>
    </row>
    <row r="398" spans="2:16" ht="15" customHeight="1" outlineLevel="1">
      <c r="F398" s="114" t="s">
        <v>139</v>
      </c>
      <c r="G398" s="252"/>
      <c r="H398" s="37"/>
      <c r="I398" s="799"/>
      <c r="J398" s="114" t="s">
        <v>138</v>
      </c>
      <c r="K398" s="252"/>
      <c r="L398" s="37"/>
      <c r="M398" s="37"/>
      <c r="P398" s="799"/>
    </row>
    <row r="399" spans="2:16" ht="15" customHeight="1" outlineLevel="1">
      <c r="F399" s="380" t="s">
        <v>137</v>
      </c>
      <c r="G399" s="379"/>
      <c r="H399" s="381">
        <f>H394</f>
        <v>128312.63634373384</v>
      </c>
      <c r="I399" s="800">
        <f>'Model-R'!S399</f>
        <v>1</v>
      </c>
      <c r="J399" s="380" t="s">
        <v>26</v>
      </c>
      <c r="K399" s="379"/>
      <c r="L399" s="379"/>
      <c r="M399" s="381">
        <f>H401</f>
        <v>109670.63634373384</v>
      </c>
      <c r="P399" s="800">
        <f>'Model-R'!W399</f>
        <v>1</v>
      </c>
    </row>
    <row r="400" spans="2:16" ht="15" customHeight="1" outlineLevel="1">
      <c r="F400" s="366" t="s">
        <v>136</v>
      </c>
      <c r="G400" s="37"/>
      <c r="H400" s="437">
        <f>-Inputs!L94</f>
        <v>-18642</v>
      </c>
      <c r="I400" s="799"/>
      <c r="J400" s="366" t="s">
        <v>32</v>
      </c>
      <c r="K400" s="37"/>
      <c r="L400" s="438" t="s">
        <v>31</v>
      </c>
      <c r="M400" s="437">
        <f>Inputs!F105</f>
        <v>34200</v>
      </c>
      <c r="P400" s="799"/>
    </row>
    <row r="401" spans="1:16" ht="15" customHeight="1" outlineLevel="1">
      <c r="F401" s="373" t="s">
        <v>26</v>
      </c>
      <c r="G401" s="372"/>
      <c r="H401" s="505">
        <f>SUM(H399:H400)</f>
        <v>109670.63634373384</v>
      </c>
      <c r="I401" s="800">
        <f>'Model-R'!S401</f>
        <v>1</v>
      </c>
      <c r="J401" s="366" t="s">
        <v>26</v>
      </c>
      <c r="K401" s="37"/>
      <c r="L401" s="434" t="s">
        <v>135</v>
      </c>
      <c r="M401" s="433">
        <f>M399/M400</f>
        <v>3.2067437527407558</v>
      </c>
      <c r="P401" s="800">
        <f>'Model-R'!W401</f>
        <v>1</v>
      </c>
    </row>
    <row r="402" spans="1:16" ht="15" customHeight="1" outlineLevel="1">
      <c r="C402" s="252"/>
      <c r="F402" s="37"/>
      <c r="G402" s="37"/>
      <c r="H402" s="37"/>
      <c r="I402" s="37"/>
      <c r="J402" s="379"/>
      <c r="K402" s="379"/>
      <c r="L402" s="379"/>
      <c r="M402" s="379"/>
    </row>
    <row r="403" spans="1:16" ht="15" customHeight="1" outlineLevel="1">
      <c r="C403" s="252"/>
      <c r="F403" s="37"/>
      <c r="G403" s="37"/>
      <c r="H403" s="37"/>
      <c r="I403" s="37"/>
      <c r="J403" s="37"/>
      <c r="K403" s="37"/>
      <c r="L403" s="37"/>
      <c r="M403" s="37"/>
    </row>
    <row r="404" spans="1:16" s="131" customFormat="1" ht="15" customHeight="1" outlineLevel="1">
      <c r="C404" s="140"/>
      <c r="D404" s="717" t="str">
        <f>'Model-R'!S404</f>
        <v>COMPLETE</v>
      </c>
      <c r="E404" s="132"/>
      <c r="F404" s="404"/>
      <c r="G404" s="404"/>
      <c r="H404" s="404"/>
      <c r="I404" s="432"/>
      <c r="J404" s="432"/>
      <c r="K404" s="432"/>
      <c r="L404" s="432"/>
      <c r="M404" s="431" t="s">
        <v>161</v>
      </c>
      <c r="O404" s="98"/>
    </row>
    <row r="405" spans="1:16" s="131" customFormat="1" ht="15" customHeight="1" outlineLevel="1">
      <c r="C405" s="140"/>
      <c r="D405" s="132"/>
      <c r="E405" s="132"/>
      <c r="F405" s="132"/>
      <c r="G405" s="132"/>
      <c r="H405" s="132"/>
      <c r="I405" s="136"/>
      <c r="J405" s="136"/>
      <c r="K405" s="136"/>
      <c r="L405" s="136"/>
      <c r="M405" s="430"/>
      <c r="O405" s="98"/>
    </row>
    <row r="406" spans="1:16" s="131" customFormat="1" ht="15" customHeight="1" outlineLevel="1">
      <c r="B406" s="357"/>
      <c r="C406" s="240"/>
      <c r="D406" s="356"/>
      <c r="E406" s="356"/>
      <c r="F406" s="356"/>
      <c r="G406" s="356"/>
      <c r="H406" s="356"/>
      <c r="I406" s="355"/>
      <c r="J406" s="355"/>
      <c r="K406" s="355"/>
      <c r="L406" s="355"/>
      <c r="M406" s="355"/>
      <c r="N406" s="355"/>
    </row>
    <row r="407" spans="1:16" s="131" customFormat="1" ht="15" customHeight="1">
      <c r="B407" s="122"/>
      <c r="C407" s="140"/>
      <c r="D407" s="132"/>
      <c r="E407" s="132"/>
      <c r="F407" s="132"/>
      <c r="G407" s="132"/>
      <c r="H407" s="132"/>
      <c r="I407" s="136"/>
      <c r="J407" s="136"/>
      <c r="K407" s="136"/>
      <c r="L407" s="136"/>
      <c r="M407" s="136"/>
      <c r="N407" s="136"/>
    </row>
    <row r="408" spans="1:16" s="131" customFormat="1" ht="15" customHeight="1">
      <c r="A408" s="131" t="s">
        <v>0</v>
      </c>
      <c r="B408" s="144" t="s">
        <v>160</v>
      </c>
      <c r="C408" s="143"/>
      <c r="D408" s="429"/>
      <c r="E408" s="429"/>
      <c r="F408" s="141"/>
      <c r="G408" s="141"/>
      <c r="H408" s="141"/>
      <c r="I408" s="428"/>
      <c r="J408" s="427"/>
      <c r="K408" s="427"/>
      <c r="L408" s="427"/>
      <c r="M408" s="427"/>
      <c r="N408" s="427"/>
    </row>
    <row r="409" spans="1:16" s="131" customFormat="1" ht="15" customHeight="1" outlineLevel="1">
      <c r="B409" s="304"/>
      <c r="C409" s="140"/>
      <c r="D409" s="139"/>
    </row>
    <row r="410" spans="1:16" s="131" customFormat="1" ht="15" customHeight="1" outlineLevel="1">
      <c r="B410" s="122" t="s">
        <v>40</v>
      </c>
      <c r="C410" s="140"/>
      <c r="D410" s="139"/>
      <c r="E410" s="139"/>
      <c r="F410" s="138"/>
      <c r="G410" s="138"/>
      <c r="H410" s="138"/>
      <c r="I410" s="138"/>
      <c r="J410" s="138"/>
      <c r="K410" s="138"/>
      <c r="L410" s="138"/>
      <c r="M410" s="138"/>
      <c r="N410" s="138"/>
      <c r="O410" s="401"/>
    </row>
    <row r="411" spans="1:16" s="131" customFormat="1" ht="15" customHeight="1" outlineLevel="1">
      <c r="B411" s="122" t="str">
        <f>$B$6</f>
        <v>Model Running: Base Case Drivers</v>
      </c>
      <c r="E411" s="139"/>
      <c r="F411" s="138"/>
      <c r="G411" s="138"/>
      <c r="H411" s="426" t="s">
        <v>61</v>
      </c>
      <c r="I411" s="425" t="s">
        <v>147</v>
      </c>
      <c r="J411" s="424"/>
      <c r="K411" s="424"/>
      <c r="L411" s="424"/>
      <c r="M411" s="424"/>
      <c r="N411" s="423" t="s">
        <v>131</v>
      </c>
      <c r="O411" s="410"/>
    </row>
    <row r="412" spans="1:16" s="131" customFormat="1" ht="15" customHeight="1" outlineLevel="1">
      <c r="E412" s="132"/>
      <c r="H412" s="422" t="s">
        <v>68</v>
      </c>
      <c r="I412" s="422" t="s">
        <v>68</v>
      </c>
      <c r="J412" s="421" t="s">
        <v>68</v>
      </c>
      <c r="K412" s="421" t="s">
        <v>68</v>
      </c>
      <c r="L412" s="421" t="s">
        <v>68</v>
      </c>
      <c r="M412" s="421" t="s">
        <v>68</v>
      </c>
      <c r="N412" s="420" t="s">
        <v>68</v>
      </c>
      <c r="O412" s="410"/>
    </row>
    <row r="413" spans="1:16" s="131" customFormat="1" ht="15" customHeight="1" outlineLevel="1">
      <c r="B413" s="419" t="s">
        <v>24</v>
      </c>
      <c r="C413" s="418">
        <f>+Outputs!$O$56</f>
        <v>7</v>
      </c>
      <c r="E413" s="132"/>
      <c r="F413" s="414" t="s">
        <v>159</v>
      </c>
      <c r="H413" s="413">
        <f>Inputs!F94</f>
        <v>45016</v>
      </c>
      <c r="I413" s="413">
        <f>Inputs!F96</f>
        <v>45291</v>
      </c>
      <c r="J413" s="412">
        <f>EDATE(I413,12)</f>
        <v>45657</v>
      </c>
      <c r="K413" s="412">
        <f t="shared" ref="K413:N413" si="104">EDATE(J413,12)</f>
        <v>46022</v>
      </c>
      <c r="L413" s="412">
        <f t="shared" si="104"/>
        <v>46387</v>
      </c>
      <c r="M413" s="412">
        <f t="shared" si="104"/>
        <v>46752</v>
      </c>
      <c r="N413" s="417">
        <f t="shared" si="104"/>
        <v>47118</v>
      </c>
      <c r="O413" s="410"/>
      <c r="P413" s="800">
        <f>'Model-R'!S413</f>
        <v>1</v>
      </c>
    </row>
    <row r="414" spans="1:16" s="131" customFormat="1" ht="15" customHeight="1" outlineLevel="1" thickBot="1">
      <c r="B414" s="416" t="s">
        <v>23</v>
      </c>
      <c r="C414" s="415">
        <f>+Outputs!$O$57</f>
        <v>9.7429919540151538E-2</v>
      </c>
      <c r="D414" s="139"/>
      <c r="E414" s="132"/>
      <c r="F414" s="414" t="s">
        <v>158</v>
      </c>
      <c r="H414" s="413">
        <f>H413</f>
        <v>45016</v>
      </c>
      <c r="I414" s="413">
        <f>Inputs!F95</f>
        <v>45107</v>
      </c>
      <c r="J414" s="412">
        <f t="shared" ref="J414:N414" si="105">EDATE(I414,12)</f>
        <v>45473</v>
      </c>
      <c r="K414" s="412">
        <f t="shared" si="105"/>
        <v>45838</v>
      </c>
      <c r="L414" s="412">
        <f t="shared" si="105"/>
        <v>46203</v>
      </c>
      <c r="M414" s="412">
        <f t="shared" si="105"/>
        <v>46568</v>
      </c>
      <c r="N414" s="411">
        <f t="shared" si="105"/>
        <v>46934</v>
      </c>
      <c r="O414" s="410"/>
      <c r="P414" s="800">
        <f>'Model-R'!S414</f>
        <v>1</v>
      </c>
    </row>
    <row r="415" spans="1:16" s="131" customFormat="1" ht="15" customHeight="1" outlineLevel="1">
      <c r="B415" s="304"/>
      <c r="C415" s="140"/>
      <c r="D415" s="139"/>
      <c r="E415" s="139"/>
      <c r="F415" s="138"/>
      <c r="G415" s="138"/>
      <c r="H415" s="409"/>
      <c r="I415" s="409"/>
      <c r="J415" s="409"/>
      <c r="K415" s="409"/>
      <c r="L415" s="409"/>
      <c r="M415" s="409"/>
      <c r="N415" s="409"/>
      <c r="O415" s="401"/>
      <c r="P415" s="817"/>
    </row>
    <row r="416" spans="1:16" s="131" customFormat="1" ht="15" customHeight="1" outlineLevel="1">
      <c r="B416" s="104" t="s">
        <v>157</v>
      </c>
      <c r="C416" s="405"/>
      <c r="D416" s="404"/>
      <c r="E416" s="404"/>
      <c r="F416" s="252"/>
      <c r="G416" s="252"/>
      <c r="H416" s="408"/>
      <c r="I416" s="407">
        <f t="shared" ref="I416:N416" si="106">I$350</f>
        <v>14549.119019497273</v>
      </c>
      <c r="J416" s="407">
        <f t="shared" si="106"/>
        <v>13958.672655205934</v>
      </c>
      <c r="K416" s="407">
        <f t="shared" si="106"/>
        <v>10523.496573841043</v>
      </c>
      <c r="L416" s="407">
        <f t="shared" si="106"/>
        <v>10254.62458548319</v>
      </c>
      <c r="M416" s="407">
        <f t="shared" si="106"/>
        <v>9804.7902780381755</v>
      </c>
      <c r="N416" s="406">
        <f t="shared" si="106"/>
        <v>9486.1663680433794</v>
      </c>
      <c r="O416" s="401"/>
      <c r="P416" s="817"/>
    </row>
    <row r="417" spans="2:16" s="131" customFormat="1" ht="15" customHeight="1" outlineLevel="1">
      <c r="B417" s="104" t="s">
        <v>156</v>
      </c>
      <c r="C417" s="405"/>
      <c r="D417" s="404"/>
      <c r="E417" s="404"/>
      <c r="F417" s="252"/>
      <c r="G417" s="252"/>
      <c r="H417" s="403"/>
      <c r="I417" s="389"/>
      <c r="J417" s="389"/>
      <c r="K417" s="389"/>
      <c r="L417" s="389"/>
      <c r="M417" s="390"/>
      <c r="N417" s="402">
        <f>N110</f>
        <v>18929.660046379347</v>
      </c>
      <c r="O417" s="401"/>
      <c r="P417" s="800">
        <f>'Model-R'!S417</f>
        <v>1</v>
      </c>
    </row>
    <row r="418" spans="2:16" s="131" customFormat="1" ht="15" customHeight="1" outlineLevel="1">
      <c r="P418" s="817"/>
    </row>
    <row r="419" spans="2:16" s="131" customFormat="1" ht="15" customHeight="1" outlineLevel="1">
      <c r="B419" s="370" t="s">
        <v>155</v>
      </c>
      <c r="E419" s="132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817"/>
    </row>
    <row r="420" spans="2:16" s="131" customFormat="1" ht="15" customHeight="1" outlineLevel="1">
      <c r="B420" s="376" t="s">
        <v>147</v>
      </c>
      <c r="D420" s="400"/>
      <c r="E420" s="132"/>
      <c r="F420" s="399" t="s">
        <v>154</v>
      </c>
      <c r="G420" s="252"/>
      <c r="H420" s="387">
        <v>0</v>
      </c>
      <c r="I420" s="395">
        <f>I416</f>
        <v>14549.119019497273</v>
      </c>
      <c r="J420" s="395">
        <f t="shared" ref="J420:N420" si="107">J416</f>
        <v>13958.672655205934</v>
      </c>
      <c r="K420" s="395">
        <f t="shared" si="107"/>
        <v>10523.496573841043</v>
      </c>
      <c r="L420" s="395">
        <f t="shared" si="107"/>
        <v>10254.62458548319</v>
      </c>
      <c r="M420" s="395">
        <f t="shared" si="107"/>
        <v>9804.7902780381755</v>
      </c>
      <c r="N420" s="395">
        <f t="shared" si="107"/>
        <v>9486.1663680433794</v>
      </c>
      <c r="O420" s="377"/>
      <c r="P420" s="800">
        <f>'Model-R'!S420</f>
        <v>1</v>
      </c>
    </row>
    <row r="421" spans="2:16" s="131" customFormat="1" ht="15" customHeight="1" outlineLevel="1">
      <c r="B421" s="376" t="s">
        <v>153</v>
      </c>
      <c r="D421" s="132"/>
      <c r="E421" s="132"/>
      <c r="F421" s="398" t="s">
        <v>152</v>
      </c>
      <c r="G421" s="252"/>
      <c r="H421" s="394">
        <v>0</v>
      </c>
      <c r="I421" s="394">
        <v>0</v>
      </c>
      <c r="J421" s="394">
        <v>0</v>
      </c>
      <c r="K421" s="394">
        <v>0</v>
      </c>
      <c r="L421" s="394">
        <v>0</v>
      </c>
      <c r="M421" s="394">
        <v>0</v>
      </c>
      <c r="N421" s="397">
        <f>(N417*C413)/(1+C414)^F422</f>
        <v>126488.91185543586</v>
      </c>
      <c r="O421" s="377"/>
      <c r="P421" s="800">
        <f>'Model-R'!S421</f>
        <v>1</v>
      </c>
    </row>
    <row r="422" spans="2:16" s="131" customFormat="1" ht="15" customHeight="1" outlineLevel="1">
      <c r="B422" s="376" t="s">
        <v>145</v>
      </c>
      <c r="D422" s="375"/>
      <c r="E422" s="375"/>
      <c r="F422" s="396">
        <f>YEARFRAC(N414,N413)</f>
        <v>0.5</v>
      </c>
      <c r="G422" s="800">
        <f>'Model-R'!W422</f>
        <v>1</v>
      </c>
      <c r="H422" s="385">
        <f t="shared" ref="H422" si="108">SUM(H420:H421)</f>
        <v>0</v>
      </c>
      <c r="I422" s="395">
        <f>SUM(I420:I421)</f>
        <v>14549.119019497273</v>
      </c>
      <c r="J422" s="395">
        <f t="shared" ref="J422:N422" si="109">SUM(J420:J421)</f>
        <v>13958.672655205934</v>
      </c>
      <c r="K422" s="395">
        <f t="shared" si="109"/>
        <v>10523.496573841043</v>
      </c>
      <c r="L422" s="395">
        <f t="shared" si="109"/>
        <v>10254.62458548319</v>
      </c>
      <c r="M422" s="395">
        <f t="shared" si="109"/>
        <v>9804.7902780381755</v>
      </c>
      <c r="N422" s="395">
        <f t="shared" si="109"/>
        <v>135975.07822347924</v>
      </c>
      <c r="O422" s="377"/>
      <c r="P422" s="800">
        <f>'Model-R'!S422</f>
        <v>1</v>
      </c>
    </row>
    <row r="423" spans="2:16" s="131" customFormat="1" ht="15" customHeight="1" outlineLevel="1">
      <c r="B423" s="370"/>
      <c r="D423" s="132"/>
      <c r="E423" s="132"/>
      <c r="F423" s="388"/>
      <c r="G423" s="388"/>
      <c r="H423" s="388"/>
      <c r="I423" s="388"/>
      <c r="J423" s="388"/>
      <c r="K423" s="388"/>
      <c r="L423" s="388"/>
      <c r="M423" s="34"/>
      <c r="N423" s="34"/>
      <c r="O423" s="377"/>
      <c r="P423" s="817"/>
    </row>
    <row r="424" spans="2:16" s="131" customFormat="1" ht="15" customHeight="1" outlineLevel="1">
      <c r="B424" s="370" t="s">
        <v>151</v>
      </c>
      <c r="D424" s="132"/>
      <c r="E424" s="132"/>
      <c r="F424" s="388"/>
      <c r="G424" s="388"/>
      <c r="H424" s="387"/>
      <c r="I424" s="386"/>
      <c r="J424" s="386"/>
      <c r="K424" s="386"/>
      <c r="L424" s="386"/>
      <c r="M424" s="386"/>
      <c r="N424" s="386"/>
      <c r="O424" s="377"/>
      <c r="P424" s="817"/>
    </row>
    <row r="425" spans="2:16" s="131" customFormat="1" ht="15" customHeight="1" outlineLevel="1">
      <c r="B425" s="376" t="s">
        <v>150</v>
      </c>
      <c r="D425" s="132"/>
      <c r="E425" s="132"/>
      <c r="F425" s="388"/>
      <c r="G425" s="388"/>
      <c r="H425" s="387">
        <v>0</v>
      </c>
      <c r="I425" s="386">
        <f t="shared" ref="I425:N425" si="110">YEARFRAC(I413,H413)</f>
        <v>0.75</v>
      </c>
      <c r="J425" s="386">
        <f t="shared" si="110"/>
        <v>1</v>
      </c>
      <c r="K425" s="386">
        <f t="shared" si="110"/>
        <v>1</v>
      </c>
      <c r="L425" s="386">
        <f t="shared" si="110"/>
        <v>1</v>
      </c>
      <c r="M425" s="386">
        <f t="shared" si="110"/>
        <v>1</v>
      </c>
      <c r="N425" s="386">
        <f t="shared" si="110"/>
        <v>1</v>
      </c>
      <c r="O425" s="377"/>
      <c r="P425" s="817"/>
    </row>
    <row r="426" spans="2:16" s="131" customFormat="1" ht="6" customHeight="1" outlineLevel="1">
      <c r="B426" s="376"/>
      <c r="D426" s="132"/>
      <c r="E426" s="132"/>
      <c r="F426" s="388"/>
      <c r="G426" s="388"/>
      <c r="H426" s="387"/>
      <c r="I426" s="386"/>
      <c r="J426" s="386"/>
      <c r="K426" s="386"/>
      <c r="L426" s="386"/>
      <c r="M426" s="386"/>
      <c r="N426" s="386"/>
      <c r="O426" s="377"/>
      <c r="P426" s="817"/>
    </row>
    <row r="427" spans="2:16" s="131" customFormat="1" ht="15" customHeight="1" outlineLevel="1">
      <c r="B427" s="229" t="s">
        <v>147</v>
      </c>
      <c r="D427" s="132"/>
      <c r="E427" s="132"/>
      <c r="F427" s="388"/>
      <c r="G427" s="388"/>
      <c r="H427" s="387">
        <v>0</v>
      </c>
      <c r="I427" s="385">
        <f t="shared" ref="I427:N428" si="111">I420*I$425</f>
        <v>10911.839264622955</v>
      </c>
      <c r="J427" s="385">
        <f t="shared" si="111"/>
        <v>13958.672655205934</v>
      </c>
      <c r="K427" s="385">
        <f t="shared" si="111"/>
        <v>10523.496573841043</v>
      </c>
      <c r="L427" s="385">
        <f t="shared" si="111"/>
        <v>10254.62458548319</v>
      </c>
      <c r="M427" s="385">
        <f t="shared" si="111"/>
        <v>9804.7902780381755</v>
      </c>
      <c r="N427" s="385">
        <f t="shared" si="111"/>
        <v>9486.1663680433794</v>
      </c>
      <c r="O427" s="377"/>
      <c r="P427" s="817"/>
    </row>
    <row r="428" spans="2:16" s="131" customFormat="1" ht="15" customHeight="1" outlineLevel="1">
      <c r="B428" s="229" t="s">
        <v>146</v>
      </c>
      <c r="D428" s="132"/>
      <c r="E428" s="132"/>
      <c r="F428" s="388"/>
      <c r="G428" s="388"/>
      <c r="H428" s="394">
        <v>0</v>
      </c>
      <c r="I428" s="393">
        <f t="shared" si="111"/>
        <v>0</v>
      </c>
      <c r="J428" s="393">
        <f t="shared" si="111"/>
        <v>0</v>
      </c>
      <c r="K428" s="393">
        <f t="shared" si="111"/>
        <v>0</v>
      </c>
      <c r="L428" s="393">
        <f t="shared" si="111"/>
        <v>0</v>
      </c>
      <c r="M428" s="393">
        <f t="shared" si="111"/>
        <v>0</v>
      </c>
      <c r="N428" s="393">
        <f t="shared" si="111"/>
        <v>126488.91185543586</v>
      </c>
      <c r="O428" s="377"/>
      <c r="P428" s="817"/>
    </row>
    <row r="429" spans="2:16" s="131" customFormat="1" ht="15" customHeight="1" outlineLevel="1">
      <c r="B429" s="229" t="s">
        <v>145</v>
      </c>
      <c r="D429" s="132"/>
      <c r="E429" s="132"/>
      <c r="F429" s="388"/>
      <c r="G429" s="388"/>
      <c r="H429" s="385">
        <f t="shared" ref="H429:N429" si="112">SUM(H427:H428)</f>
        <v>0</v>
      </c>
      <c r="I429" s="385">
        <f t="shared" si="112"/>
        <v>10911.839264622955</v>
      </c>
      <c r="J429" s="385">
        <f t="shared" si="112"/>
        <v>13958.672655205934</v>
      </c>
      <c r="K429" s="385">
        <f t="shared" si="112"/>
        <v>10523.496573841043</v>
      </c>
      <c r="L429" s="385">
        <f t="shared" si="112"/>
        <v>10254.62458548319</v>
      </c>
      <c r="M429" s="385">
        <f t="shared" si="112"/>
        <v>9804.7902780381755</v>
      </c>
      <c r="N429" s="385">
        <f t="shared" si="112"/>
        <v>135975.07822347924</v>
      </c>
      <c r="O429" s="377"/>
      <c r="P429" s="817"/>
    </row>
    <row r="430" spans="2:16" s="131" customFormat="1" ht="15" customHeight="1" outlineLevel="1">
      <c r="B430" s="376"/>
      <c r="D430" s="132"/>
      <c r="E430" s="132"/>
      <c r="F430" s="388"/>
      <c r="G430" s="388"/>
      <c r="H430" s="387"/>
      <c r="I430" s="386"/>
      <c r="J430" s="386"/>
      <c r="K430" s="386"/>
      <c r="L430" s="386"/>
      <c r="M430" s="386"/>
      <c r="N430" s="386"/>
      <c r="O430" s="377"/>
      <c r="P430" s="817"/>
    </row>
    <row r="431" spans="2:16" s="131" customFormat="1" ht="15" customHeight="1" outlineLevel="1">
      <c r="B431" s="370" t="s">
        <v>149</v>
      </c>
      <c r="D431" s="132"/>
      <c r="E431" s="132"/>
      <c r="F431" s="388"/>
      <c r="G431" s="388"/>
      <c r="H431" s="387"/>
      <c r="I431" s="386"/>
      <c r="J431" s="386"/>
      <c r="K431" s="386"/>
      <c r="L431" s="386"/>
      <c r="M431" s="386"/>
      <c r="N431" s="386"/>
      <c r="O431" s="377"/>
      <c r="P431" s="817"/>
    </row>
    <row r="432" spans="2:16" s="131" customFormat="1" ht="15" customHeight="1" outlineLevel="1">
      <c r="B432" s="376" t="s">
        <v>148</v>
      </c>
      <c r="D432" s="132"/>
      <c r="E432" s="132"/>
      <c r="F432" s="388"/>
      <c r="G432" s="388"/>
      <c r="H432" s="257">
        <v>0</v>
      </c>
      <c r="I432" s="392">
        <f t="shared" ref="I432:N432" si="113">H432+YEARFRAC(H414,I414)</f>
        <v>0.25</v>
      </c>
      <c r="J432" s="392">
        <f t="shared" si="113"/>
        <v>1.25</v>
      </c>
      <c r="K432" s="392">
        <f t="shared" si="113"/>
        <v>2.25</v>
      </c>
      <c r="L432" s="392">
        <f t="shared" si="113"/>
        <v>3.25</v>
      </c>
      <c r="M432" s="392">
        <f t="shared" si="113"/>
        <v>4.25</v>
      </c>
      <c r="N432" s="392">
        <f t="shared" si="113"/>
        <v>5.25</v>
      </c>
      <c r="O432" s="377"/>
      <c r="P432" s="817"/>
    </row>
    <row r="433" spans="2:16" s="131" customFormat="1" ht="6" customHeight="1" outlineLevel="1">
      <c r="B433" s="376"/>
      <c r="D433" s="132"/>
      <c r="E433" s="132"/>
      <c r="F433" s="388"/>
      <c r="G433" s="388"/>
      <c r="H433" s="257"/>
      <c r="I433" s="392"/>
      <c r="J433" s="392"/>
      <c r="K433" s="392"/>
      <c r="L433" s="392"/>
      <c r="M433" s="392"/>
      <c r="N433" s="392"/>
      <c r="O433" s="377"/>
      <c r="P433" s="817"/>
    </row>
    <row r="434" spans="2:16" s="131" customFormat="1" ht="15" customHeight="1" outlineLevel="1">
      <c r="B434" s="229" t="s">
        <v>147</v>
      </c>
      <c r="D434" s="132"/>
      <c r="E434" s="132"/>
      <c r="F434" s="388"/>
      <c r="G434" s="388"/>
      <c r="H434" s="391">
        <v>0</v>
      </c>
      <c r="I434" s="126">
        <f t="shared" ref="I434:N435" si="114">I427/(1+$C$414)^I$432</f>
        <v>10661.142810939264</v>
      </c>
      <c r="J434" s="126">
        <f t="shared" si="114"/>
        <v>12427.195408225001</v>
      </c>
      <c r="K434" s="126">
        <f t="shared" si="114"/>
        <v>8537.1374218976744</v>
      </c>
      <c r="L434" s="126">
        <f t="shared" si="114"/>
        <v>7580.4533206082488</v>
      </c>
      <c r="M434" s="126">
        <f t="shared" si="114"/>
        <v>6604.4540707862934</v>
      </c>
      <c r="N434" s="126">
        <f t="shared" si="114"/>
        <v>5822.5410138142461</v>
      </c>
      <c r="O434" s="377"/>
      <c r="P434" s="817"/>
    </row>
    <row r="435" spans="2:16" s="131" customFormat="1" ht="15" customHeight="1" outlineLevel="1">
      <c r="B435" s="229" t="s">
        <v>146</v>
      </c>
      <c r="D435" s="132"/>
      <c r="E435" s="132"/>
      <c r="F435" s="388"/>
      <c r="G435" s="388"/>
      <c r="H435" s="390">
        <v>0</v>
      </c>
      <c r="I435" s="389">
        <f t="shared" si="114"/>
        <v>0</v>
      </c>
      <c r="J435" s="389">
        <f t="shared" si="114"/>
        <v>0</v>
      </c>
      <c r="K435" s="389">
        <f t="shared" si="114"/>
        <v>0</v>
      </c>
      <c r="L435" s="389">
        <f t="shared" si="114"/>
        <v>0</v>
      </c>
      <c r="M435" s="389">
        <f t="shared" si="114"/>
        <v>0</v>
      </c>
      <c r="N435" s="389">
        <f t="shared" si="114"/>
        <v>77637.988677075919</v>
      </c>
      <c r="O435" s="377"/>
      <c r="P435" s="817"/>
    </row>
    <row r="436" spans="2:16" s="131" customFormat="1" ht="15" customHeight="1" outlineLevel="1">
      <c r="B436" s="229" t="s">
        <v>145</v>
      </c>
      <c r="D436" s="132"/>
      <c r="E436" s="132"/>
      <c r="F436" s="388"/>
      <c r="G436" s="388"/>
      <c r="H436" s="385">
        <f t="shared" ref="H436:N436" si="115">SUM(H434:H435)</f>
        <v>0</v>
      </c>
      <c r="I436" s="385">
        <f t="shared" si="115"/>
        <v>10661.142810939264</v>
      </c>
      <c r="J436" s="385">
        <f t="shared" si="115"/>
        <v>12427.195408225001</v>
      </c>
      <c r="K436" s="385">
        <f t="shared" si="115"/>
        <v>8537.1374218976744</v>
      </c>
      <c r="L436" s="385">
        <f t="shared" si="115"/>
        <v>7580.4533206082488</v>
      </c>
      <c r="M436" s="385">
        <f t="shared" si="115"/>
        <v>6604.4540707862934</v>
      </c>
      <c r="N436" s="385">
        <f t="shared" si="115"/>
        <v>83460.529690890166</v>
      </c>
      <c r="O436" s="377"/>
      <c r="P436" s="817"/>
    </row>
    <row r="437" spans="2:16" s="131" customFormat="1" ht="15" customHeight="1" outlineLevel="1">
      <c r="B437" s="229"/>
      <c r="D437" s="132"/>
      <c r="E437" s="132"/>
      <c r="F437" s="388"/>
      <c r="G437" s="388"/>
      <c r="H437" s="387"/>
      <c r="I437" s="386"/>
      <c r="J437" s="386"/>
      <c r="K437" s="386"/>
      <c r="L437" s="386"/>
      <c r="M437" s="386"/>
      <c r="N437" s="386"/>
      <c r="O437" s="377"/>
      <c r="P437" s="817"/>
    </row>
    <row r="438" spans="2:16" s="131" customFormat="1" ht="15" customHeight="1" outlineLevel="1">
      <c r="B438" s="376"/>
      <c r="D438" s="375"/>
      <c r="E438" s="375"/>
      <c r="F438" s="252"/>
      <c r="G438" s="252"/>
      <c r="H438" s="385"/>
      <c r="I438" s="385"/>
      <c r="J438" s="385"/>
      <c r="K438" s="385"/>
      <c r="L438" s="385"/>
      <c r="M438" s="385"/>
      <c r="N438" s="385"/>
      <c r="O438" s="377"/>
      <c r="P438" s="817"/>
    </row>
    <row r="439" spans="2:16" s="131" customFormat="1" ht="15" customHeight="1" outlineLevel="1">
      <c r="B439" s="370"/>
      <c r="D439" s="132"/>
      <c r="E439" s="132"/>
      <c r="F439" s="370" t="s">
        <v>144</v>
      </c>
      <c r="G439" s="127"/>
      <c r="H439" s="384"/>
      <c r="I439" s="252"/>
      <c r="J439" s="114" t="s">
        <v>144</v>
      </c>
      <c r="K439" s="383"/>
      <c r="L439" s="37"/>
      <c r="M439" s="37"/>
      <c r="N439" s="252"/>
      <c r="O439" s="377"/>
      <c r="P439" s="817"/>
    </row>
    <row r="440" spans="2:16" s="131" customFormat="1" ht="15" customHeight="1" outlineLevel="1">
      <c r="B440" s="376"/>
      <c r="D440" s="132"/>
      <c r="E440" s="132"/>
      <c r="F440" s="369" t="s">
        <v>143</v>
      </c>
      <c r="G440" s="382"/>
      <c r="H440" s="381">
        <f>SUM(I436:N436)</f>
        <v>129270.91272334664</v>
      </c>
      <c r="I440" s="800">
        <f>'Model-R'!S440</f>
        <v>1</v>
      </c>
      <c r="J440" s="380" t="s">
        <v>142</v>
      </c>
      <c r="K440" s="379"/>
      <c r="L440" s="378">
        <f>M440/$M$442</f>
        <v>0.39941641130646782</v>
      </c>
      <c r="M440" s="367">
        <f>SUM(I434:N434)</f>
        <v>51632.924046270724</v>
      </c>
      <c r="N440" s="126"/>
      <c r="O440" s="377"/>
      <c r="P440" s="817"/>
    </row>
    <row r="441" spans="2:16" ht="15" customHeight="1" outlineLevel="1">
      <c r="B441" s="376"/>
      <c r="D441" s="375"/>
      <c r="E441" s="375"/>
      <c r="F441" s="361" t="s">
        <v>141</v>
      </c>
      <c r="G441" s="35"/>
      <c r="H441" s="374">
        <f>XNPV(C414,H429:N429,H414:N414)</f>
        <v>129227.68313446036</v>
      </c>
      <c r="I441" s="800">
        <f>'Model-R'!S441</f>
        <v>1</v>
      </c>
      <c r="J441" s="366" t="s">
        <v>140</v>
      </c>
      <c r="K441" s="37"/>
      <c r="L441" s="371">
        <f>M441/$M$442</f>
        <v>0.60058358869353223</v>
      </c>
      <c r="M441" s="362">
        <f>SUM(I435:N435)</f>
        <v>77637.988677075919</v>
      </c>
      <c r="N441" s="126"/>
      <c r="P441" s="799"/>
    </row>
    <row r="442" spans="2:16" ht="15" customHeight="1" outlineLevel="1">
      <c r="H442" s="34" t="s">
        <v>0</v>
      </c>
      <c r="J442" s="373" t="s">
        <v>137</v>
      </c>
      <c r="K442" s="372"/>
      <c r="L442" s="371">
        <f>M442/$M$442</f>
        <v>1</v>
      </c>
      <c r="M442" s="362">
        <f>SUM(M440:M441)</f>
        <v>129270.91272334664</v>
      </c>
      <c r="P442" s="799"/>
    </row>
    <row r="443" spans="2:16" ht="15" customHeight="1" outlineLevel="1">
      <c r="P443" s="799"/>
    </row>
    <row r="444" spans="2:16" ht="15" customHeight="1" outlineLevel="1">
      <c r="P444" s="799"/>
    </row>
    <row r="445" spans="2:16" ht="15" customHeight="1" outlineLevel="1">
      <c r="F445" s="370" t="s">
        <v>139</v>
      </c>
      <c r="G445" s="252"/>
      <c r="J445" s="370" t="s">
        <v>138</v>
      </c>
      <c r="K445" s="252"/>
      <c r="P445" s="799"/>
    </row>
    <row r="446" spans="2:16" ht="15" customHeight="1" outlineLevel="1">
      <c r="F446" s="369" t="s">
        <v>137</v>
      </c>
      <c r="G446" s="368"/>
      <c r="H446" s="367">
        <f>H441</f>
        <v>129227.68313446036</v>
      </c>
      <c r="J446" s="369" t="s">
        <v>26</v>
      </c>
      <c r="K446" s="368"/>
      <c r="L446" s="368"/>
      <c r="M446" s="367">
        <f>H448</f>
        <v>110585.68313446036</v>
      </c>
    </row>
    <row r="447" spans="2:16" ht="15" customHeight="1" outlineLevel="1">
      <c r="F447" s="366" t="s">
        <v>136</v>
      </c>
      <c r="H447" s="363">
        <f>-Inputs!L94</f>
        <v>-18642</v>
      </c>
      <c r="J447" s="365" t="s">
        <v>32</v>
      </c>
      <c r="L447" s="364" t="s">
        <v>31</v>
      </c>
      <c r="M447" s="363">
        <f>Inputs!F105</f>
        <v>34200</v>
      </c>
    </row>
    <row r="448" spans="2:16" ht="15" customHeight="1" outlineLevel="1">
      <c r="F448" s="361" t="s">
        <v>26</v>
      </c>
      <c r="G448" s="35"/>
      <c r="H448" s="362">
        <f>SUM(H446:H447)</f>
        <v>110585.68313446036</v>
      </c>
      <c r="J448" s="361" t="s">
        <v>26</v>
      </c>
      <c r="K448" s="35"/>
      <c r="L448" s="360" t="s">
        <v>135</v>
      </c>
      <c r="M448" s="359">
        <f>M446/M447</f>
        <v>3.2334995068555661</v>
      </c>
    </row>
    <row r="449" spans="2:15" ht="15" customHeight="1" outlineLevel="1">
      <c r="C449" s="252"/>
    </row>
    <row r="450" spans="2:15" ht="15" customHeight="1" outlineLevel="1">
      <c r="B450" s="131"/>
      <c r="C450" s="140"/>
      <c r="D450" s="132"/>
      <c r="E450" s="132"/>
      <c r="F450" s="132"/>
      <c r="G450" s="132"/>
      <c r="H450" s="132"/>
      <c r="I450" s="136"/>
      <c r="J450" s="136"/>
      <c r="K450" s="136"/>
      <c r="L450" s="136"/>
      <c r="M450" s="38" t="s">
        <v>134</v>
      </c>
      <c r="N450" s="131"/>
      <c r="O450" s="98"/>
    </row>
    <row r="451" spans="2:15" ht="15" customHeight="1" outlineLevel="1">
      <c r="B451" s="717" t="str">
        <f>'Model-R'!S448</f>
        <v>COMPLETE</v>
      </c>
      <c r="C451" s="140"/>
      <c r="D451" s="132"/>
      <c r="E451" s="132"/>
      <c r="F451" s="132"/>
      <c r="G451" s="132"/>
      <c r="H451" s="132"/>
      <c r="I451" s="136"/>
      <c r="J451" s="136"/>
      <c r="K451" s="136"/>
      <c r="L451" s="136"/>
      <c r="M451" s="358" t="s">
        <v>133</v>
      </c>
      <c r="N451" s="131"/>
      <c r="O451" s="98"/>
    </row>
    <row r="452" spans="2:15" s="131" customFormat="1" ht="15" customHeight="1" outlineLevel="1">
      <c r="C452" s="140"/>
      <c r="D452" s="132"/>
      <c r="E452" s="132"/>
      <c r="F452" s="132"/>
      <c r="G452" s="132"/>
      <c r="H452" s="132"/>
      <c r="I452" s="136"/>
      <c r="J452" s="136"/>
      <c r="K452" s="136"/>
      <c r="L452" s="136"/>
      <c r="O452" s="98"/>
    </row>
    <row r="453" spans="2:15" s="131" customFormat="1" ht="15" customHeight="1" outlineLevel="1">
      <c r="B453" s="357"/>
      <c r="C453" s="240"/>
      <c r="D453" s="356"/>
      <c r="E453" s="356"/>
      <c r="F453" s="356"/>
      <c r="G453" s="356"/>
      <c r="H453" s="356"/>
      <c r="I453" s="355"/>
      <c r="J453" s="355"/>
      <c r="K453" s="355"/>
      <c r="L453" s="355"/>
      <c r="M453" s="355"/>
      <c r="N453" s="355" t="s">
        <v>0</v>
      </c>
    </row>
  </sheetData>
  <conditionalFormatting sqref="D246">
    <cfRule type="expression" dxfId="7" priority="3">
      <formula>$D$246=1</formula>
    </cfRule>
  </conditionalFormatting>
  <conditionalFormatting sqref="D288">
    <cfRule type="expression" dxfId="6" priority="2">
      <formula>$D$288=1</formula>
    </cfRule>
  </conditionalFormatting>
  <conditionalFormatting sqref="I43:N43">
    <cfRule type="expression" dxfId="5" priority="4">
      <formula>I$43=1</formula>
    </cfRule>
  </conditionalFormatting>
  <conditionalFormatting sqref="I353:N353">
    <cfRule type="expression" dxfId="4" priority="1">
      <formula>I353=1</formula>
    </cfRule>
  </conditionalFormatting>
  <printOptions horizontalCentered="1"/>
  <pageMargins left="0.11811023622047245" right="0.11811023622047245" top="0.11811023622047245" bottom="0.11811023622047245" header="0.11811023622047245" footer="0.11811023622047245"/>
  <pageSetup scale="88" orientation="landscape" r:id="rId1"/>
  <headerFooter>
    <oddFooter>&amp;L&amp;"Open Sans,Bold"&amp;10&amp;K002060DCF Valuation Modeling&amp;C&amp;"Open Sans,Bold"&amp;10&amp;K002060Page &amp;P of &amp;N&amp;R&amp;G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63D06-641B-49AE-B342-2EFD3462304D}">
  <sheetPr>
    <pageSetUpPr autoPageBreaks="0"/>
  </sheetPr>
  <dimension ref="A1:R89"/>
  <sheetViews>
    <sheetView showGridLines="0" tabSelected="1" zoomScaleNormal="100" zoomScaleSheetLayoutView="95" workbookViewId="0">
      <pane ySplit="1" topLeftCell="A6" activePane="bottomLeft" state="frozen"/>
      <selection pane="bottomLeft" activeCell="F70" sqref="F70"/>
    </sheetView>
  </sheetViews>
  <sheetFormatPr baseColWidth="10" defaultColWidth="9.1640625" defaultRowHeight="15" outlineLevelRow="1"/>
  <cols>
    <col min="1" max="1" width="9.1640625" style="34"/>
    <col min="2" max="2" width="3.5" style="34" bestFit="1" customWidth="1"/>
    <col min="3" max="3" width="8" style="34" customWidth="1"/>
    <col min="4" max="8" width="11.6640625" style="34" customWidth="1"/>
    <col min="9" max="9" width="6.6640625" style="34" customWidth="1"/>
    <col min="10" max="10" width="2.6640625" style="34" customWidth="1"/>
    <col min="11" max="11" width="8" style="34" customWidth="1"/>
    <col min="12" max="16" width="11.6640625" style="34" customWidth="1"/>
    <col min="17" max="17" width="3.6640625" style="34" customWidth="1"/>
    <col min="18" max="16384" width="9.1640625" style="34"/>
  </cols>
  <sheetData>
    <row r="1" spans="1:18" ht="50" customHeight="1">
      <c r="B1" s="798"/>
      <c r="C1" s="798"/>
      <c r="D1" s="798"/>
      <c r="E1" s="178"/>
      <c r="F1" s="178"/>
      <c r="G1" s="178"/>
      <c r="H1" s="178"/>
      <c r="I1" s="178"/>
      <c r="J1" s="179"/>
      <c r="K1" s="178"/>
      <c r="L1" s="178"/>
      <c r="M1" s="178"/>
      <c r="N1" s="178"/>
      <c r="O1" s="178"/>
      <c r="P1" s="178"/>
      <c r="Q1" s="178"/>
      <c r="R1" s="102"/>
    </row>
    <row r="2" spans="1:18" ht="15" customHeight="1"/>
    <row r="3" spans="1:18" ht="15" customHeight="1">
      <c r="A3" s="176" t="s">
        <v>0</v>
      </c>
      <c r="B3" s="144" t="s">
        <v>47</v>
      </c>
      <c r="C3" s="143"/>
      <c r="D3" s="143"/>
      <c r="E3" s="142"/>
      <c r="F3" s="142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38"/>
    </row>
    <row r="4" spans="1:18" ht="15" customHeight="1" outlineLevel="1">
      <c r="A4" s="177"/>
      <c r="B4" s="122"/>
      <c r="C4" s="140"/>
      <c r="D4" s="140"/>
      <c r="E4" s="139"/>
      <c r="F4" s="139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</row>
    <row r="5" spans="1:18" ht="15" customHeight="1" outlineLevel="1">
      <c r="A5" s="176"/>
      <c r="F5" s="132"/>
      <c r="G5" s="137"/>
      <c r="H5" s="132"/>
      <c r="I5" s="132"/>
      <c r="J5" s="136"/>
      <c r="K5" s="136"/>
      <c r="L5" s="101"/>
      <c r="M5" s="101"/>
      <c r="N5" s="101"/>
      <c r="O5" s="101"/>
    </row>
    <row r="6" spans="1:18" ht="15" customHeight="1" outlineLevel="1">
      <c r="D6" s="101" t="s">
        <v>41</v>
      </c>
      <c r="F6" s="175">
        <v>2</v>
      </c>
      <c r="L6" s="135" t="s">
        <v>40</v>
      </c>
      <c r="M6" s="69"/>
      <c r="N6" s="69"/>
      <c r="O6" s="69"/>
    </row>
    <row r="7" spans="1:18" ht="15" customHeight="1" outlineLevel="1"/>
    <row r="8" spans="1:18" ht="15" customHeight="1" outlineLevel="1"/>
    <row r="9" spans="1:18" ht="15" customHeight="1" outlineLevel="1">
      <c r="D9" s="134" t="s">
        <v>39</v>
      </c>
      <c r="E9" s="69"/>
      <c r="F9" s="69"/>
      <c r="G9" s="69"/>
      <c r="H9" s="69"/>
      <c r="L9" s="134" t="s">
        <v>38</v>
      </c>
      <c r="M9" s="69"/>
      <c r="N9" s="69"/>
      <c r="O9" s="69"/>
    </row>
    <row r="10" spans="1:18" s="102" customFormat="1" ht="15" customHeight="1" outlineLevel="1">
      <c r="D10" s="133"/>
      <c r="E10" s="133"/>
      <c r="F10" s="133"/>
      <c r="G10" s="133"/>
      <c r="H10" s="133"/>
      <c r="I10" s="132"/>
      <c r="J10" s="131"/>
      <c r="K10" s="131"/>
      <c r="L10" s="72"/>
      <c r="M10" s="72"/>
      <c r="N10" s="72"/>
      <c r="O10" s="72"/>
    </row>
    <row r="11" spans="1:18" ht="15" customHeight="1" outlineLevel="1">
      <c r="A11" s="131"/>
      <c r="D11" s="174"/>
      <c r="E11" s="102"/>
      <c r="F11" s="130" t="s">
        <v>37</v>
      </c>
      <c r="G11" s="130" t="s">
        <v>36</v>
      </c>
      <c r="H11" s="130" t="s">
        <v>36</v>
      </c>
      <c r="I11" s="126"/>
      <c r="J11" s="126"/>
      <c r="K11" s="126"/>
    </row>
    <row r="12" spans="1:18" ht="15" customHeight="1" outlineLevel="1">
      <c r="A12" s="131"/>
      <c r="D12" s="102"/>
      <c r="E12" s="102"/>
      <c r="F12" s="130" t="s">
        <v>35</v>
      </c>
      <c r="G12" s="130" t="s">
        <v>35</v>
      </c>
      <c r="H12" s="130" t="s">
        <v>34</v>
      </c>
      <c r="I12" s="126"/>
      <c r="J12" s="126"/>
      <c r="K12" s="126"/>
      <c r="L12" s="101" t="s">
        <v>43</v>
      </c>
      <c r="M12" s="101"/>
      <c r="N12" s="100"/>
      <c r="O12" s="36">
        <f>Inputs!$F$107</f>
        <v>0.02</v>
      </c>
    </row>
    <row r="13" spans="1:18" ht="15" customHeight="1" outlineLevel="1">
      <c r="A13" s="131"/>
      <c r="D13" s="799"/>
      <c r="E13" s="800">
        <f>'Outputs-R'!Y11</f>
        <v>0</v>
      </c>
      <c r="F13" s="128"/>
      <c r="G13" s="127"/>
      <c r="H13" s="127"/>
      <c r="I13" s="126"/>
      <c r="J13" s="126"/>
      <c r="K13" s="126"/>
      <c r="L13" s="101" t="s">
        <v>23</v>
      </c>
      <c r="N13" s="100"/>
      <c r="O13" s="36">
        <f>Inputs!$L$84</f>
        <v>9.7429919540151538E-2</v>
      </c>
      <c r="P13" s="105"/>
    </row>
    <row r="14" spans="1:18" ht="15" customHeight="1" outlineLevel="1">
      <c r="A14" s="131"/>
      <c r="B14" s="122"/>
      <c r="D14" s="169" t="s">
        <v>46</v>
      </c>
      <c r="E14" s="113"/>
      <c r="F14" s="125"/>
      <c r="G14" s="173"/>
      <c r="H14" s="172"/>
      <c r="I14" s="118"/>
      <c r="J14" s="117"/>
      <c r="K14" s="117"/>
      <c r="L14" s="101" t="s">
        <v>33</v>
      </c>
      <c r="N14" s="116" t="str">
        <f>CONCATENATE("(End of ",Model!$H$5,")")</f>
        <v>(End of 2022)</v>
      </c>
      <c r="O14" s="170">
        <f>Inputs!$L$94</f>
        <v>18642</v>
      </c>
      <c r="P14" s="105"/>
    </row>
    <row r="15" spans="1:18" ht="15" customHeight="1" outlineLevel="1">
      <c r="A15" s="131"/>
      <c r="B15" s="122"/>
      <c r="D15" s="169" t="s">
        <v>45</v>
      </c>
      <c r="E15" s="113"/>
      <c r="F15" s="121"/>
      <c r="G15" s="128"/>
      <c r="H15" s="171"/>
      <c r="I15" s="118"/>
      <c r="J15" s="117"/>
      <c r="K15" s="117"/>
      <c r="L15" s="101" t="s">
        <v>32</v>
      </c>
      <c r="M15" s="101"/>
      <c r="N15" s="116" t="s">
        <v>31</v>
      </c>
      <c r="O15" s="170">
        <f>Inputs!$F$105</f>
        <v>34200</v>
      </c>
      <c r="P15" s="105"/>
      <c r="Q15" s="98"/>
    </row>
    <row r="16" spans="1:18" s="102" customFormat="1" ht="15" customHeight="1" outlineLevel="1">
      <c r="B16" s="114"/>
      <c r="D16" s="169" t="s">
        <v>44</v>
      </c>
      <c r="E16" s="113"/>
      <c r="F16" s="112"/>
      <c r="G16" s="168"/>
      <c r="H16" s="167"/>
      <c r="I16" s="103"/>
      <c r="J16" s="103"/>
      <c r="L16" s="109" t="s">
        <v>30</v>
      </c>
      <c r="M16" s="108"/>
      <c r="N16" s="107" t="s">
        <v>29</v>
      </c>
      <c r="O16" s="106">
        <f>Inputs!$F$106</f>
        <v>2.23</v>
      </c>
      <c r="P16" s="105"/>
    </row>
    <row r="17" spans="2:17" s="102" customFormat="1" ht="15" customHeight="1" outlineLevel="1">
      <c r="B17" s="104"/>
      <c r="E17" s="800">
        <f>'Outputs-R'!U18</f>
        <v>0</v>
      </c>
      <c r="F17" s="800">
        <f ca="1">'Outputs-R'!Y18</f>
        <v>0</v>
      </c>
      <c r="G17" s="800">
        <f>'Outputs-R'!AC18</f>
        <v>0</v>
      </c>
      <c r="H17" s="800">
        <f>'Outputs-R'!AG18</f>
        <v>0</v>
      </c>
      <c r="I17" s="103"/>
      <c r="J17" s="103"/>
      <c r="L17" s="101"/>
      <c r="M17" s="34"/>
      <c r="N17" s="34"/>
      <c r="O17" s="100"/>
      <c r="P17" s="99"/>
      <c r="Q17" s="98"/>
    </row>
    <row r="18" spans="2:17" ht="15" customHeight="1" outlineLevel="1"/>
    <row r="19" spans="2:17" ht="15" customHeight="1" outlineLevel="1"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</row>
    <row r="20" spans="2:17" ht="15" customHeight="1" outlineLevel="1">
      <c r="D20" s="74" t="s">
        <v>28</v>
      </c>
      <c r="E20" s="69"/>
      <c r="F20" s="69"/>
      <c r="G20" s="69"/>
      <c r="H20" s="69"/>
      <c r="K20" s="37"/>
      <c r="L20" s="73" t="s">
        <v>27</v>
      </c>
      <c r="M20" s="65"/>
      <c r="N20" s="65"/>
      <c r="O20" s="65"/>
      <c r="P20" s="65"/>
    </row>
    <row r="21" spans="2:17" ht="15" customHeight="1" outlineLevel="1">
      <c r="D21" s="72"/>
      <c r="E21" s="72"/>
      <c r="F21" s="72"/>
      <c r="G21" s="72"/>
      <c r="H21" s="72"/>
      <c r="K21" s="37"/>
      <c r="L21" s="71"/>
      <c r="M21" s="71"/>
      <c r="N21" s="71"/>
      <c r="O21" s="71"/>
      <c r="P21" s="71"/>
    </row>
    <row r="22" spans="2:17" s="68" customFormat="1" ht="15" customHeight="1" outlineLevel="1">
      <c r="C22" s="97"/>
      <c r="D22" s="70" t="s">
        <v>43</v>
      </c>
      <c r="E22" s="69"/>
      <c r="F22" s="69"/>
      <c r="G22" s="69"/>
      <c r="H22" s="69"/>
      <c r="J22" s="34"/>
      <c r="K22" s="67"/>
      <c r="L22" s="66" t="s">
        <v>43</v>
      </c>
      <c r="M22" s="65"/>
      <c r="N22" s="65"/>
      <c r="O22" s="65"/>
      <c r="P22" s="65"/>
      <c r="Q22" s="34"/>
    </row>
    <row r="23" spans="2:17" ht="15" customHeight="1" outlineLevel="1">
      <c r="B23" s="800">
        <f>'Outputs-R'!U21</f>
        <v>0</v>
      </c>
      <c r="C23" s="96"/>
      <c r="D23" s="40">
        <f>E23-0.005</f>
        <v>9.9999999999999985E-3</v>
      </c>
      <c r="E23" s="40">
        <f>F23-0.005</f>
        <v>1.4999999999999999E-2</v>
      </c>
      <c r="F23" s="40">
        <f>Inputs!$F$107</f>
        <v>0.02</v>
      </c>
      <c r="G23" s="40">
        <f>F23+0.005</f>
        <v>2.5000000000000001E-2</v>
      </c>
      <c r="H23" s="40">
        <f>G23+0.005</f>
        <v>3.0000000000000002E-2</v>
      </c>
      <c r="I23" s="37"/>
      <c r="K23" s="95"/>
      <c r="L23" s="40">
        <f>D23</f>
        <v>9.9999999999999985E-3</v>
      </c>
      <c r="M23" s="40">
        <f>E23</f>
        <v>1.4999999999999999E-2</v>
      </c>
      <c r="N23" s="40">
        <f>F23</f>
        <v>0.02</v>
      </c>
      <c r="O23" s="40">
        <f>G23</f>
        <v>2.5000000000000001E-2</v>
      </c>
      <c r="P23" s="40">
        <f>H23</f>
        <v>3.0000000000000002E-2</v>
      </c>
    </row>
    <row r="24" spans="2:17" ht="15" customHeight="1" outlineLevel="1">
      <c r="B24" s="820" t="s">
        <v>23</v>
      </c>
      <c r="C24" s="40">
        <f>C25-0.01</f>
        <v>7.7429919540151548E-2</v>
      </c>
      <c r="D24" s="94"/>
      <c r="E24" s="93"/>
      <c r="F24" s="93"/>
      <c r="G24" s="93"/>
      <c r="H24" s="92"/>
      <c r="I24" s="37"/>
      <c r="J24" s="820" t="s">
        <v>23</v>
      </c>
      <c r="K24" s="40">
        <f>C24</f>
        <v>7.7429919540151548E-2</v>
      </c>
      <c r="L24" s="166"/>
      <c r="M24" s="165"/>
      <c r="N24" s="165"/>
      <c r="O24" s="165"/>
      <c r="P24" s="164"/>
    </row>
    <row r="25" spans="2:17" ht="15" customHeight="1" outlineLevel="1">
      <c r="B25" s="820"/>
      <c r="C25" s="40">
        <f>C26-0.01</f>
        <v>8.7429919540151543E-2</v>
      </c>
      <c r="D25" s="86"/>
      <c r="E25" s="85"/>
      <c r="F25" s="85"/>
      <c r="G25" s="85"/>
      <c r="H25" s="84"/>
      <c r="I25" s="37"/>
      <c r="J25" s="820"/>
      <c r="K25" s="40">
        <f>C25</f>
        <v>8.7429919540151543E-2</v>
      </c>
      <c r="L25" s="162"/>
      <c r="M25" s="161"/>
      <c r="N25" s="161"/>
      <c r="O25" s="161"/>
      <c r="P25" s="160"/>
    </row>
    <row r="26" spans="2:17" ht="15" customHeight="1" outlineLevel="1">
      <c r="B26" s="820"/>
      <c r="C26" s="40">
        <f>Inputs!$L$84</f>
        <v>9.7429919540151538E-2</v>
      </c>
      <c r="D26" s="86"/>
      <c r="E26" s="85"/>
      <c r="F26" s="88"/>
      <c r="G26" s="85"/>
      <c r="H26" s="84"/>
      <c r="I26" s="37"/>
      <c r="J26" s="820"/>
      <c r="K26" s="40">
        <f>C26</f>
        <v>9.7429919540151538E-2</v>
      </c>
      <c r="L26" s="162"/>
      <c r="M26" s="161"/>
      <c r="N26" s="163"/>
      <c r="O26" s="161"/>
      <c r="P26" s="160"/>
    </row>
    <row r="27" spans="2:17" ht="15" customHeight="1" outlineLevel="1">
      <c r="B27" s="820"/>
      <c r="C27" s="40">
        <f>C26+0.01</f>
        <v>0.10742991954015153</v>
      </c>
      <c r="D27" s="86"/>
      <c r="E27" s="85"/>
      <c r="F27" s="85"/>
      <c r="G27" s="85"/>
      <c r="H27" s="84"/>
      <c r="I27" s="37"/>
      <c r="J27" s="820"/>
      <c r="K27" s="40">
        <f>C27</f>
        <v>0.10742991954015153</v>
      </c>
      <c r="L27" s="162"/>
      <c r="M27" s="161"/>
      <c r="N27" s="161"/>
      <c r="O27" s="161"/>
      <c r="P27" s="160"/>
    </row>
    <row r="28" spans="2:17" ht="15" customHeight="1" outlineLevel="1">
      <c r="B28" s="820"/>
      <c r="C28" s="40">
        <f>C27+0.01</f>
        <v>0.11742991954015153</v>
      </c>
      <c r="D28" s="80"/>
      <c r="E28" s="79"/>
      <c r="F28" s="79"/>
      <c r="G28" s="79"/>
      <c r="H28" s="78"/>
      <c r="I28" s="37"/>
      <c r="J28" s="820"/>
      <c r="K28" s="40">
        <f>C28</f>
        <v>0.11742991954015153</v>
      </c>
      <c r="L28" s="159"/>
      <c r="M28" s="158"/>
      <c r="N28" s="158"/>
      <c r="O28" s="158"/>
      <c r="P28" s="157"/>
    </row>
    <row r="29" spans="2:17" ht="15" customHeight="1" outlineLevel="1">
      <c r="C29" s="37"/>
      <c r="D29" s="37"/>
      <c r="E29" s="37"/>
      <c r="F29" s="37"/>
      <c r="G29" s="37"/>
      <c r="H29" s="801">
        <f ca="1">'Outputs-R'!AE30</f>
        <v>0</v>
      </c>
      <c r="I29" s="37"/>
      <c r="P29" s="801">
        <f>'Outputs-R'!Y37</f>
        <v>0</v>
      </c>
    </row>
    <row r="30" spans="2:17" ht="15" customHeight="1" outlineLevel="1">
      <c r="C30" s="37"/>
      <c r="D30" s="37"/>
      <c r="E30" s="37"/>
      <c r="F30" s="37"/>
      <c r="G30" s="37"/>
      <c r="H30" s="37"/>
      <c r="I30" s="37"/>
      <c r="J30" s="37"/>
      <c r="K30" s="37"/>
      <c r="L30" s="73"/>
      <c r="M30" s="65"/>
      <c r="N30" s="65"/>
      <c r="O30" s="65"/>
      <c r="P30" s="65"/>
    </row>
    <row r="31" spans="2:17" ht="15" customHeight="1" outlineLevel="1"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</row>
    <row r="32" spans="2:17" ht="15" customHeight="1" outlineLevel="1"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</row>
    <row r="33" spans="1:17" ht="15" customHeight="1" outlineLevel="1">
      <c r="D33" s="74" t="s">
        <v>26</v>
      </c>
      <c r="E33" s="69"/>
      <c r="F33" s="69"/>
      <c r="G33" s="69"/>
      <c r="H33" s="69"/>
      <c r="I33" s="37"/>
      <c r="J33" s="37"/>
      <c r="K33" s="37"/>
      <c r="L33" s="73" t="s">
        <v>25</v>
      </c>
      <c r="M33" s="65"/>
      <c r="N33" s="65"/>
      <c r="O33" s="65"/>
      <c r="P33" s="65"/>
    </row>
    <row r="34" spans="1:17" ht="15" customHeight="1" outlineLevel="1">
      <c r="D34" s="72"/>
      <c r="E34" s="72"/>
      <c r="F34" s="72"/>
      <c r="G34" s="72"/>
      <c r="H34" s="72"/>
      <c r="I34" s="37"/>
      <c r="J34" s="37"/>
      <c r="K34" s="37"/>
      <c r="L34" s="71"/>
      <c r="M34" s="71"/>
      <c r="N34" s="71"/>
      <c r="O34" s="71"/>
      <c r="P34" s="71"/>
    </row>
    <row r="35" spans="1:17" ht="15" customHeight="1" outlineLevel="1">
      <c r="B35" s="68"/>
      <c r="C35" s="68"/>
      <c r="D35" s="70" t="s">
        <v>43</v>
      </c>
      <c r="E35" s="69"/>
      <c r="F35" s="69"/>
      <c r="G35" s="69"/>
      <c r="H35" s="69"/>
      <c r="I35" s="67"/>
      <c r="J35" s="67"/>
      <c r="K35" s="67"/>
      <c r="L35" s="66" t="s">
        <v>43</v>
      </c>
      <c r="M35" s="65"/>
      <c r="N35" s="65"/>
      <c r="O35" s="65"/>
      <c r="P35" s="65"/>
    </row>
    <row r="36" spans="1:17" ht="15" customHeight="1" outlineLevel="1">
      <c r="B36" s="37"/>
      <c r="C36" s="64"/>
      <c r="D36" s="156">
        <f>D23</f>
        <v>9.9999999999999985E-3</v>
      </c>
      <c r="E36" s="156">
        <f>E23</f>
        <v>1.4999999999999999E-2</v>
      </c>
      <c r="F36" s="156">
        <f>F23</f>
        <v>0.02</v>
      </c>
      <c r="G36" s="156">
        <f>G23</f>
        <v>2.5000000000000001E-2</v>
      </c>
      <c r="H36" s="156">
        <f>H23</f>
        <v>3.0000000000000002E-2</v>
      </c>
      <c r="I36" s="37"/>
      <c r="J36" s="37"/>
      <c r="K36" s="64"/>
      <c r="L36" s="40">
        <f>D36</f>
        <v>9.9999999999999985E-3</v>
      </c>
      <c r="M36" s="40">
        <f>E36</f>
        <v>1.4999999999999999E-2</v>
      </c>
      <c r="N36" s="40">
        <f>F36</f>
        <v>0.02</v>
      </c>
      <c r="O36" s="40">
        <f>G36</f>
        <v>2.5000000000000001E-2</v>
      </c>
      <c r="P36" s="40">
        <f>H36</f>
        <v>3.0000000000000002E-2</v>
      </c>
    </row>
    <row r="37" spans="1:17" ht="15" customHeight="1" outlineLevel="1">
      <c r="B37" s="821" t="s">
        <v>23</v>
      </c>
      <c r="C37" s="40">
        <f>C24</f>
        <v>7.7429919540151548E-2</v>
      </c>
      <c r="D37" s="86"/>
      <c r="E37" s="155"/>
      <c r="F37" s="155"/>
      <c r="G37" s="93"/>
      <c r="H37" s="92"/>
      <c r="I37" s="37"/>
      <c r="J37" s="821" t="s">
        <v>23</v>
      </c>
      <c r="K37" s="40">
        <f>C37</f>
        <v>7.7429919540151548E-2</v>
      </c>
      <c r="L37" s="154"/>
      <c r="M37" s="153"/>
      <c r="N37" s="153"/>
      <c r="O37" s="153"/>
      <c r="P37" s="152"/>
    </row>
    <row r="38" spans="1:17" ht="15" customHeight="1" outlineLevel="1">
      <c r="B38" s="821"/>
      <c r="C38" s="40">
        <f>C25</f>
        <v>8.7429919540151543E-2</v>
      </c>
      <c r="D38" s="86"/>
      <c r="E38" s="85"/>
      <c r="F38" s="85"/>
      <c r="G38" s="85"/>
      <c r="H38" s="84"/>
      <c r="I38" s="37"/>
      <c r="J38" s="821"/>
      <c r="K38" s="40">
        <f>C38</f>
        <v>8.7429919540151543E-2</v>
      </c>
      <c r="L38" s="150"/>
      <c r="M38" s="149"/>
      <c r="N38" s="149"/>
      <c r="O38" s="149"/>
      <c r="P38" s="148"/>
    </row>
    <row r="39" spans="1:17" ht="15" customHeight="1" outlineLevel="1">
      <c r="B39" s="821"/>
      <c r="C39" s="40">
        <f>C26</f>
        <v>9.7429919540151538E-2</v>
      </c>
      <c r="D39" s="86"/>
      <c r="E39" s="85"/>
      <c r="F39" s="88"/>
      <c r="G39" s="85"/>
      <c r="H39" s="84"/>
      <c r="I39" s="37"/>
      <c r="J39" s="821"/>
      <c r="K39" s="40">
        <f>C39</f>
        <v>9.7429919540151538E-2</v>
      </c>
      <c r="L39" s="150"/>
      <c r="M39" s="149"/>
      <c r="N39" s="151"/>
      <c r="O39" s="149"/>
      <c r="P39" s="148"/>
    </row>
    <row r="40" spans="1:17" ht="15" customHeight="1" outlineLevel="1">
      <c r="B40" s="821"/>
      <c r="C40" s="40">
        <f>C27</f>
        <v>0.10742991954015153</v>
      </c>
      <c r="D40" s="86"/>
      <c r="E40" s="85"/>
      <c r="F40" s="85"/>
      <c r="G40" s="85"/>
      <c r="H40" s="84"/>
      <c r="I40" s="37"/>
      <c r="J40" s="821"/>
      <c r="K40" s="40">
        <f>C40</f>
        <v>0.10742991954015153</v>
      </c>
      <c r="L40" s="150"/>
      <c r="M40" s="149"/>
      <c r="N40" s="149"/>
      <c r="O40" s="149"/>
      <c r="P40" s="148"/>
    </row>
    <row r="41" spans="1:17" ht="15" customHeight="1" outlineLevel="1">
      <c r="B41" s="821"/>
      <c r="C41" s="40">
        <f>C28</f>
        <v>0.11742991954015153</v>
      </c>
      <c r="D41" s="80"/>
      <c r="E41" s="79"/>
      <c r="F41" s="79"/>
      <c r="G41" s="79"/>
      <c r="H41" s="78"/>
      <c r="I41" s="37"/>
      <c r="J41" s="821"/>
      <c r="K41" s="40">
        <f>C41</f>
        <v>0.11742991954015153</v>
      </c>
      <c r="L41" s="147"/>
      <c r="M41" s="146"/>
      <c r="N41" s="146"/>
      <c r="O41" s="146"/>
      <c r="P41" s="145"/>
    </row>
    <row r="42" spans="1:17" ht="15" customHeight="1" outlineLevel="1">
      <c r="B42" s="41"/>
      <c r="C42" s="40"/>
      <c r="D42" s="802"/>
      <c r="E42" s="802"/>
      <c r="F42" s="802"/>
      <c r="G42" s="802"/>
      <c r="H42" s="801">
        <f>'Outputs-R'!U40</f>
        <v>0</v>
      </c>
      <c r="I42" s="799"/>
      <c r="J42" s="803"/>
      <c r="K42" s="804"/>
      <c r="L42" s="805"/>
      <c r="M42" s="805"/>
      <c r="N42" s="805"/>
      <c r="O42" s="805"/>
      <c r="P42" s="801">
        <f>'Outputs-R'!Y40</f>
        <v>0</v>
      </c>
    </row>
    <row r="43" spans="1:17" ht="15" customHeight="1" outlineLevel="1">
      <c r="B43" s="41"/>
      <c r="C43" s="40"/>
      <c r="D43" s="689" t="str">
        <f ca="1">'Outputs-R'!S43</f>
        <v/>
      </c>
      <c r="E43" s="42"/>
      <c r="F43" s="42"/>
      <c r="G43" s="42"/>
      <c r="H43" s="42"/>
      <c r="I43" s="37"/>
      <c r="J43" s="41"/>
      <c r="K43" s="40"/>
      <c r="L43" s="39"/>
      <c r="M43" s="39"/>
      <c r="N43" s="39"/>
      <c r="O43" s="39"/>
      <c r="P43" s="38" t="s">
        <v>22</v>
      </c>
    </row>
    <row r="44" spans="1:17" ht="15" customHeight="1" outlineLevel="1"/>
    <row r="45" spans="1:17" ht="15" customHeight="1" outlineLevel="1"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</row>
    <row r="46" spans="1:17" ht="15" customHeight="1"/>
    <row r="47" spans="1:17" ht="15" customHeight="1">
      <c r="A47" s="34" t="s">
        <v>0</v>
      </c>
      <c r="B47" s="144" t="s">
        <v>42</v>
      </c>
      <c r="C47" s="143"/>
      <c r="D47" s="143"/>
      <c r="E47" s="142"/>
      <c r="F47" s="142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</row>
    <row r="48" spans="1:17" ht="15" customHeight="1" outlineLevel="1">
      <c r="B48" s="122"/>
      <c r="C48" s="140"/>
      <c r="D48" s="140"/>
      <c r="E48" s="139"/>
      <c r="F48" s="139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</row>
    <row r="49" spans="2:17" ht="15" customHeight="1" outlineLevel="1">
      <c r="F49" s="132"/>
      <c r="G49" s="137"/>
      <c r="H49" s="132"/>
      <c r="I49" s="132"/>
      <c r="J49" s="136"/>
      <c r="K49" s="136"/>
      <c r="L49" s="101"/>
      <c r="M49" s="101"/>
      <c r="N49" s="101"/>
      <c r="O49" s="101"/>
    </row>
    <row r="50" spans="2:17" ht="15" customHeight="1" outlineLevel="1">
      <c r="D50" s="101" t="s">
        <v>41</v>
      </c>
      <c r="F50" s="128"/>
      <c r="L50" s="135" t="s">
        <v>40</v>
      </c>
      <c r="M50" s="69"/>
      <c r="N50" s="69"/>
      <c r="O50" s="69"/>
    </row>
    <row r="51" spans="2:17" ht="15" customHeight="1" outlineLevel="1"/>
    <row r="52" spans="2:17" ht="15" customHeight="1" outlineLevel="1"/>
    <row r="53" spans="2:17" ht="15" customHeight="1" outlineLevel="1">
      <c r="D53" s="134" t="s">
        <v>39</v>
      </c>
      <c r="E53" s="69"/>
      <c r="F53" s="69"/>
      <c r="G53" s="69"/>
      <c r="H53" s="69"/>
      <c r="L53" s="134" t="s">
        <v>38</v>
      </c>
      <c r="M53" s="69"/>
      <c r="N53" s="69"/>
      <c r="O53" s="69"/>
    </row>
    <row r="54" spans="2:17" ht="15" customHeight="1" outlineLevel="1">
      <c r="B54" s="102"/>
      <c r="C54" s="102"/>
      <c r="D54" s="133"/>
      <c r="E54" s="133"/>
      <c r="F54" s="133"/>
      <c r="G54" s="133"/>
      <c r="H54" s="133"/>
      <c r="I54" s="132"/>
      <c r="J54" s="131"/>
      <c r="K54" s="131"/>
      <c r="L54" s="72"/>
      <c r="M54" s="72"/>
      <c r="N54" s="72"/>
      <c r="O54" s="72"/>
      <c r="P54" s="102"/>
      <c r="Q54" s="102"/>
    </row>
    <row r="55" spans="2:17" ht="15" customHeight="1" outlineLevel="1">
      <c r="D55" s="102"/>
      <c r="E55" s="102"/>
      <c r="F55" s="130" t="s">
        <v>37</v>
      </c>
      <c r="G55" s="130" t="s">
        <v>36</v>
      </c>
      <c r="H55" s="130" t="s">
        <v>36</v>
      </c>
      <c r="I55" s="126"/>
      <c r="J55" s="126"/>
      <c r="K55" s="126"/>
    </row>
    <row r="56" spans="2:17" ht="15" customHeight="1" outlineLevel="1">
      <c r="D56" s="102"/>
      <c r="E56" s="102"/>
      <c r="F56" s="130" t="s">
        <v>35</v>
      </c>
      <c r="G56" s="130" t="s">
        <v>35</v>
      </c>
      <c r="H56" s="130" t="s">
        <v>34</v>
      </c>
      <c r="I56" s="126"/>
      <c r="J56" s="126"/>
      <c r="K56" s="126"/>
      <c r="L56" s="101" t="s">
        <v>24</v>
      </c>
      <c r="M56" s="101"/>
      <c r="N56" s="100"/>
      <c r="O56" s="129">
        <f>+Inputs!$F$108</f>
        <v>7</v>
      </c>
    </row>
    <row r="57" spans="2:17" ht="15" customHeight="1" outlineLevel="1">
      <c r="E57" s="800">
        <f>'Outputs-R'!Y55</f>
        <v>0</v>
      </c>
      <c r="F57" s="128"/>
      <c r="G57" s="127"/>
      <c r="H57" s="127"/>
      <c r="I57" s="126"/>
      <c r="J57" s="126"/>
      <c r="K57" s="126"/>
      <c r="L57" s="101" t="s">
        <v>23</v>
      </c>
      <c r="N57" s="100"/>
      <c r="O57" s="36">
        <f>Inputs!$L$84</f>
        <v>9.7429919540151538E-2</v>
      </c>
      <c r="P57" s="105"/>
    </row>
    <row r="58" spans="2:17" ht="15" customHeight="1" outlineLevel="1">
      <c r="B58" s="122"/>
      <c r="D58" s="109" t="str">
        <f>D14</f>
        <v>Best Case</v>
      </c>
      <c r="E58" s="113"/>
      <c r="F58" s="125"/>
      <c r="G58" s="124">
        <f>F58-$O$58</f>
        <v>-18642</v>
      </c>
      <c r="H58" s="123">
        <f>+G58/$O$59</f>
        <v>-0.54508771929824562</v>
      </c>
      <c r="I58" s="118"/>
      <c r="J58" s="117"/>
      <c r="K58" s="117"/>
      <c r="L58" s="101" t="s">
        <v>33</v>
      </c>
      <c r="N58" s="116" t="str">
        <f>N14</f>
        <v>(End of 2022)</v>
      </c>
      <c r="O58" s="115">
        <f>Inputs!$L$94</f>
        <v>18642</v>
      </c>
      <c r="P58" s="105"/>
    </row>
    <row r="59" spans="2:17" ht="15" customHeight="1" outlineLevel="1">
      <c r="B59" s="122"/>
      <c r="D59" s="109" t="str">
        <f>D15</f>
        <v>Base Case</v>
      </c>
      <c r="E59" s="113"/>
      <c r="F59" s="121"/>
      <c r="G59" s="120">
        <f>F59-$O$58</f>
        <v>-18642</v>
      </c>
      <c r="H59" s="119">
        <f>+G59/$O$59</f>
        <v>-0.54508771929824562</v>
      </c>
      <c r="I59" s="118"/>
      <c r="J59" s="117"/>
      <c r="K59" s="117"/>
      <c r="L59" s="101" t="s">
        <v>32</v>
      </c>
      <c r="M59" s="101"/>
      <c r="N59" s="116" t="s">
        <v>31</v>
      </c>
      <c r="O59" s="115">
        <f>Inputs!$F$105</f>
        <v>34200</v>
      </c>
      <c r="P59" s="105"/>
      <c r="Q59" s="98"/>
    </row>
    <row r="60" spans="2:17" ht="15" customHeight="1" outlineLevel="1">
      <c r="B60" s="114"/>
      <c r="C60" s="102"/>
      <c r="D60" s="109" t="str">
        <f>D16</f>
        <v>Worst Case</v>
      </c>
      <c r="E60" s="113"/>
      <c r="F60" s="112"/>
      <c r="G60" s="111">
        <f>F60-$O$58</f>
        <v>-18642</v>
      </c>
      <c r="H60" s="110">
        <f>+G60/$O$59</f>
        <v>-0.54508771929824562</v>
      </c>
      <c r="I60" s="103"/>
      <c r="J60" s="103"/>
      <c r="K60" s="102"/>
      <c r="L60" s="109" t="s">
        <v>30</v>
      </c>
      <c r="M60" s="108"/>
      <c r="N60" s="107" t="s">
        <v>29</v>
      </c>
      <c r="O60" s="106">
        <f>Inputs!$F$106</f>
        <v>2.23</v>
      </c>
      <c r="P60" s="105"/>
      <c r="Q60" s="102"/>
    </row>
    <row r="61" spans="2:17" ht="15" customHeight="1" outlineLevel="1">
      <c r="B61" s="104"/>
      <c r="C61" s="102"/>
      <c r="D61" s="102"/>
      <c r="E61" s="800">
        <f>'Outputs-R'!U58</f>
        <v>0</v>
      </c>
      <c r="F61" s="800">
        <f ca="1">'Outputs-R'!Y62</f>
        <v>0</v>
      </c>
      <c r="I61" s="103"/>
      <c r="J61" s="103"/>
      <c r="K61" s="102"/>
      <c r="L61" s="101"/>
      <c r="O61" s="100"/>
      <c r="P61" s="99"/>
      <c r="Q61" s="98"/>
    </row>
    <row r="62" spans="2:17" ht="15" customHeight="1" outlineLevel="1"/>
    <row r="63" spans="2:17" ht="15" customHeight="1" outlineLevel="1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</row>
    <row r="64" spans="2:17" ht="15" customHeight="1" outlineLevel="1">
      <c r="D64" s="74" t="s">
        <v>28</v>
      </c>
      <c r="E64" s="69"/>
      <c r="F64" s="69"/>
      <c r="G64" s="69"/>
      <c r="H64" s="69"/>
      <c r="K64" s="37"/>
      <c r="L64" s="73" t="s">
        <v>27</v>
      </c>
      <c r="M64" s="65"/>
      <c r="N64" s="65"/>
      <c r="O64" s="65"/>
      <c r="P64" s="65"/>
      <c r="Q64" s="37"/>
    </row>
    <row r="65" spans="2:17" ht="15" customHeight="1" outlineLevel="1">
      <c r="D65" s="72"/>
      <c r="E65" s="72"/>
      <c r="F65" s="72"/>
      <c r="G65" s="72"/>
      <c r="H65" s="72"/>
      <c r="K65" s="37"/>
      <c r="L65" s="71"/>
      <c r="M65" s="71"/>
      <c r="N65" s="71"/>
      <c r="O65" s="71"/>
      <c r="P65" s="71"/>
      <c r="Q65" s="37"/>
    </row>
    <row r="66" spans="2:17" ht="15" customHeight="1" outlineLevel="1">
      <c r="B66" s="68"/>
      <c r="C66" s="97"/>
      <c r="D66" s="70" t="s">
        <v>24</v>
      </c>
      <c r="E66" s="69"/>
      <c r="F66" s="69"/>
      <c r="G66" s="69"/>
      <c r="H66" s="69"/>
      <c r="I66" s="68"/>
      <c r="K66" s="67"/>
      <c r="L66" s="66" t="s">
        <v>24</v>
      </c>
      <c r="M66" s="65"/>
      <c r="N66" s="65"/>
      <c r="O66" s="65"/>
      <c r="P66" s="65"/>
      <c r="Q66" s="67"/>
    </row>
    <row r="67" spans="2:17" ht="15" customHeight="1" outlineLevel="1">
      <c r="B67" s="800">
        <f>'Outputs-R'!U65</f>
        <v>0</v>
      </c>
      <c r="C67" s="96"/>
      <c r="D67" s="63">
        <f>E67-0.5</f>
        <v>6</v>
      </c>
      <c r="E67" s="63">
        <f>F67-0.5</f>
        <v>6.5</v>
      </c>
      <c r="F67" s="63">
        <f>+Inputs!$F$108</f>
        <v>7</v>
      </c>
      <c r="G67" s="63">
        <f>+F67+0.5</f>
        <v>7.5</v>
      </c>
      <c r="H67" s="63">
        <f>+G67+0.5</f>
        <v>8</v>
      </c>
      <c r="I67" s="37"/>
      <c r="K67" s="95"/>
      <c r="L67" s="63">
        <f>D67</f>
        <v>6</v>
      </c>
      <c r="M67" s="63">
        <f>E67</f>
        <v>6.5</v>
      </c>
      <c r="N67" s="63">
        <f>F67</f>
        <v>7</v>
      </c>
      <c r="O67" s="63">
        <f>G67</f>
        <v>7.5</v>
      </c>
      <c r="P67" s="63">
        <f>H67</f>
        <v>8</v>
      </c>
      <c r="Q67" s="37"/>
    </row>
    <row r="68" spans="2:17" ht="15" customHeight="1" outlineLevel="1">
      <c r="B68" s="820" t="s">
        <v>23</v>
      </c>
      <c r="C68" s="40">
        <f>C69-0.01</f>
        <v>7.7429919540151548E-2</v>
      </c>
      <c r="D68" s="94"/>
      <c r="E68" s="93"/>
      <c r="F68" s="93"/>
      <c r="G68" s="93"/>
      <c r="H68" s="92"/>
      <c r="I68" s="37"/>
      <c r="J68" s="820" t="s">
        <v>23</v>
      </c>
      <c r="K68" s="40">
        <f>C68</f>
        <v>7.7429919540151548E-2</v>
      </c>
      <c r="L68" s="91">
        <f t="shared" ref="L68:P72" si="0">D81/$O$59</f>
        <v>-0.54508771929824562</v>
      </c>
      <c r="M68" s="90">
        <f t="shared" si="0"/>
        <v>-0.54508771929824562</v>
      </c>
      <c r="N68" s="90">
        <f t="shared" si="0"/>
        <v>-0.54508771929824562</v>
      </c>
      <c r="O68" s="90">
        <f t="shared" si="0"/>
        <v>-0.54508771929824562</v>
      </c>
      <c r="P68" s="89">
        <f t="shared" si="0"/>
        <v>-0.54508771929824562</v>
      </c>
      <c r="Q68" s="37"/>
    </row>
    <row r="69" spans="2:17" ht="15" customHeight="1" outlineLevel="1">
      <c r="B69" s="820"/>
      <c r="C69" s="40">
        <f>C70-0.01</f>
        <v>8.7429919540151543E-2</v>
      </c>
      <c r="D69" s="86"/>
      <c r="E69" s="85"/>
      <c r="F69" s="85"/>
      <c r="G69" s="85"/>
      <c r="H69" s="84"/>
      <c r="I69" s="37"/>
      <c r="J69" s="820"/>
      <c r="K69" s="40">
        <f>C69</f>
        <v>8.7429919540151543E-2</v>
      </c>
      <c r="L69" s="83">
        <f t="shared" si="0"/>
        <v>-0.54508771929824562</v>
      </c>
      <c r="M69" s="82">
        <f t="shared" si="0"/>
        <v>-0.54508771929824562</v>
      </c>
      <c r="N69" s="82">
        <f t="shared" si="0"/>
        <v>-0.54508771929824562</v>
      </c>
      <c r="O69" s="82">
        <f t="shared" si="0"/>
        <v>-0.54508771929824562</v>
      </c>
      <c r="P69" s="81">
        <f t="shared" si="0"/>
        <v>-0.54508771929824562</v>
      </c>
      <c r="Q69" s="37"/>
    </row>
    <row r="70" spans="2:17" ht="15" customHeight="1" outlineLevel="1">
      <c r="B70" s="820"/>
      <c r="C70" s="40">
        <f>Inputs!$L$84</f>
        <v>9.7429919540151538E-2</v>
      </c>
      <c r="D70" s="86"/>
      <c r="E70" s="85"/>
      <c r="F70" s="88"/>
      <c r="G70" s="85"/>
      <c r="H70" s="84"/>
      <c r="I70" s="37"/>
      <c r="J70" s="820"/>
      <c r="K70" s="40">
        <f>C70</f>
        <v>9.7429919540151538E-2</v>
      </c>
      <c r="L70" s="83">
        <f t="shared" si="0"/>
        <v>-0.54508771929824562</v>
      </c>
      <c r="M70" s="82">
        <f t="shared" si="0"/>
        <v>-0.54508771929824562</v>
      </c>
      <c r="N70" s="87">
        <f t="shared" si="0"/>
        <v>-0.54508771929824562</v>
      </c>
      <c r="O70" s="82">
        <f t="shared" si="0"/>
        <v>-0.54508771929824562</v>
      </c>
      <c r="P70" s="81">
        <f t="shared" si="0"/>
        <v>-0.54508771929824562</v>
      </c>
      <c r="Q70" s="37"/>
    </row>
    <row r="71" spans="2:17" ht="15" customHeight="1" outlineLevel="1">
      <c r="B71" s="820"/>
      <c r="C71" s="40">
        <f>C70+0.01</f>
        <v>0.10742991954015153</v>
      </c>
      <c r="D71" s="86"/>
      <c r="E71" s="85"/>
      <c r="F71" s="85"/>
      <c r="G71" s="85"/>
      <c r="H71" s="84"/>
      <c r="I71" s="37"/>
      <c r="J71" s="820"/>
      <c r="K71" s="40">
        <f>C71</f>
        <v>0.10742991954015153</v>
      </c>
      <c r="L71" s="83">
        <f t="shared" si="0"/>
        <v>-0.54508771929824562</v>
      </c>
      <c r="M71" s="82">
        <f t="shared" si="0"/>
        <v>-0.54508771929824562</v>
      </c>
      <c r="N71" s="82">
        <f t="shared" si="0"/>
        <v>-0.54508771929824562</v>
      </c>
      <c r="O71" s="82">
        <f t="shared" si="0"/>
        <v>-0.54508771929824562</v>
      </c>
      <c r="P71" s="81">
        <f t="shared" si="0"/>
        <v>-0.54508771929824562</v>
      </c>
      <c r="Q71" s="37"/>
    </row>
    <row r="72" spans="2:17" ht="15" customHeight="1" outlineLevel="1">
      <c r="B72" s="820"/>
      <c r="C72" s="40">
        <f>C71+0.01</f>
        <v>0.11742991954015153</v>
      </c>
      <c r="D72" s="80"/>
      <c r="E72" s="79"/>
      <c r="F72" s="79"/>
      <c r="G72" s="79"/>
      <c r="H72" s="78"/>
      <c r="I72" s="37"/>
      <c r="J72" s="820"/>
      <c r="K72" s="40">
        <f>C72</f>
        <v>0.11742991954015153</v>
      </c>
      <c r="L72" s="77">
        <f t="shared" si="0"/>
        <v>-0.54508771929824562</v>
      </c>
      <c r="M72" s="76">
        <f t="shared" si="0"/>
        <v>-0.54508771929824562</v>
      </c>
      <c r="N72" s="76">
        <f t="shared" si="0"/>
        <v>-0.54508771929824562</v>
      </c>
      <c r="O72" s="76">
        <f t="shared" si="0"/>
        <v>-0.54508771929824562</v>
      </c>
      <c r="P72" s="75">
        <f t="shared" si="0"/>
        <v>-0.54508771929824562</v>
      </c>
      <c r="Q72" s="37"/>
    </row>
    <row r="73" spans="2:17" ht="15" customHeight="1" outlineLevel="1">
      <c r="C73" s="37"/>
      <c r="D73" s="37"/>
      <c r="E73" s="37"/>
      <c r="F73" s="37"/>
      <c r="G73" s="37"/>
      <c r="H73" s="801">
        <f ca="1">'Outputs-R'!AE74</f>
        <v>0</v>
      </c>
      <c r="I73" s="37"/>
    </row>
    <row r="74" spans="2:17" ht="15" customHeight="1" outlineLevel="1">
      <c r="C74" s="37"/>
      <c r="D74" s="37"/>
      <c r="E74" s="37"/>
      <c r="F74" s="37"/>
      <c r="G74" s="37"/>
      <c r="H74" s="37"/>
      <c r="I74" s="37"/>
      <c r="J74" s="37"/>
      <c r="K74" s="37"/>
      <c r="L74" s="73"/>
      <c r="M74" s="65"/>
      <c r="N74" s="65"/>
      <c r="O74" s="65"/>
      <c r="P74" s="65"/>
    </row>
    <row r="75" spans="2:17" ht="15" customHeight="1" outlineLevel="1"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</row>
    <row r="76" spans="2:17" ht="15" customHeight="1" outlineLevel="1"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</row>
    <row r="77" spans="2:17" ht="15" customHeight="1" outlineLevel="1">
      <c r="D77" s="74" t="s">
        <v>26</v>
      </c>
      <c r="E77" s="69"/>
      <c r="F77" s="69"/>
      <c r="G77" s="69"/>
      <c r="H77" s="69"/>
      <c r="J77" s="37"/>
      <c r="K77" s="37"/>
      <c r="L77" s="73" t="s">
        <v>25</v>
      </c>
      <c r="M77" s="65"/>
      <c r="N77" s="65"/>
      <c r="O77" s="65"/>
      <c r="P77" s="65"/>
    </row>
    <row r="78" spans="2:17" ht="15" customHeight="1" outlineLevel="1">
      <c r="D78" s="72"/>
      <c r="E78" s="72"/>
      <c r="F78" s="72"/>
      <c r="G78" s="72"/>
      <c r="H78" s="72"/>
      <c r="J78" s="37"/>
      <c r="K78" s="37"/>
      <c r="L78" s="71"/>
      <c r="M78" s="71"/>
      <c r="N78" s="71"/>
      <c r="O78" s="71"/>
      <c r="P78" s="71"/>
    </row>
    <row r="79" spans="2:17" ht="15" customHeight="1" outlineLevel="1">
      <c r="B79" s="68"/>
      <c r="C79" s="68"/>
      <c r="D79" s="70" t="s">
        <v>24</v>
      </c>
      <c r="E79" s="69"/>
      <c r="F79" s="69"/>
      <c r="G79" s="69"/>
      <c r="H79" s="69"/>
      <c r="I79" s="68"/>
      <c r="J79" s="67"/>
      <c r="K79" s="67"/>
      <c r="L79" s="66" t="s">
        <v>24</v>
      </c>
      <c r="M79" s="65"/>
      <c r="N79" s="65"/>
      <c r="O79" s="65"/>
      <c r="P79" s="65"/>
    </row>
    <row r="80" spans="2:17" ht="15" customHeight="1" outlineLevel="1">
      <c r="B80" s="37"/>
      <c r="C80" s="64"/>
      <c r="D80" s="63">
        <f>D67</f>
        <v>6</v>
      </c>
      <c r="E80" s="63">
        <f>E67</f>
        <v>6.5</v>
      </c>
      <c r="F80" s="63">
        <f>F67</f>
        <v>7</v>
      </c>
      <c r="G80" s="63">
        <f>G67</f>
        <v>7.5</v>
      </c>
      <c r="H80" s="63">
        <f>H67</f>
        <v>8</v>
      </c>
      <c r="J80" s="37"/>
      <c r="K80" s="64"/>
      <c r="L80" s="63">
        <f>D80</f>
        <v>6</v>
      </c>
      <c r="M80" s="63">
        <f>E80</f>
        <v>6.5</v>
      </c>
      <c r="N80" s="63">
        <f>F80</f>
        <v>7</v>
      </c>
      <c r="O80" s="63">
        <f>G80</f>
        <v>7.5</v>
      </c>
      <c r="P80" s="63">
        <f>H80</f>
        <v>8</v>
      </c>
    </row>
    <row r="81" spans="2:16" ht="15" customHeight="1" outlineLevel="1">
      <c r="B81" s="821" t="s">
        <v>23</v>
      </c>
      <c r="C81" s="40">
        <f>C68</f>
        <v>7.7429919540151548E-2</v>
      </c>
      <c r="D81" s="62">
        <f t="shared" ref="D81:H85" si="1">D68-$O$58</f>
        <v>-18642</v>
      </c>
      <c r="E81" s="61">
        <f t="shared" si="1"/>
        <v>-18642</v>
      </c>
      <c r="F81" s="61">
        <f t="shared" si="1"/>
        <v>-18642</v>
      </c>
      <c r="G81" s="61">
        <f t="shared" si="1"/>
        <v>-18642</v>
      </c>
      <c r="H81" s="60">
        <f t="shared" si="1"/>
        <v>-18642</v>
      </c>
      <c r="J81" s="821" t="s">
        <v>23</v>
      </c>
      <c r="K81" s="40">
        <f>C81</f>
        <v>7.7429919540151548E-2</v>
      </c>
      <c r="L81" s="59">
        <f t="shared" ref="L81:P85" si="2">L68/$O$60-1</f>
        <v>-1.2444339548422625</v>
      </c>
      <c r="M81" s="58">
        <f t="shared" si="2"/>
        <v>-1.2444339548422625</v>
      </c>
      <c r="N81" s="58">
        <f t="shared" si="2"/>
        <v>-1.2444339548422625</v>
      </c>
      <c r="O81" s="58">
        <f t="shared" si="2"/>
        <v>-1.2444339548422625</v>
      </c>
      <c r="P81" s="57">
        <f t="shared" si="2"/>
        <v>-1.2444339548422625</v>
      </c>
    </row>
    <row r="82" spans="2:16" ht="15" customHeight="1" outlineLevel="1">
      <c r="B82" s="821"/>
      <c r="C82" s="40">
        <f>C69</f>
        <v>8.7429919540151543E-2</v>
      </c>
      <c r="D82" s="54">
        <f t="shared" si="1"/>
        <v>-18642</v>
      </c>
      <c r="E82" s="53">
        <f t="shared" si="1"/>
        <v>-18642</v>
      </c>
      <c r="F82" s="53">
        <f t="shared" si="1"/>
        <v>-18642</v>
      </c>
      <c r="G82" s="53">
        <f t="shared" si="1"/>
        <v>-18642</v>
      </c>
      <c r="H82" s="52">
        <f t="shared" si="1"/>
        <v>-18642</v>
      </c>
      <c r="J82" s="821"/>
      <c r="K82" s="40">
        <f>C82</f>
        <v>8.7429919540151543E-2</v>
      </c>
      <c r="L82" s="51">
        <f t="shared" si="2"/>
        <v>-1.2444339548422625</v>
      </c>
      <c r="M82" s="50">
        <f t="shared" si="2"/>
        <v>-1.2444339548422625</v>
      </c>
      <c r="N82" s="50">
        <f t="shared" si="2"/>
        <v>-1.2444339548422625</v>
      </c>
      <c r="O82" s="50">
        <f t="shared" si="2"/>
        <v>-1.2444339548422625</v>
      </c>
      <c r="P82" s="49">
        <f t="shared" si="2"/>
        <v>-1.2444339548422625</v>
      </c>
    </row>
    <row r="83" spans="2:16" ht="15" customHeight="1" outlineLevel="1">
      <c r="B83" s="821"/>
      <c r="C83" s="40">
        <f>C70</f>
        <v>9.7429919540151538E-2</v>
      </c>
      <c r="D83" s="54">
        <f t="shared" si="1"/>
        <v>-18642</v>
      </c>
      <c r="E83" s="53">
        <f t="shared" si="1"/>
        <v>-18642</v>
      </c>
      <c r="F83" s="56">
        <f t="shared" si="1"/>
        <v>-18642</v>
      </c>
      <c r="G83" s="53">
        <f t="shared" si="1"/>
        <v>-18642</v>
      </c>
      <c r="H83" s="52">
        <f t="shared" si="1"/>
        <v>-18642</v>
      </c>
      <c r="J83" s="821"/>
      <c r="K83" s="40">
        <f>C83</f>
        <v>9.7429919540151538E-2</v>
      </c>
      <c r="L83" s="51">
        <f t="shared" si="2"/>
        <v>-1.2444339548422625</v>
      </c>
      <c r="M83" s="50">
        <f t="shared" si="2"/>
        <v>-1.2444339548422625</v>
      </c>
      <c r="N83" s="55">
        <f t="shared" si="2"/>
        <v>-1.2444339548422625</v>
      </c>
      <c r="O83" s="50">
        <f t="shared" si="2"/>
        <v>-1.2444339548422625</v>
      </c>
      <c r="P83" s="49">
        <f t="shared" si="2"/>
        <v>-1.2444339548422625</v>
      </c>
    </row>
    <row r="84" spans="2:16" ht="15" customHeight="1" outlineLevel="1">
      <c r="B84" s="821"/>
      <c r="C84" s="40">
        <f>C71</f>
        <v>0.10742991954015153</v>
      </c>
      <c r="D84" s="54">
        <f t="shared" si="1"/>
        <v>-18642</v>
      </c>
      <c r="E84" s="53">
        <f t="shared" si="1"/>
        <v>-18642</v>
      </c>
      <c r="F84" s="53">
        <f t="shared" si="1"/>
        <v>-18642</v>
      </c>
      <c r="G84" s="53">
        <f t="shared" si="1"/>
        <v>-18642</v>
      </c>
      <c r="H84" s="52">
        <f t="shared" si="1"/>
        <v>-18642</v>
      </c>
      <c r="J84" s="821"/>
      <c r="K84" s="40">
        <f>C84</f>
        <v>0.10742991954015153</v>
      </c>
      <c r="L84" s="51">
        <f t="shared" si="2"/>
        <v>-1.2444339548422625</v>
      </c>
      <c r="M84" s="50">
        <f t="shared" si="2"/>
        <v>-1.2444339548422625</v>
      </c>
      <c r="N84" s="50">
        <f t="shared" si="2"/>
        <v>-1.2444339548422625</v>
      </c>
      <c r="O84" s="50">
        <f t="shared" si="2"/>
        <v>-1.2444339548422625</v>
      </c>
      <c r="P84" s="49">
        <f t="shared" si="2"/>
        <v>-1.2444339548422625</v>
      </c>
    </row>
    <row r="85" spans="2:16" ht="15" customHeight="1" outlineLevel="1">
      <c r="B85" s="821"/>
      <c r="C85" s="40">
        <f>C72</f>
        <v>0.11742991954015153</v>
      </c>
      <c r="D85" s="48">
        <f t="shared" si="1"/>
        <v>-18642</v>
      </c>
      <c r="E85" s="47">
        <f t="shared" si="1"/>
        <v>-18642</v>
      </c>
      <c r="F85" s="47">
        <f t="shared" si="1"/>
        <v>-18642</v>
      </c>
      <c r="G85" s="47">
        <f t="shared" si="1"/>
        <v>-18642</v>
      </c>
      <c r="H85" s="46">
        <f t="shared" si="1"/>
        <v>-18642</v>
      </c>
      <c r="J85" s="821"/>
      <c r="K85" s="40">
        <f>C85</f>
        <v>0.11742991954015153</v>
      </c>
      <c r="L85" s="45">
        <f t="shared" si="2"/>
        <v>-1.2444339548422625</v>
      </c>
      <c r="M85" s="44">
        <f t="shared" si="2"/>
        <v>-1.2444339548422625</v>
      </c>
      <c r="N85" s="44">
        <f t="shared" si="2"/>
        <v>-1.2444339548422625</v>
      </c>
      <c r="O85" s="44">
        <f t="shared" si="2"/>
        <v>-1.2444339548422625</v>
      </c>
      <c r="P85" s="43">
        <f t="shared" si="2"/>
        <v>-1.2444339548422625</v>
      </c>
    </row>
    <row r="86" spans="2:16" ht="15" customHeight="1" outlineLevel="1">
      <c r="B86" s="41"/>
      <c r="C86" s="40"/>
      <c r="D86" s="42"/>
      <c r="E86" s="42"/>
      <c r="F86" s="42"/>
      <c r="G86" s="42"/>
      <c r="H86" s="42"/>
      <c r="I86" s="37"/>
      <c r="J86" s="41"/>
      <c r="K86" s="40"/>
      <c r="L86" s="39"/>
      <c r="M86" s="39"/>
      <c r="N86" s="39"/>
      <c r="O86" s="39"/>
      <c r="P86" s="39"/>
    </row>
    <row r="87" spans="2:16" ht="15" customHeight="1" outlineLevel="1">
      <c r="B87" s="41"/>
      <c r="C87" s="40"/>
      <c r="D87" s="689" t="str">
        <f ca="1">'Outputs-R'!S87</f>
        <v/>
      </c>
      <c r="E87" s="42"/>
      <c r="F87" s="42"/>
      <c r="G87" s="42"/>
      <c r="H87" s="42"/>
      <c r="I87" s="37"/>
      <c r="J87" s="41"/>
      <c r="K87" s="40"/>
      <c r="L87" s="39"/>
      <c r="M87" s="39"/>
      <c r="N87" s="39"/>
      <c r="O87" s="39"/>
      <c r="P87" s="38" t="s">
        <v>22</v>
      </c>
    </row>
    <row r="88" spans="2:16" ht="15" customHeight="1" outlineLevel="1">
      <c r="B88" s="37"/>
      <c r="C88" s="37"/>
      <c r="D88" s="36"/>
      <c r="E88" s="36"/>
      <c r="F88" s="36"/>
      <c r="G88" s="36"/>
      <c r="H88" s="36"/>
    </row>
    <row r="89" spans="2:16" ht="15" customHeight="1" outlineLevel="1"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 t="s">
        <v>0</v>
      </c>
    </row>
  </sheetData>
  <mergeCells count="8">
    <mergeCell ref="J68:J72"/>
    <mergeCell ref="J81:J85"/>
    <mergeCell ref="B24:B28"/>
    <mergeCell ref="B37:B41"/>
    <mergeCell ref="J24:J28"/>
    <mergeCell ref="J37:J41"/>
    <mergeCell ref="B68:B72"/>
    <mergeCell ref="B81:B85"/>
  </mergeCells>
  <printOptions horizontalCentered="1"/>
  <pageMargins left="0.11811023622047245" right="0.11811023622047245" top="0.11811023622047245" bottom="0.11811023622047245" header="0.11811023622047245" footer="0.11811023622047245"/>
  <pageSetup scale="88" orientation="landscape" r:id="rId1"/>
  <headerFooter>
    <oddFooter>&amp;L&amp;"Open Sans,Bold"&amp;10&amp;K002060DCF Valuation Modeling&amp;C&amp;"Open Sans,Bold"&amp;10&amp;K002060Page &amp;P of &amp;N&amp;R&amp;G</oddFooter>
  </headerFooter>
  <rowBreaks count="1" manualBreakCount="1">
    <brk id="46" min="1" max="17" man="1"/>
  </rowBreaks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1A711-5FB3-43B5-81F1-73C6E838F557}">
  <sheetPr>
    <tabColor theme="1"/>
    <pageSetUpPr autoPageBreaks="0"/>
  </sheetPr>
  <dimension ref="A1:W453"/>
  <sheetViews>
    <sheetView showGridLines="0" zoomScaleNormal="100" zoomScaleSheetLayoutView="140" workbookViewId="0">
      <pane ySplit="1" topLeftCell="A2" activePane="bottomLeft" state="frozen"/>
      <selection activeCell="F6" sqref="F6"/>
      <selection pane="bottomLeft" activeCell="F6" sqref="F6"/>
    </sheetView>
  </sheetViews>
  <sheetFormatPr baseColWidth="10" defaultColWidth="9.1640625" defaultRowHeight="15" customHeight="1" outlineLevelRow="1"/>
  <cols>
    <col min="1" max="1" width="9.1640625" style="34"/>
    <col min="2" max="2" width="17.6640625" style="34" customWidth="1"/>
    <col min="3" max="3" width="11.33203125" style="34" customWidth="1"/>
    <col min="4" max="4" width="15.6640625" style="34" customWidth="1"/>
    <col min="5" max="5" width="1.6640625" style="34" customWidth="1"/>
    <col min="6" max="6" width="11.6640625" style="34" customWidth="1"/>
    <col min="7" max="14" width="10.33203125" style="34" customWidth="1"/>
    <col min="15" max="15" width="1.6640625" style="34" customWidth="1"/>
    <col min="16" max="16" width="9.1640625" style="34"/>
    <col min="17" max="17" width="9.5" style="34" bestFit="1" customWidth="1"/>
    <col min="18" max="18" width="9.33203125" style="34" bestFit="1" customWidth="1"/>
    <col min="19" max="19" width="12.5" style="34" bestFit="1" customWidth="1"/>
    <col min="20" max="20" width="9.1640625" style="34"/>
    <col min="21" max="21" width="9.5" style="34" bestFit="1" customWidth="1"/>
    <col min="22" max="22" width="9.33203125" style="34" bestFit="1" customWidth="1"/>
    <col min="23" max="23" width="11" style="34" bestFit="1" customWidth="1"/>
    <col min="24" max="16384" width="9.1640625" style="34"/>
  </cols>
  <sheetData>
    <row r="1" spans="1:21" ht="50" customHeight="1">
      <c r="A1" s="102"/>
      <c r="B1" s="798"/>
      <c r="C1" s="798"/>
      <c r="D1" s="798"/>
      <c r="E1" s="178"/>
      <c r="F1" s="178"/>
      <c r="G1" s="178"/>
      <c r="H1" s="178"/>
      <c r="I1" s="178"/>
      <c r="J1" s="178"/>
      <c r="K1" s="178"/>
      <c r="L1" s="178"/>
      <c r="M1" s="178"/>
      <c r="N1" s="178"/>
    </row>
    <row r="2" spans="1:21" ht="15" customHeight="1">
      <c r="A2" s="176"/>
      <c r="B2" s="660"/>
      <c r="C2" s="659"/>
      <c r="D2" s="658"/>
      <c r="E2" s="658"/>
      <c r="F2" s="657"/>
      <c r="G2" s="657"/>
      <c r="H2" s="657"/>
      <c r="I2" s="657"/>
      <c r="J2" s="657"/>
      <c r="K2" s="657"/>
      <c r="L2" s="657"/>
      <c r="M2" s="657"/>
      <c r="N2" s="657"/>
      <c r="O2" s="98"/>
    </row>
    <row r="3" spans="1:21" ht="15" customHeight="1">
      <c r="A3" s="176" t="s">
        <v>0</v>
      </c>
      <c r="B3" s="144" t="s">
        <v>276</v>
      </c>
      <c r="C3" s="143"/>
      <c r="D3" s="142"/>
      <c r="E3" s="142"/>
      <c r="F3" s="141"/>
      <c r="G3" s="141"/>
      <c r="H3" s="141"/>
      <c r="I3" s="141"/>
      <c r="J3" s="141"/>
      <c r="K3" s="141"/>
      <c r="L3" s="141"/>
      <c r="M3" s="141"/>
      <c r="N3" s="447"/>
    </row>
    <row r="4" spans="1:21" ht="15" customHeight="1" outlineLevel="1">
      <c r="A4" s="177"/>
      <c r="B4" s="305"/>
      <c r="C4" s="140"/>
      <c r="D4" s="139"/>
      <c r="E4" s="139"/>
      <c r="F4" s="138"/>
      <c r="G4" s="138"/>
      <c r="H4" s="138"/>
      <c r="I4" s="138"/>
      <c r="J4" s="138"/>
      <c r="K4" s="138"/>
      <c r="L4" s="138"/>
      <c r="M4" s="138"/>
      <c r="N4" s="656"/>
    </row>
    <row r="5" spans="1:21" ht="15" customHeight="1" outlineLevel="1" thickBot="1">
      <c r="A5" s="176"/>
      <c r="B5" s="122" t="s">
        <v>40</v>
      </c>
      <c r="C5" s="140"/>
      <c r="D5" s="132"/>
      <c r="E5" s="132"/>
      <c r="F5" s="490">
        <f>G5-1</f>
        <v>2020</v>
      </c>
      <c r="G5" s="490">
        <f>H5-1</f>
        <v>2021</v>
      </c>
      <c r="H5" s="490">
        <f>I5-1</f>
        <v>2022</v>
      </c>
      <c r="I5" s="354">
        <f>Inputs!F97</f>
        <v>2023</v>
      </c>
      <c r="J5" s="354">
        <f>I5+1</f>
        <v>2024</v>
      </c>
      <c r="K5" s="354">
        <f>J5+1</f>
        <v>2025</v>
      </c>
      <c r="L5" s="354">
        <f>K5+1</f>
        <v>2026</v>
      </c>
      <c r="M5" s="354">
        <f>L5+1</f>
        <v>2027</v>
      </c>
      <c r="N5" s="354" t="s">
        <v>131</v>
      </c>
    </row>
    <row r="6" spans="1:21" ht="15" customHeight="1" outlineLevel="1">
      <c r="A6" s="176"/>
      <c r="B6" s="122" t="str" cm="1">
        <f t="array" ref="B6">CONCATENATE("Model Running: ",INDEX(Inputs!$B$12:$B$14,Inputs!$D$7)," Drivers")</f>
        <v>Model Running: Base Case Drivers</v>
      </c>
      <c r="C6" s="140"/>
      <c r="D6" s="132"/>
      <c r="E6" s="132"/>
      <c r="F6" s="132"/>
      <c r="G6" s="132"/>
      <c r="H6" s="132"/>
      <c r="I6" s="136"/>
      <c r="J6" s="136"/>
      <c r="K6" s="136"/>
      <c r="L6" s="136"/>
      <c r="M6" s="136"/>
      <c r="N6" s="136"/>
    </row>
    <row r="7" spans="1:21" ht="15" customHeight="1" outlineLevel="1">
      <c r="A7" s="176"/>
      <c r="C7" s="140"/>
      <c r="D7" s="132"/>
      <c r="E7" s="132"/>
      <c r="F7" s="132"/>
      <c r="G7" s="132"/>
      <c r="H7" s="132"/>
      <c r="I7" s="136"/>
      <c r="J7" s="136"/>
      <c r="K7" s="136"/>
      <c r="L7" s="136"/>
      <c r="M7" s="136"/>
      <c r="N7" s="136"/>
    </row>
    <row r="8" spans="1:21" s="102" customFormat="1" ht="15" customHeight="1" outlineLevel="1">
      <c r="B8" s="468" t="s">
        <v>63</v>
      </c>
      <c r="C8" s="655">
        <f>Inputs!F100</f>
        <v>365</v>
      </c>
      <c r="D8" s="105"/>
      <c r="E8" s="230"/>
      <c r="F8" s="557">
        <v>365</v>
      </c>
      <c r="G8" s="556">
        <v>365</v>
      </c>
      <c r="H8" s="556">
        <v>365</v>
      </c>
      <c r="I8" s="654">
        <f t="shared" ref="I8:N8" si="0">$C$8</f>
        <v>365</v>
      </c>
      <c r="J8" s="654">
        <f t="shared" si="0"/>
        <v>365</v>
      </c>
      <c r="K8" s="654">
        <f t="shared" si="0"/>
        <v>365</v>
      </c>
      <c r="L8" s="654">
        <f t="shared" si="0"/>
        <v>365</v>
      </c>
      <c r="M8" s="654">
        <f t="shared" si="0"/>
        <v>365</v>
      </c>
      <c r="N8" s="653">
        <f t="shared" si="0"/>
        <v>365</v>
      </c>
    </row>
    <row r="9" spans="1:21" ht="15" customHeight="1" outlineLevel="1">
      <c r="A9" s="131"/>
      <c r="B9" s="466" t="s">
        <v>60</v>
      </c>
      <c r="C9" s="362">
        <f>Inputs!L104</f>
        <v>1600</v>
      </c>
      <c r="D9" s="105"/>
      <c r="E9" s="132"/>
      <c r="F9" s="126"/>
      <c r="G9" s="126"/>
      <c r="H9" s="126"/>
      <c r="I9" s="126"/>
      <c r="J9" s="126"/>
      <c r="K9" s="126"/>
      <c r="L9" s="126"/>
      <c r="M9" s="126"/>
      <c r="N9" s="126"/>
    </row>
    <row r="10" spans="1:21" ht="15" customHeight="1" outlineLevel="1">
      <c r="A10" s="131"/>
      <c r="B10" s="122"/>
      <c r="C10" s="140"/>
      <c r="D10" s="132"/>
      <c r="E10" s="132"/>
      <c r="F10" s="132"/>
      <c r="G10" s="132"/>
      <c r="H10" s="132"/>
      <c r="I10" s="131"/>
      <c r="J10" s="131"/>
      <c r="K10" s="131"/>
      <c r="L10" s="131"/>
      <c r="M10" s="131"/>
      <c r="N10" s="405"/>
    </row>
    <row r="11" spans="1:21" ht="15" customHeight="1" outlineLevel="1">
      <c r="A11" s="131"/>
      <c r="B11" s="122"/>
      <c r="C11" s="140"/>
      <c r="D11" s="132"/>
      <c r="E11" s="132"/>
      <c r="F11" s="132"/>
      <c r="G11" s="132"/>
      <c r="H11" s="132"/>
      <c r="I11" s="131"/>
      <c r="J11" s="131"/>
      <c r="K11" s="131"/>
      <c r="L11" s="131"/>
      <c r="M11" s="131"/>
      <c r="N11" s="405"/>
    </row>
    <row r="12" spans="1:21" s="102" customFormat="1" ht="15" customHeight="1" outlineLevel="1">
      <c r="B12" s="114" t="s">
        <v>275</v>
      </c>
      <c r="C12" s="108"/>
      <c r="D12" s="561"/>
      <c r="E12" s="230"/>
      <c r="F12" s="652"/>
      <c r="G12" s="252"/>
      <c r="H12" s="252"/>
      <c r="I12" s="131"/>
      <c r="J12" s="131"/>
      <c r="K12" s="131"/>
      <c r="L12" s="131"/>
      <c r="M12" s="131"/>
      <c r="N12" s="405"/>
    </row>
    <row r="13" spans="1:21" s="102" customFormat="1" ht="15" customHeight="1" outlineLevel="1" thickBot="1">
      <c r="B13" s="104"/>
      <c r="C13" s="108"/>
      <c r="D13" s="561"/>
      <c r="E13" s="230"/>
      <c r="F13" s="252"/>
      <c r="G13" s="252"/>
      <c r="H13" s="252"/>
      <c r="I13" s="252"/>
      <c r="J13" s="252"/>
      <c r="K13" s="252"/>
      <c r="L13" s="252"/>
      <c r="M13" s="252"/>
      <c r="N13" s="620"/>
      <c r="Q13" s="669" t="s">
        <v>277</v>
      </c>
      <c r="R13" s="668" t="s">
        <v>278</v>
      </c>
      <c r="S13" s="671" t="s">
        <v>279</v>
      </c>
    </row>
    <row r="14" spans="1:21" ht="15" customHeight="1" outlineLevel="1">
      <c r="A14" s="131"/>
      <c r="B14" s="229" t="s">
        <v>129</v>
      </c>
      <c r="C14" s="140"/>
      <c r="D14" s="132"/>
      <c r="E14" s="132"/>
      <c r="F14" s="132"/>
      <c r="G14" s="221">
        <f>G16/F16-1</f>
        <v>1.9650655021834051E-2</v>
      </c>
      <c r="H14" s="221">
        <f>H16/G16-1</f>
        <v>2.0699500356887945E-2</v>
      </c>
      <c r="I14" s="651">
        <f>Inputs!G10</f>
        <v>0.02</v>
      </c>
      <c r="J14" s="651">
        <f>Inputs!H10</f>
        <v>0.01</v>
      </c>
      <c r="K14" s="651">
        <f>Inputs!I10</f>
        <v>0.01</v>
      </c>
      <c r="L14" s="651">
        <f>Inputs!J10</f>
        <v>5.0000000000000001E-3</v>
      </c>
      <c r="M14" s="651">
        <f>Inputs!K10</f>
        <v>5.0000000000000001E-3</v>
      </c>
      <c r="N14" s="650">
        <f>Inputs!L10</f>
        <v>5.0000000000000001E-3</v>
      </c>
      <c r="Q14" s="699">
        <f>SUM(Model!I14:N14)</f>
        <v>5.4999999999999993E-2</v>
      </c>
      <c r="R14" s="698">
        <f>SUM(Inputs!G10:L10)</f>
        <v>5.4999999999999993E-2</v>
      </c>
      <c r="S14" s="806">
        <f>IF(ISBLANK(Model!I14),0,IF(Q14=R14,1,0))</f>
        <v>1</v>
      </c>
      <c r="U14" s="102"/>
    </row>
    <row r="15" spans="1:21" ht="15" customHeight="1" outlineLevel="1">
      <c r="A15" s="131"/>
      <c r="B15" s="229"/>
      <c r="C15" s="140"/>
      <c r="D15" s="132"/>
      <c r="E15" s="132"/>
      <c r="F15" s="132"/>
      <c r="G15" s="221"/>
      <c r="H15" s="221"/>
      <c r="I15" s="220"/>
      <c r="J15" s="220"/>
      <c r="K15" s="220"/>
      <c r="L15" s="220"/>
      <c r="M15" s="220"/>
      <c r="N15" s="649"/>
    </row>
    <row r="16" spans="1:21" ht="15" customHeight="1" outlineLevel="1">
      <c r="A16" s="131"/>
      <c r="B16" s="229" t="s">
        <v>265</v>
      </c>
      <c r="C16" s="140"/>
      <c r="D16" s="561" t="s">
        <v>59</v>
      </c>
      <c r="E16" s="132"/>
      <c r="F16" s="391">
        <v>1374</v>
      </c>
      <c r="G16" s="391">
        <v>1401</v>
      </c>
      <c r="H16" s="391">
        <v>1430</v>
      </c>
      <c r="I16" s="126">
        <f t="shared" ref="I16:N16" si="1">H16*(1+I14)</f>
        <v>1458.6000000000001</v>
      </c>
      <c r="J16" s="126">
        <f t="shared" si="1"/>
        <v>1473.1860000000001</v>
      </c>
      <c r="K16" s="126">
        <f t="shared" si="1"/>
        <v>1487.9178600000002</v>
      </c>
      <c r="L16" s="126">
        <f t="shared" si="1"/>
        <v>1495.3574493000001</v>
      </c>
      <c r="M16" s="126">
        <f t="shared" si="1"/>
        <v>1502.8342365465001</v>
      </c>
      <c r="N16" s="614">
        <f t="shared" si="1"/>
        <v>1510.3484077292323</v>
      </c>
    </row>
    <row r="17" spans="1:21" s="102" customFormat="1" ht="15" customHeight="1" outlineLevel="1">
      <c r="B17" s="229" t="s">
        <v>60</v>
      </c>
      <c r="C17" s="108"/>
      <c r="D17" s="561" t="s">
        <v>59</v>
      </c>
      <c r="E17" s="230"/>
      <c r="F17" s="391">
        <v>1600</v>
      </c>
      <c r="G17" s="391">
        <v>1600</v>
      </c>
      <c r="H17" s="391">
        <v>1600</v>
      </c>
      <c r="I17" s="126">
        <f t="shared" ref="I17:N17" si="2">$C$9</f>
        <v>1600</v>
      </c>
      <c r="J17" s="126">
        <f t="shared" si="2"/>
        <v>1600</v>
      </c>
      <c r="K17" s="126">
        <f t="shared" si="2"/>
        <v>1600</v>
      </c>
      <c r="L17" s="126">
        <f t="shared" si="2"/>
        <v>1600</v>
      </c>
      <c r="M17" s="126">
        <f t="shared" si="2"/>
        <v>1600</v>
      </c>
      <c r="N17" s="648">
        <f t="shared" si="2"/>
        <v>1600</v>
      </c>
    </row>
    <row r="18" spans="1:21" s="102" customFormat="1" ht="15" customHeight="1" outlineLevel="1">
      <c r="B18" s="229" t="s">
        <v>274</v>
      </c>
      <c r="C18" s="140"/>
      <c r="D18" s="132"/>
      <c r="E18" s="132"/>
      <c r="F18" s="647">
        <f t="shared" ref="F18:N18" si="3">F16/F17</f>
        <v>0.85875000000000001</v>
      </c>
      <c r="G18" s="647">
        <f t="shared" si="3"/>
        <v>0.87562499999999999</v>
      </c>
      <c r="H18" s="647">
        <f t="shared" si="3"/>
        <v>0.89375000000000004</v>
      </c>
      <c r="I18" s="647">
        <f t="shared" si="3"/>
        <v>0.91162500000000013</v>
      </c>
      <c r="J18" s="647">
        <f t="shared" si="3"/>
        <v>0.92074125000000007</v>
      </c>
      <c r="K18" s="647">
        <f t="shared" si="3"/>
        <v>0.92994866250000019</v>
      </c>
      <c r="L18" s="647">
        <f t="shared" si="3"/>
        <v>0.93459840581250009</v>
      </c>
      <c r="M18" s="647">
        <f t="shared" si="3"/>
        <v>0.93927139784156255</v>
      </c>
      <c r="N18" s="646">
        <f t="shared" si="3"/>
        <v>0.94396775483077022</v>
      </c>
    </row>
    <row r="19" spans="1:21" ht="15" customHeight="1" outlineLevel="1">
      <c r="A19" s="131"/>
      <c r="C19" s="140"/>
      <c r="D19" s="561"/>
      <c r="E19" s="132"/>
      <c r="F19" s="126"/>
      <c r="G19" s="126"/>
      <c r="H19" s="126"/>
      <c r="I19" s="126"/>
      <c r="J19" s="126"/>
      <c r="K19" s="126"/>
      <c r="L19" s="126"/>
      <c r="M19" s="126"/>
      <c r="N19" s="126"/>
    </row>
    <row r="20" spans="1:21" ht="15" customHeight="1" outlineLevel="1">
      <c r="A20" s="131"/>
      <c r="B20" s="35"/>
      <c r="C20" s="240"/>
      <c r="D20" s="611"/>
      <c r="E20" s="356"/>
      <c r="F20" s="389"/>
      <c r="G20" s="389"/>
      <c r="H20" s="389"/>
      <c r="I20" s="389"/>
      <c r="J20" s="389"/>
      <c r="K20" s="389"/>
      <c r="L20" s="389"/>
      <c r="M20" s="389"/>
      <c r="N20" s="389"/>
    </row>
    <row r="21" spans="1:21" ht="15" customHeight="1" outlineLevel="1">
      <c r="A21" s="131"/>
      <c r="B21" s="122"/>
      <c r="C21" s="140"/>
      <c r="D21" s="132"/>
      <c r="E21" s="132"/>
      <c r="F21" s="132"/>
      <c r="G21" s="132"/>
      <c r="H21" s="132"/>
      <c r="I21" s="131"/>
      <c r="J21" s="131"/>
      <c r="K21" s="131"/>
      <c r="L21" s="131"/>
      <c r="M21" s="131"/>
      <c r="N21" s="131"/>
    </row>
    <row r="22" spans="1:21" ht="15" customHeight="1" outlineLevel="1">
      <c r="A22" s="131"/>
      <c r="B22" s="122"/>
      <c r="C22" s="140"/>
      <c r="D22" s="132"/>
      <c r="E22" s="132"/>
      <c r="F22" s="132"/>
      <c r="G22" s="132"/>
      <c r="H22" s="132"/>
      <c r="I22" s="131"/>
      <c r="J22" s="131"/>
      <c r="K22" s="131"/>
      <c r="L22" s="131"/>
      <c r="M22" s="131"/>
      <c r="N22" s="131"/>
    </row>
    <row r="23" spans="1:21" s="102" customFormat="1" ht="15" customHeight="1" outlineLevel="1">
      <c r="B23" s="114" t="s">
        <v>273</v>
      </c>
      <c r="C23" s="108"/>
      <c r="D23" s="561"/>
      <c r="E23" s="230"/>
      <c r="F23" s="252"/>
      <c r="G23" s="252"/>
      <c r="H23" s="252"/>
      <c r="I23" s="252"/>
      <c r="J23" s="252"/>
      <c r="K23" s="252"/>
      <c r="L23" s="252"/>
      <c r="M23" s="252"/>
      <c r="N23" s="252"/>
    </row>
    <row r="24" spans="1:21" s="102" customFormat="1" ht="15" customHeight="1" outlineLevel="1">
      <c r="B24" s="104"/>
      <c r="C24" s="108"/>
      <c r="D24" s="561"/>
      <c r="E24" s="230"/>
      <c r="F24" s="252"/>
      <c r="G24" s="252"/>
      <c r="H24" s="252"/>
      <c r="I24" s="252"/>
      <c r="J24" s="252"/>
      <c r="K24" s="252"/>
      <c r="L24" s="252"/>
      <c r="M24" s="252"/>
      <c r="N24" s="252"/>
    </row>
    <row r="25" spans="1:21" ht="15" customHeight="1" outlineLevel="1">
      <c r="A25" s="131"/>
      <c r="B25" s="229" t="s">
        <v>63</v>
      </c>
      <c r="C25" s="140"/>
      <c r="D25" s="132"/>
      <c r="E25" s="132"/>
      <c r="F25" s="126">
        <f t="shared" ref="F25:N25" si="4">F8</f>
        <v>365</v>
      </c>
      <c r="G25" s="126">
        <f t="shared" si="4"/>
        <v>365</v>
      </c>
      <c r="H25" s="126">
        <f t="shared" si="4"/>
        <v>365</v>
      </c>
      <c r="I25" s="126">
        <f t="shared" si="4"/>
        <v>365</v>
      </c>
      <c r="J25" s="126">
        <f t="shared" si="4"/>
        <v>365</v>
      </c>
      <c r="K25" s="126">
        <f t="shared" si="4"/>
        <v>365</v>
      </c>
      <c r="L25" s="126">
        <f t="shared" si="4"/>
        <v>365</v>
      </c>
      <c r="M25" s="126">
        <f t="shared" si="4"/>
        <v>365</v>
      </c>
      <c r="N25" s="406">
        <f t="shared" si="4"/>
        <v>365</v>
      </c>
    </row>
    <row r="26" spans="1:21" ht="15" customHeight="1" outlineLevel="1">
      <c r="A26" s="131"/>
      <c r="B26" s="229" t="s">
        <v>265</v>
      </c>
      <c r="C26" s="140"/>
      <c r="D26" s="561" t="s">
        <v>59</v>
      </c>
      <c r="E26" s="132"/>
      <c r="F26" s="389">
        <f t="shared" ref="F26:N26" si="5">F16</f>
        <v>1374</v>
      </c>
      <c r="G26" s="389">
        <f t="shared" si="5"/>
        <v>1401</v>
      </c>
      <c r="H26" s="389">
        <f t="shared" si="5"/>
        <v>1430</v>
      </c>
      <c r="I26" s="126">
        <f t="shared" si="5"/>
        <v>1458.6000000000001</v>
      </c>
      <c r="J26" s="389">
        <f t="shared" si="5"/>
        <v>1473.1860000000001</v>
      </c>
      <c r="K26" s="389">
        <f t="shared" si="5"/>
        <v>1487.9178600000002</v>
      </c>
      <c r="L26" s="389">
        <f t="shared" si="5"/>
        <v>1495.3574493000001</v>
      </c>
      <c r="M26" s="389">
        <f t="shared" si="5"/>
        <v>1502.8342365465001</v>
      </c>
      <c r="N26" s="614">
        <f t="shared" si="5"/>
        <v>1510.3484077292323</v>
      </c>
    </row>
    <row r="27" spans="1:21" ht="15" customHeight="1" outlineLevel="1">
      <c r="A27" s="131"/>
      <c r="B27" s="229" t="s">
        <v>265</v>
      </c>
      <c r="C27" s="140"/>
      <c r="D27" s="561" t="s">
        <v>269</v>
      </c>
      <c r="E27" s="132"/>
      <c r="F27" s="126">
        <f t="shared" ref="F27:N27" si="6">F26*F25</f>
        <v>501510</v>
      </c>
      <c r="G27" s="126">
        <f t="shared" si="6"/>
        <v>511365</v>
      </c>
      <c r="H27" s="126">
        <f t="shared" si="6"/>
        <v>521950</v>
      </c>
      <c r="I27" s="407">
        <f t="shared" si="6"/>
        <v>532389</v>
      </c>
      <c r="J27" s="126">
        <f t="shared" si="6"/>
        <v>537712.89</v>
      </c>
      <c r="K27" s="126">
        <f t="shared" si="6"/>
        <v>543090.01890000014</v>
      </c>
      <c r="L27" s="126">
        <f t="shared" si="6"/>
        <v>545805.4689945</v>
      </c>
      <c r="M27" s="126">
        <f t="shared" si="6"/>
        <v>548534.49633947248</v>
      </c>
      <c r="N27" s="406">
        <f t="shared" si="6"/>
        <v>551277.16882116976</v>
      </c>
    </row>
    <row r="28" spans="1:21" ht="15" customHeight="1" outlineLevel="1">
      <c r="A28" s="131"/>
      <c r="B28" s="104"/>
      <c r="C28" s="140"/>
      <c r="D28" s="561"/>
      <c r="E28" s="132"/>
      <c r="F28" s="126"/>
      <c r="G28" s="126"/>
      <c r="H28" s="126"/>
      <c r="I28" s="619"/>
      <c r="J28" s="619"/>
      <c r="K28" s="619"/>
      <c r="L28" s="619"/>
      <c r="M28" s="619"/>
      <c r="N28" s="645"/>
    </row>
    <row r="29" spans="1:21" ht="15" customHeight="1" outlineLevel="1">
      <c r="A29" s="131"/>
      <c r="B29" s="104"/>
      <c r="C29" s="140"/>
      <c r="D29" s="561"/>
      <c r="E29" s="132"/>
      <c r="F29" s="126"/>
      <c r="G29" s="126"/>
      <c r="H29" s="126"/>
      <c r="I29" s="619"/>
      <c r="J29" s="619"/>
      <c r="K29" s="619"/>
      <c r="L29" s="619"/>
      <c r="M29" s="619"/>
      <c r="N29" s="645"/>
    </row>
    <row r="30" spans="1:21" s="102" customFormat="1" ht="15" customHeight="1" outlineLevel="1">
      <c r="B30" s="114" t="s">
        <v>272</v>
      </c>
      <c r="C30" s="108"/>
      <c r="D30" s="561"/>
      <c r="E30" s="561"/>
      <c r="F30" s="561"/>
      <c r="G30" s="561"/>
      <c r="H30" s="561"/>
      <c r="I30" s="561"/>
      <c r="J30" s="561"/>
      <c r="K30" s="561"/>
      <c r="L30" s="561"/>
      <c r="M30" s="126"/>
      <c r="N30" s="614"/>
    </row>
    <row r="31" spans="1:21" s="102" customFormat="1" ht="15" customHeight="1" outlineLevel="1" thickBot="1">
      <c r="B31" s="104"/>
      <c r="C31" s="108"/>
      <c r="D31" s="561"/>
      <c r="E31" s="230"/>
      <c r="F31" s="252"/>
      <c r="G31" s="252"/>
      <c r="H31" s="252"/>
      <c r="I31" s="252"/>
      <c r="J31" s="252"/>
      <c r="K31" s="252"/>
      <c r="L31" s="252"/>
      <c r="M31" s="252"/>
      <c r="N31" s="643"/>
      <c r="Q31" s="669" t="s">
        <v>277</v>
      </c>
      <c r="R31" s="668" t="s">
        <v>278</v>
      </c>
      <c r="S31" s="671" t="s">
        <v>279</v>
      </c>
    </row>
    <row r="32" spans="1:21" ht="15" customHeight="1" outlineLevel="1">
      <c r="A32" s="131"/>
      <c r="B32" s="229" t="s">
        <v>128</v>
      </c>
      <c r="C32" s="140"/>
      <c r="D32" s="132"/>
      <c r="E32" s="132"/>
      <c r="F32" s="356"/>
      <c r="G32" s="644">
        <f>G33/F33-1</f>
        <v>1.701341629399189E-2</v>
      </c>
      <c r="H32" s="644">
        <f>H33/G33-1</f>
        <v>2.1030494216614182E-2</v>
      </c>
      <c r="I32" s="634">
        <f>Inputs!G17</f>
        <v>0.03</v>
      </c>
      <c r="J32" s="634">
        <f>Inputs!H17</f>
        <v>0.01</v>
      </c>
      <c r="K32" s="634">
        <f>Inputs!I17</f>
        <v>0.01</v>
      </c>
      <c r="L32" s="634">
        <f>Inputs!J17</f>
        <v>0.01</v>
      </c>
      <c r="M32" s="634">
        <f>Inputs!K17</f>
        <v>5.0000000000000001E-3</v>
      </c>
      <c r="N32" s="633">
        <f>Inputs!L17</f>
        <v>5.0000000000000001E-3</v>
      </c>
      <c r="Q32" s="699">
        <f>SUM(Model!I32:N32)</f>
        <v>7.0000000000000007E-2</v>
      </c>
      <c r="R32" s="698">
        <f>SUM(Inputs!G17:L17)</f>
        <v>7.0000000000000007E-2</v>
      </c>
      <c r="S32" s="806">
        <f>IF(ISBLANK(Model!I32),0,IF(Q32=R32,1,0))</f>
        <v>1</v>
      </c>
      <c r="U32" s="102"/>
    </row>
    <row r="33" spans="1:19" ht="15" customHeight="1" outlineLevel="1">
      <c r="A33" s="131"/>
      <c r="B33" s="229" t="s">
        <v>271</v>
      </c>
      <c r="C33" s="140"/>
      <c r="D33" s="561" t="s">
        <v>254</v>
      </c>
      <c r="E33" s="132"/>
      <c r="F33" s="257">
        <v>102.86</v>
      </c>
      <c r="G33" s="257">
        <v>104.61</v>
      </c>
      <c r="H33" s="257">
        <v>106.81</v>
      </c>
      <c r="I33" s="256">
        <f t="shared" ref="I33:N33" si="7">H33*(1+I32)</f>
        <v>110.01430000000001</v>
      </c>
      <c r="J33" s="256">
        <f t="shared" si="7"/>
        <v>111.11444300000001</v>
      </c>
      <c r="K33" s="256">
        <f t="shared" si="7"/>
        <v>112.22558743</v>
      </c>
      <c r="L33" s="256">
        <f t="shared" si="7"/>
        <v>113.3478433043</v>
      </c>
      <c r="M33" s="256">
        <f t="shared" si="7"/>
        <v>113.91458252082148</v>
      </c>
      <c r="N33" s="618">
        <f t="shared" si="7"/>
        <v>114.48415543342558</v>
      </c>
    </row>
    <row r="34" spans="1:19" ht="15" customHeight="1" outlineLevel="1">
      <c r="A34" s="131"/>
      <c r="C34" s="140"/>
      <c r="D34" s="561"/>
      <c r="E34" s="132"/>
      <c r="F34" s="257"/>
      <c r="G34" s="257"/>
      <c r="H34" s="257"/>
      <c r="I34" s="256"/>
      <c r="J34" s="256"/>
      <c r="K34" s="256"/>
      <c r="L34" s="256"/>
      <c r="M34" s="256"/>
      <c r="N34" s="615"/>
    </row>
    <row r="35" spans="1:19" ht="15" customHeight="1" outlineLevel="1">
      <c r="A35" s="131"/>
      <c r="C35" s="140"/>
      <c r="D35" s="561"/>
      <c r="E35" s="132"/>
      <c r="F35" s="257"/>
      <c r="G35" s="257"/>
      <c r="H35" s="257"/>
      <c r="I35" s="256"/>
      <c r="J35" s="256"/>
      <c r="K35" s="256"/>
      <c r="L35" s="256"/>
      <c r="M35" s="256"/>
      <c r="N35" s="615"/>
    </row>
    <row r="36" spans="1:19" s="102" customFormat="1" ht="15" customHeight="1" outlineLevel="1">
      <c r="B36" s="114" t="s">
        <v>270</v>
      </c>
      <c r="C36" s="108"/>
      <c r="D36" s="561"/>
      <c r="E36" s="230"/>
      <c r="F36" s="252"/>
      <c r="G36" s="252"/>
      <c r="H36" s="252"/>
      <c r="I36" s="252"/>
      <c r="J36" s="252"/>
      <c r="K36" s="252"/>
      <c r="L36" s="252"/>
      <c r="M36" s="252"/>
      <c r="N36" s="643"/>
    </row>
    <row r="37" spans="1:19" s="102" customFormat="1" ht="15" customHeight="1" outlineLevel="1">
      <c r="B37" s="104"/>
      <c r="C37" s="108"/>
      <c r="D37" s="561"/>
      <c r="E37" s="230"/>
      <c r="F37" s="252"/>
      <c r="G37" s="252"/>
      <c r="H37" s="252"/>
      <c r="I37" s="252"/>
      <c r="J37" s="252"/>
      <c r="K37" s="252"/>
      <c r="L37" s="252"/>
      <c r="M37" s="252"/>
      <c r="N37" s="643"/>
    </row>
    <row r="38" spans="1:19" ht="15" customHeight="1" outlineLevel="1">
      <c r="A38" s="131"/>
      <c r="B38" s="229" t="s">
        <v>265</v>
      </c>
      <c r="C38" s="140"/>
      <c r="D38" s="561" t="s">
        <v>269</v>
      </c>
      <c r="E38" s="132"/>
      <c r="F38" s="126">
        <f t="shared" ref="F38:N38" si="8">F27</f>
        <v>501510</v>
      </c>
      <c r="G38" s="126">
        <f t="shared" si="8"/>
        <v>511365</v>
      </c>
      <c r="H38" s="126">
        <f t="shared" si="8"/>
        <v>521950</v>
      </c>
      <c r="I38" s="126">
        <f t="shared" si="8"/>
        <v>532389</v>
      </c>
      <c r="J38" s="126">
        <f t="shared" si="8"/>
        <v>537712.89</v>
      </c>
      <c r="K38" s="126">
        <f t="shared" si="8"/>
        <v>543090.01890000014</v>
      </c>
      <c r="L38" s="126">
        <f t="shared" si="8"/>
        <v>545805.4689945</v>
      </c>
      <c r="M38" s="126">
        <f t="shared" si="8"/>
        <v>548534.49633947248</v>
      </c>
      <c r="N38" s="614">
        <f t="shared" si="8"/>
        <v>551277.16882116976</v>
      </c>
    </row>
    <row r="39" spans="1:19" ht="15" customHeight="1" outlineLevel="1">
      <c r="A39" s="131"/>
      <c r="B39" s="229" t="s">
        <v>268</v>
      </c>
      <c r="C39" s="140"/>
      <c r="D39" s="561" t="s">
        <v>254</v>
      </c>
      <c r="E39" s="132"/>
      <c r="F39" s="392">
        <f t="shared" ref="F39:N39" si="9">F33</f>
        <v>102.86</v>
      </c>
      <c r="G39" s="392">
        <f t="shared" si="9"/>
        <v>104.61</v>
      </c>
      <c r="H39" s="392">
        <f t="shared" si="9"/>
        <v>106.81</v>
      </c>
      <c r="I39" s="392">
        <f t="shared" si="9"/>
        <v>110.01430000000001</v>
      </c>
      <c r="J39" s="392">
        <f t="shared" si="9"/>
        <v>111.11444300000001</v>
      </c>
      <c r="K39" s="392">
        <f t="shared" si="9"/>
        <v>112.22558743</v>
      </c>
      <c r="L39" s="392">
        <f t="shared" si="9"/>
        <v>113.3478433043</v>
      </c>
      <c r="M39" s="392">
        <f t="shared" si="9"/>
        <v>113.91458252082148</v>
      </c>
      <c r="N39" s="615">
        <f t="shared" si="9"/>
        <v>114.48415543342558</v>
      </c>
    </row>
    <row r="40" spans="1:19" ht="15" customHeight="1" outlineLevel="1" thickBot="1">
      <c r="A40" s="131"/>
      <c r="B40" s="229" t="s">
        <v>239</v>
      </c>
      <c r="C40" s="140"/>
      <c r="D40" s="561"/>
      <c r="E40" s="132"/>
      <c r="F40" s="642">
        <f t="shared" ref="F40:N40" si="10">F38*F39/1000</f>
        <v>51585.318599999999</v>
      </c>
      <c r="G40" s="642">
        <f t="shared" si="10"/>
        <v>53493.892650000002</v>
      </c>
      <c r="H40" s="642">
        <f t="shared" si="10"/>
        <v>55749.479500000001</v>
      </c>
      <c r="I40" s="642">
        <f t="shared" si="10"/>
        <v>58570.403162700008</v>
      </c>
      <c r="J40" s="642">
        <f t="shared" si="10"/>
        <v>59747.668266270273</v>
      </c>
      <c r="K40" s="642">
        <f t="shared" si="10"/>
        <v>60948.59639842232</v>
      </c>
      <c r="L40" s="642">
        <f t="shared" si="10"/>
        <v>61865.872774218558</v>
      </c>
      <c r="M40" s="642">
        <f t="shared" si="10"/>
        <v>62486.078148780085</v>
      </c>
      <c r="N40" s="641">
        <f t="shared" si="10"/>
        <v>63112.501082221599</v>
      </c>
    </row>
    <row r="41" spans="1:19" ht="15" customHeight="1" outlineLevel="1">
      <c r="A41" s="131"/>
      <c r="C41" s="140"/>
      <c r="D41" s="561"/>
      <c r="E41" s="132"/>
      <c r="F41" s="126"/>
      <c r="G41" s="126"/>
      <c r="H41" s="126"/>
      <c r="I41" s="126"/>
      <c r="J41" s="126"/>
      <c r="K41" s="126"/>
      <c r="L41" s="126"/>
      <c r="M41" s="126"/>
      <c r="N41" s="126"/>
    </row>
    <row r="42" spans="1:19" ht="15" customHeight="1" outlineLevel="1">
      <c r="A42" s="131"/>
      <c r="C42" s="140"/>
      <c r="D42" s="561"/>
      <c r="E42" s="132"/>
      <c r="F42" s="126"/>
      <c r="G42" s="126"/>
      <c r="H42" s="126"/>
      <c r="I42" s="126"/>
      <c r="J42" s="126"/>
      <c r="K42" s="126"/>
      <c r="L42" s="126"/>
      <c r="M42" s="126"/>
      <c r="N42" s="126"/>
    </row>
    <row r="43" spans="1:19" ht="15" customHeight="1" outlineLevel="1">
      <c r="A43" s="131"/>
      <c r="B43" s="104" t="s">
        <v>267</v>
      </c>
      <c r="C43" s="140"/>
      <c r="D43" s="640"/>
      <c r="E43" s="132"/>
      <c r="F43" s="639">
        <f t="shared" ref="F43:N43" si="11">IF(F18&gt;=1,1,0)</f>
        <v>0</v>
      </c>
      <c r="G43" s="638">
        <f t="shared" si="11"/>
        <v>0</v>
      </c>
      <c r="H43" s="638">
        <f t="shared" si="11"/>
        <v>0</v>
      </c>
      <c r="I43" s="638">
        <f t="shared" si="11"/>
        <v>0</v>
      </c>
      <c r="J43" s="638">
        <f t="shared" si="11"/>
        <v>0</v>
      </c>
      <c r="K43" s="638">
        <f t="shared" si="11"/>
        <v>0</v>
      </c>
      <c r="L43" s="638">
        <f t="shared" si="11"/>
        <v>0</v>
      </c>
      <c r="M43" s="638">
        <f t="shared" si="11"/>
        <v>0</v>
      </c>
      <c r="N43" s="637">
        <f t="shared" si="11"/>
        <v>0</v>
      </c>
      <c r="S43" s="716" t="str">
        <f>IF(SUM(S13:S40)=2,"COMPLETE","")</f>
        <v>COMPLETE</v>
      </c>
    </row>
    <row r="44" spans="1:19" ht="15" customHeight="1" outlineLevel="1">
      <c r="A44" s="131"/>
      <c r="B44" s="122"/>
      <c r="C44" s="140"/>
      <c r="D44" s="132"/>
      <c r="E44" s="132"/>
      <c r="F44" s="132"/>
      <c r="G44" s="132"/>
      <c r="H44" s="132"/>
      <c r="I44" s="131"/>
      <c r="J44" s="131"/>
      <c r="K44" s="131"/>
      <c r="L44" s="131"/>
      <c r="M44" s="131"/>
      <c r="N44" s="405"/>
    </row>
    <row r="45" spans="1:19" ht="15" customHeight="1" outlineLevel="1"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</row>
    <row r="46" spans="1:19" s="102" customFormat="1" ht="15" customHeight="1">
      <c r="B46" s="230"/>
      <c r="C46" s="230"/>
      <c r="D46" s="230"/>
      <c r="E46" s="230"/>
      <c r="F46" s="230"/>
      <c r="G46" s="230"/>
      <c r="H46" s="230"/>
      <c r="I46" s="230"/>
      <c r="J46" s="230"/>
      <c r="K46" s="230"/>
      <c r="L46" s="230"/>
      <c r="M46" s="230"/>
      <c r="N46" s="230"/>
      <c r="O46" s="377"/>
    </row>
    <row r="47" spans="1:19" ht="15" customHeight="1">
      <c r="A47" s="102" t="s">
        <v>0</v>
      </c>
      <c r="B47" s="144" t="s">
        <v>266</v>
      </c>
      <c r="C47" s="143"/>
      <c r="D47" s="142"/>
      <c r="E47" s="142"/>
      <c r="F47" s="141"/>
      <c r="G47" s="141"/>
      <c r="H47" s="141"/>
      <c r="I47" s="141"/>
      <c r="J47" s="141"/>
      <c r="K47" s="141"/>
      <c r="L47" s="141"/>
      <c r="M47" s="141"/>
      <c r="N47" s="447"/>
      <c r="O47" s="98"/>
    </row>
    <row r="48" spans="1:19" ht="15" customHeight="1" outlineLevel="1">
      <c r="A48" s="102"/>
      <c r="B48" s="304"/>
      <c r="C48" s="140"/>
      <c r="D48" s="139"/>
      <c r="E48" s="139"/>
      <c r="F48" s="138"/>
      <c r="G48" s="138"/>
      <c r="H48" s="138"/>
      <c r="I48" s="138"/>
      <c r="J48" s="138"/>
      <c r="K48" s="138"/>
      <c r="L48" s="138"/>
      <c r="M48" s="138"/>
      <c r="N48" s="138"/>
    </row>
    <row r="49" spans="1:19" ht="15" customHeight="1" outlineLevel="1" thickBot="1">
      <c r="A49" s="102"/>
      <c r="B49" s="122" t="s">
        <v>40</v>
      </c>
      <c r="C49" s="140"/>
      <c r="D49" s="132"/>
      <c r="E49" s="132"/>
      <c r="F49" s="490">
        <f t="shared" ref="F49:N49" si="12">F$5</f>
        <v>2020</v>
      </c>
      <c r="G49" s="490">
        <f t="shared" si="12"/>
        <v>2021</v>
      </c>
      <c r="H49" s="490">
        <f t="shared" si="12"/>
        <v>2022</v>
      </c>
      <c r="I49" s="354">
        <f t="shared" si="12"/>
        <v>2023</v>
      </c>
      <c r="J49" s="354">
        <f t="shared" si="12"/>
        <v>2024</v>
      </c>
      <c r="K49" s="354">
        <f t="shared" si="12"/>
        <v>2025</v>
      </c>
      <c r="L49" s="354">
        <f t="shared" si="12"/>
        <v>2026</v>
      </c>
      <c r="M49" s="354">
        <f t="shared" si="12"/>
        <v>2027</v>
      </c>
      <c r="N49" s="354" t="str">
        <f t="shared" si="12"/>
        <v>Term</v>
      </c>
    </row>
    <row r="50" spans="1:19" ht="15" customHeight="1" outlineLevel="1">
      <c r="A50" s="102"/>
      <c r="B50" s="122" t="str">
        <f>$B$6</f>
        <v>Model Running: Base Case Drivers</v>
      </c>
      <c r="C50" s="140"/>
      <c r="D50" s="132"/>
      <c r="E50" s="132"/>
      <c r="F50" s="132"/>
      <c r="G50" s="132"/>
      <c r="H50" s="132"/>
      <c r="I50" s="136"/>
      <c r="J50" s="136"/>
      <c r="K50" s="136"/>
      <c r="L50" s="136"/>
      <c r="M50" s="136"/>
      <c r="N50" s="136"/>
    </row>
    <row r="51" spans="1:19" ht="15" customHeight="1" outlineLevel="1">
      <c r="A51" s="102"/>
      <c r="B51" s="122"/>
      <c r="C51" s="140"/>
      <c r="D51" s="132"/>
      <c r="E51" s="132"/>
      <c r="F51" s="132"/>
      <c r="G51" s="132"/>
      <c r="H51" s="132"/>
      <c r="I51" s="131"/>
      <c r="J51" s="131"/>
      <c r="K51" s="131"/>
      <c r="L51" s="131"/>
      <c r="M51" s="131"/>
    </row>
    <row r="52" spans="1:19" ht="15" customHeight="1" outlineLevel="1" thickBot="1">
      <c r="A52" s="102"/>
      <c r="B52" s="104" t="s">
        <v>265</v>
      </c>
      <c r="C52" s="140"/>
      <c r="D52" s="561"/>
      <c r="E52" s="132"/>
      <c r="F52" s="568">
        <f t="shared" ref="F52:N52" si="13">F38</f>
        <v>501510</v>
      </c>
      <c r="G52" s="407">
        <f t="shared" si="13"/>
        <v>511365</v>
      </c>
      <c r="H52" s="407">
        <f t="shared" si="13"/>
        <v>521950</v>
      </c>
      <c r="I52" s="407">
        <f t="shared" si="13"/>
        <v>532389</v>
      </c>
      <c r="J52" s="407">
        <f t="shared" si="13"/>
        <v>537712.89</v>
      </c>
      <c r="K52" s="407">
        <f t="shared" si="13"/>
        <v>543090.01890000014</v>
      </c>
      <c r="L52" s="407">
        <f t="shared" si="13"/>
        <v>545805.4689945</v>
      </c>
      <c r="M52" s="407">
        <f t="shared" si="13"/>
        <v>548534.49633947248</v>
      </c>
      <c r="N52" s="406">
        <f t="shared" si="13"/>
        <v>551277.16882116976</v>
      </c>
      <c r="Q52" s="669" t="s">
        <v>277</v>
      </c>
      <c r="R52" s="668" t="s">
        <v>278</v>
      </c>
      <c r="S52" s="671" t="s">
        <v>279</v>
      </c>
    </row>
    <row r="53" spans="1:19" ht="15" customHeight="1" outlineLevel="1">
      <c r="A53" s="102"/>
      <c r="B53" s="104" t="s">
        <v>249</v>
      </c>
      <c r="C53" s="140"/>
      <c r="D53" s="132"/>
      <c r="E53" s="132"/>
      <c r="F53" s="636">
        <v>2.4E-2</v>
      </c>
      <c r="G53" s="635">
        <v>2.1999999999999999E-2</v>
      </c>
      <c r="H53" s="635">
        <v>2.3E-2</v>
      </c>
      <c r="I53" s="634">
        <f>Inputs!G31</f>
        <v>3.5000000000000003E-2</v>
      </c>
      <c r="J53" s="634">
        <f>Inputs!H31</f>
        <v>0.03</v>
      </c>
      <c r="K53" s="634">
        <f>Inputs!I31</f>
        <v>0.03</v>
      </c>
      <c r="L53" s="634">
        <f>Inputs!J31</f>
        <v>2.5000000000000001E-2</v>
      </c>
      <c r="M53" s="634">
        <f>Inputs!K31</f>
        <v>2.5000000000000001E-2</v>
      </c>
      <c r="N53" s="633">
        <f>Inputs!L31</f>
        <v>1.4999999999999999E-2</v>
      </c>
      <c r="Q53" s="699">
        <f>SUM(Model!I53:N53)</f>
        <v>0.15999999999999998</v>
      </c>
      <c r="R53" s="698">
        <f>SUM(I53:N53)</f>
        <v>0.15999999999999998</v>
      </c>
      <c r="S53" s="806">
        <f>IF(ISBLANK(Model!I53),0,IF(Q53=R53,1,0))</f>
        <v>1</v>
      </c>
    </row>
    <row r="54" spans="1:19" ht="15" customHeight="1" outlineLevel="1">
      <c r="A54" s="102"/>
      <c r="B54" s="104"/>
      <c r="C54" s="140"/>
      <c r="D54" s="132"/>
      <c r="E54" s="132"/>
      <c r="F54" s="606"/>
      <c r="G54" s="606"/>
      <c r="H54" s="606"/>
      <c r="I54" s="221"/>
      <c r="J54" s="221"/>
      <c r="K54" s="221"/>
      <c r="L54" s="221"/>
      <c r="M54" s="221"/>
      <c r="N54" s="221"/>
    </row>
    <row r="55" spans="1:19" s="102" customFormat="1" ht="15" customHeight="1" outlineLevel="1">
      <c r="B55" s="114" t="s">
        <v>264</v>
      </c>
      <c r="C55" s="108"/>
      <c r="D55" s="561"/>
      <c r="E55" s="230"/>
      <c r="F55" s="632"/>
      <c r="G55" s="632"/>
      <c r="H55" s="632"/>
      <c r="I55" s="252"/>
      <c r="J55" s="252"/>
      <c r="K55" s="252"/>
      <c r="L55" s="252"/>
      <c r="M55" s="252"/>
      <c r="N55" s="252"/>
      <c r="O55" s="98"/>
    </row>
    <row r="56" spans="1:19" s="102" customFormat="1" ht="15" customHeight="1" outlineLevel="1">
      <c r="B56" s="104"/>
      <c r="C56" s="108"/>
      <c r="D56" s="561"/>
      <c r="E56" s="230"/>
      <c r="F56" s="252"/>
      <c r="G56" s="252"/>
      <c r="H56" s="252"/>
      <c r="I56" s="252"/>
      <c r="J56" s="252"/>
      <c r="K56" s="252"/>
      <c r="L56" s="252"/>
      <c r="M56" s="252"/>
      <c r="N56" s="583"/>
      <c r="O56" s="98"/>
    </row>
    <row r="57" spans="1:19" s="102" customFormat="1" ht="15" customHeight="1" outlineLevel="1">
      <c r="B57" s="229" t="s">
        <v>263</v>
      </c>
      <c r="C57" s="140"/>
      <c r="D57" s="561" t="s">
        <v>254</v>
      </c>
      <c r="E57" s="132"/>
      <c r="F57" s="257">
        <v>9.51</v>
      </c>
      <c r="G57" s="257">
        <v>9.7200000000000006</v>
      </c>
      <c r="H57" s="257">
        <v>9.91</v>
      </c>
      <c r="I57" s="256">
        <f t="shared" ref="I57:N59" si="14">H57*(1+I$53)</f>
        <v>10.25685</v>
      </c>
      <c r="J57" s="256">
        <f t="shared" si="14"/>
        <v>10.564555500000001</v>
      </c>
      <c r="K57" s="256">
        <f t="shared" si="14"/>
        <v>10.881492165000001</v>
      </c>
      <c r="L57" s="256">
        <f t="shared" si="14"/>
        <v>11.153529469125001</v>
      </c>
      <c r="M57" s="256">
        <f t="shared" si="14"/>
        <v>11.432367705853125</v>
      </c>
      <c r="N57" s="631">
        <f t="shared" si="14"/>
        <v>11.60385322144092</v>
      </c>
    </row>
    <row r="58" spans="1:19" s="102" customFormat="1" ht="15" customHeight="1" outlineLevel="1">
      <c r="B58" s="229" t="s">
        <v>262</v>
      </c>
      <c r="C58" s="140"/>
      <c r="D58" s="561" t="s">
        <v>254</v>
      </c>
      <c r="E58" s="132"/>
      <c r="F58" s="257">
        <v>0.82</v>
      </c>
      <c r="G58" s="257">
        <v>0.84</v>
      </c>
      <c r="H58" s="257">
        <v>0.86</v>
      </c>
      <c r="I58" s="256">
        <f t="shared" si="14"/>
        <v>0.89009999999999989</v>
      </c>
      <c r="J58" s="256">
        <f t="shared" si="14"/>
        <v>0.91680299999999992</v>
      </c>
      <c r="K58" s="256">
        <f t="shared" si="14"/>
        <v>0.9443070899999999</v>
      </c>
      <c r="L58" s="256">
        <f t="shared" si="14"/>
        <v>0.96791476724999981</v>
      </c>
      <c r="M58" s="256">
        <f t="shared" si="14"/>
        <v>0.99211263643124969</v>
      </c>
      <c r="N58" s="630">
        <f t="shared" si="14"/>
        <v>1.0069943259777183</v>
      </c>
    </row>
    <row r="59" spans="1:19" s="102" customFormat="1" ht="15" customHeight="1" outlineLevel="1">
      <c r="B59" s="229" t="s">
        <v>261</v>
      </c>
      <c r="C59" s="140"/>
      <c r="D59" s="561" t="s">
        <v>254</v>
      </c>
      <c r="E59" s="132"/>
      <c r="F59" s="629">
        <v>1.54</v>
      </c>
      <c r="G59" s="629">
        <v>1.58</v>
      </c>
      <c r="H59" s="629">
        <v>1.62</v>
      </c>
      <c r="I59" s="628">
        <f t="shared" si="14"/>
        <v>1.6767000000000001</v>
      </c>
      <c r="J59" s="628">
        <f t="shared" si="14"/>
        <v>1.7270010000000002</v>
      </c>
      <c r="K59" s="628">
        <f t="shared" si="14"/>
        <v>1.7788110300000002</v>
      </c>
      <c r="L59" s="628">
        <f t="shared" si="14"/>
        <v>1.8232813057500001</v>
      </c>
      <c r="M59" s="628">
        <f t="shared" si="14"/>
        <v>1.8688633383937501</v>
      </c>
      <c r="N59" s="627">
        <f t="shared" si="14"/>
        <v>1.8968962884696561</v>
      </c>
    </row>
    <row r="60" spans="1:19" s="102" customFormat="1" ht="15" customHeight="1" outlineLevel="1">
      <c r="B60" s="229" t="s">
        <v>256</v>
      </c>
      <c r="C60" s="108"/>
      <c r="D60" s="561"/>
      <c r="E60" s="230"/>
      <c r="F60" s="392">
        <f t="shared" ref="F60:N60" si="15">SUM(F57:F59)</f>
        <v>11.870000000000001</v>
      </c>
      <c r="G60" s="392">
        <f t="shared" si="15"/>
        <v>12.14</v>
      </c>
      <c r="H60" s="392">
        <f t="shared" si="15"/>
        <v>12.39</v>
      </c>
      <c r="I60" s="392">
        <f t="shared" si="15"/>
        <v>12.823650000000001</v>
      </c>
      <c r="J60" s="392">
        <f t="shared" si="15"/>
        <v>13.2083595</v>
      </c>
      <c r="K60" s="392">
        <f t="shared" si="15"/>
        <v>13.604610285000001</v>
      </c>
      <c r="L60" s="392">
        <f t="shared" si="15"/>
        <v>13.944725542124999</v>
      </c>
      <c r="M60" s="392">
        <f t="shared" si="15"/>
        <v>14.293343680678124</v>
      </c>
      <c r="N60" s="615">
        <f t="shared" si="15"/>
        <v>14.507743835888295</v>
      </c>
    </row>
    <row r="61" spans="1:19" s="102" customFormat="1" ht="15" customHeight="1" outlineLevel="1">
      <c r="B61" s="108"/>
      <c r="C61" s="108"/>
      <c r="D61" s="561"/>
      <c r="E61" s="230"/>
      <c r="F61" s="392"/>
      <c r="G61" s="392"/>
      <c r="H61" s="392"/>
      <c r="I61" s="392"/>
      <c r="J61" s="392"/>
      <c r="K61" s="392"/>
      <c r="L61" s="392"/>
      <c r="M61" s="392"/>
      <c r="N61" s="625"/>
    </row>
    <row r="62" spans="1:19" s="102" customFormat="1" ht="15" customHeight="1" outlineLevel="1">
      <c r="B62" s="229" t="s">
        <v>263</v>
      </c>
      <c r="C62" s="140"/>
      <c r="D62" s="561"/>
      <c r="E62" s="132"/>
      <c r="F62" s="126">
        <f t="shared" ref="F62:N64" si="16">F57*F$52/1000</f>
        <v>4769.3600999999999</v>
      </c>
      <c r="G62" s="126">
        <f t="shared" si="16"/>
        <v>4970.4678000000004</v>
      </c>
      <c r="H62" s="126">
        <f t="shared" si="16"/>
        <v>5172.5245000000004</v>
      </c>
      <c r="I62" s="126">
        <f t="shared" si="16"/>
        <v>5460.6341146499999</v>
      </c>
      <c r="J62" s="126">
        <f t="shared" si="16"/>
        <v>5680.6976694703962</v>
      </c>
      <c r="K62" s="126">
        <f t="shared" si="16"/>
        <v>5909.6297855500543</v>
      </c>
      <c r="L62" s="126">
        <f t="shared" si="16"/>
        <v>6087.6573828397477</v>
      </c>
      <c r="M62" s="126">
        <f t="shared" si="16"/>
        <v>6271.0480614977942</v>
      </c>
      <c r="N62" s="614">
        <f t="shared" si="16"/>
        <v>6396.9393513323612</v>
      </c>
    </row>
    <row r="63" spans="1:19" s="102" customFormat="1" ht="15" customHeight="1" outlineLevel="1">
      <c r="B63" s="229" t="s">
        <v>262</v>
      </c>
      <c r="C63" s="140"/>
      <c r="D63" s="561"/>
      <c r="E63" s="132"/>
      <c r="F63" s="126">
        <f t="shared" si="16"/>
        <v>411.23819999999995</v>
      </c>
      <c r="G63" s="126">
        <f t="shared" si="16"/>
        <v>429.54659999999996</v>
      </c>
      <c r="H63" s="126">
        <f t="shared" si="16"/>
        <v>448.87700000000001</v>
      </c>
      <c r="I63" s="126">
        <f t="shared" si="16"/>
        <v>473.87944889999994</v>
      </c>
      <c r="J63" s="126">
        <f t="shared" si="16"/>
        <v>492.97679069066999</v>
      </c>
      <c r="K63" s="126">
        <f t="shared" si="16"/>
        <v>512.84375535550407</v>
      </c>
      <c r="L63" s="126">
        <f t="shared" si="16"/>
        <v>528.29317348558845</v>
      </c>
      <c r="M63" s="126">
        <f t="shared" si="16"/>
        <v>544.20800533684167</v>
      </c>
      <c r="N63" s="614">
        <f t="shared" si="16"/>
        <v>555.1329810439787</v>
      </c>
    </row>
    <row r="64" spans="1:19" s="102" customFormat="1" ht="15" customHeight="1" outlineLevel="1">
      <c r="B64" s="229" t="s">
        <v>261</v>
      </c>
      <c r="C64" s="140"/>
      <c r="D64" s="561"/>
      <c r="E64" s="132"/>
      <c r="F64" s="389">
        <f t="shared" si="16"/>
        <v>772.32540000000006</v>
      </c>
      <c r="G64" s="389">
        <f t="shared" si="16"/>
        <v>807.95670000000007</v>
      </c>
      <c r="H64" s="389">
        <f t="shared" si="16"/>
        <v>845.55899999999997</v>
      </c>
      <c r="I64" s="389">
        <f t="shared" si="16"/>
        <v>892.65663630000006</v>
      </c>
      <c r="J64" s="389">
        <f t="shared" si="16"/>
        <v>928.6306987428901</v>
      </c>
      <c r="K64" s="389">
        <f t="shared" si="16"/>
        <v>966.05451590222879</v>
      </c>
      <c r="L64" s="389">
        <f t="shared" si="16"/>
        <v>995.15690819378312</v>
      </c>
      <c r="M64" s="389">
        <f t="shared" si="16"/>
        <v>1025.1360100531208</v>
      </c>
      <c r="N64" s="614">
        <f t="shared" si="16"/>
        <v>1045.7156154549371</v>
      </c>
    </row>
    <row r="65" spans="2:15" s="102" customFormat="1" ht="15" customHeight="1" outlineLevel="1">
      <c r="B65" s="229" t="s">
        <v>256</v>
      </c>
      <c r="C65" s="108"/>
      <c r="D65" s="561"/>
      <c r="E65" s="230"/>
      <c r="F65" s="126">
        <f t="shared" ref="F65:N65" si="17">SUM(F62:F64)</f>
        <v>5952.9236999999994</v>
      </c>
      <c r="G65" s="126">
        <f t="shared" si="17"/>
        <v>6207.9710999999998</v>
      </c>
      <c r="H65" s="126">
        <f t="shared" si="17"/>
        <v>6466.960500000001</v>
      </c>
      <c r="I65" s="126">
        <f t="shared" si="17"/>
        <v>6827.1701998500002</v>
      </c>
      <c r="J65" s="126">
        <f t="shared" si="17"/>
        <v>7102.305158903956</v>
      </c>
      <c r="K65" s="126">
        <f t="shared" si="17"/>
        <v>7388.5280568077869</v>
      </c>
      <c r="L65" s="126">
        <f t="shared" si="17"/>
        <v>7611.1074645191193</v>
      </c>
      <c r="M65" s="126">
        <f t="shared" si="17"/>
        <v>7840.392076887757</v>
      </c>
      <c r="N65" s="622">
        <f t="shared" si="17"/>
        <v>7997.7879478312771</v>
      </c>
      <c r="O65" s="105"/>
    </row>
    <row r="66" spans="2:15" s="102" customFormat="1" ht="15" customHeight="1" outlineLevel="1">
      <c r="B66" s="612"/>
      <c r="C66" s="562"/>
      <c r="D66" s="611"/>
      <c r="E66" s="449"/>
      <c r="F66" s="620"/>
      <c r="G66" s="620"/>
      <c r="H66" s="620"/>
      <c r="I66" s="620"/>
      <c r="J66" s="620"/>
      <c r="K66" s="620"/>
      <c r="L66" s="620"/>
      <c r="M66" s="620"/>
      <c r="N66" s="620"/>
    </row>
    <row r="67" spans="2:15" s="102" customFormat="1" ht="15" customHeight="1" outlineLevel="1">
      <c r="B67" s="104"/>
      <c r="C67" s="108"/>
      <c r="D67" s="561"/>
      <c r="E67" s="230"/>
      <c r="F67" s="252"/>
      <c r="G67" s="252"/>
      <c r="H67" s="252"/>
      <c r="I67" s="252"/>
      <c r="J67" s="252"/>
      <c r="K67" s="252"/>
      <c r="L67" s="252"/>
      <c r="M67" s="252"/>
      <c r="N67" s="252"/>
    </row>
    <row r="68" spans="2:15" s="102" customFormat="1" ht="15" customHeight="1" outlineLevel="1">
      <c r="B68" s="114" t="s">
        <v>260</v>
      </c>
      <c r="C68" s="108"/>
      <c r="D68" s="561"/>
      <c r="E68" s="230"/>
      <c r="F68" s="252"/>
      <c r="G68" s="252"/>
      <c r="H68" s="252"/>
      <c r="I68" s="252"/>
      <c r="J68" s="252"/>
      <c r="K68" s="252"/>
      <c r="L68" s="252"/>
      <c r="M68" s="252"/>
      <c r="N68" s="583"/>
      <c r="O68" s="98"/>
    </row>
    <row r="69" spans="2:15" s="102" customFormat="1" ht="15" customHeight="1" outlineLevel="1">
      <c r="B69" s="626"/>
      <c r="C69" s="108"/>
      <c r="D69" s="561"/>
      <c r="E69" s="230"/>
      <c r="F69" s="252"/>
      <c r="G69" s="252"/>
      <c r="H69" s="252"/>
      <c r="I69" s="252"/>
      <c r="J69" s="252"/>
      <c r="K69" s="252"/>
      <c r="L69" s="252"/>
      <c r="M69" s="252"/>
      <c r="N69" s="583"/>
      <c r="O69" s="98"/>
    </row>
    <row r="70" spans="2:15" s="102" customFormat="1" ht="15" customHeight="1" outlineLevel="1">
      <c r="B70" s="229" t="s">
        <v>259</v>
      </c>
      <c r="C70" s="140"/>
      <c r="D70" s="561" t="s">
        <v>254</v>
      </c>
      <c r="E70" s="132"/>
      <c r="F70" s="392">
        <f t="shared" ref="F70:N72" si="18">(F75*1000)/F$52</f>
        <v>31.165879045283244</v>
      </c>
      <c r="G70" s="392">
        <f t="shared" si="18"/>
        <v>31.236005592873976</v>
      </c>
      <c r="H70" s="392">
        <f t="shared" si="18"/>
        <v>31.307596513075964</v>
      </c>
      <c r="I70" s="392">
        <f t="shared" si="18"/>
        <v>31.768002344150606</v>
      </c>
      <c r="J70" s="392">
        <f t="shared" si="18"/>
        <v>32.397071697500131</v>
      </c>
      <c r="K70" s="392">
        <f t="shared" si="18"/>
        <v>33.038597869727845</v>
      </c>
      <c r="L70" s="392">
        <f t="shared" si="18"/>
        <v>33.696082404448809</v>
      </c>
      <c r="M70" s="392">
        <f t="shared" si="18"/>
        <v>34.366651208517439</v>
      </c>
      <c r="N70" s="618">
        <f t="shared" si="18"/>
        <v>34.708607936960405</v>
      </c>
    </row>
    <row r="71" spans="2:15" s="102" customFormat="1" ht="15" customHeight="1" outlineLevel="1">
      <c r="B71" s="229" t="s">
        <v>258</v>
      </c>
      <c r="C71" s="140"/>
      <c r="D71" s="561" t="s">
        <v>254</v>
      </c>
      <c r="E71" s="132"/>
      <c r="F71" s="392">
        <f t="shared" si="18"/>
        <v>7.2800143566429387</v>
      </c>
      <c r="G71" s="392">
        <f t="shared" si="18"/>
        <v>7.2961583213555876</v>
      </c>
      <c r="H71" s="392">
        <f t="shared" si="18"/>
        <v>7.312961011591149</v>
      </c>
      <c r="I71" s="392">
        <f t="shared" si="18"/>
        <v>7.4205045558792539</v>
      </c>
      <c r="J71" s="392">
        <f t="shared" si="18"/>
        <v>7.5674452401540906</v>
      </c>
      <c r="K71" s="392">
        <f t="shared" si="18"/>
        <v>7.7172956409492199</v>
      </c>
      <c r="L71" s="392">
        <f t="shared" si="18"/>
        <v>7.8708736636546774</v>
      </c>
      <c r="M71" s="392">
        <f t="shared" si="18"/>
        <v>8.0275079654189501</v>
      </c>
      <c r="N71" s="615">
        <f t="shared" si="18"/>
        <v>8.1073836665673973</v>
      </c>
    </row>
    <row r="72" spans="2:15" s="102" customFormat="1" ht="15" customHeight="1" outlineLevel="1">
      <c r="B72" s="229" t="s">
        <v>257</v>
      </c>
      <c r="C72" s="140"/>
      <c r="D72" s="561" t="s">
        <v>254</v>
      </c>
      <c r="E72" s="132"/>
      <c r="F72" s="617">
        <f t="shared" si="18"/>
        <v>4.9111682718191059</v>
      </c>
      <c r="G72" s="617">
        <f t="shared" si="18"/>
        <v>4.9221202076794466</v>
      </c>
      <c r="H72" s="617">
        <f t="shared" si="18"/>
        <v>4.9334227416419196</v>
      </c>
      <c r="I72" s="617">
        <f t="shared" si="18"/>
        <v>5.0059730760778303</v>
      </c>
      <c r="J72" s="617">
        <f t="shared" si="18"/>
        <v>5.1051012558021434</v>
      </c>
      <c r="K72" s="617">
        <f t="shared" si="18"/>
        <v>5.2061923697784227</v>
      </c>
      <c r="L72" s="617">
        <f t="shared" si="18"/>
        <v>5.3097981880824729</v>
      </c>
      <c r="M72" s="617">
        <f t="shared" si="18"/>
        <v>5.4154658137159544</v>
      </c>
      <c r="N72" s="616">
        <f t="shared" si="18"/>
        <v>5.4693510456932275</v>
      </c>
    </row>
    <row r="73" spans="2:15" s="102" customFormat="1" ht="15" customHeight="1" outlineLevel="1">
      <c r="B73" s="229" t="s">
        <v>256</v>
      </c>
      <c r="C73" s="108"/>
      <c r="D73" s="561"/>
      <c r="E73" s="230"/>
      <c r="F73" s="392">
        <f t="shared" ref="F73:N73" si="19">SUM(F70:F72)</f>
        <v>43.357061673745292</v>
      </c>
      <c r="G73" s="392">
        <f t="shared" si="19"/>
        <v>43.454284121909012</v>
      </c>
      <c r="H73" s="392">
        <f t="shared" si="19"/>
        <v>43.553980266309033</v>
      </c>
      <c r="I73" s="392">
        <f t="shared" si="19"/>
        <v>44.194479976107687</v>
      </c>
      <c r="J73" s="392">
        <f t="shared" si="19"/>
        <v>45.069618193456364</v>
      </c>
      <c r="K73" s="392">
        <f t="shared" si="19"/>
        <v>45.962085880455483</v>
      </c>
      <c r="L73" s="392">
        <f t="shared" si="19"/>
        <v>46.876754256185961</v>
      </c>
      <c r="M73" s="392">
        <f t="shared" si="19"/>
        <v>47.809624987652342</v>
      </c>
      <c r="N73" s="615">
        <f t="shared" si="19"/>
        <v>48.285342649221036</v>
      </c>
    </row>
    <row r="74" spans="2:15" s="102" customFormat="1" ht="15" customHeight="1" outlineLevel="1">
      <c r="B74" s="108"/>
      <c r="C74" s="108"/>
      <c r="D74" s="561"/>
      <c r="E74" s="230"/>
      <c r="F74" s="252"/>
      <c r="G74" s="252"/>
      <c r="H74" s="252"/>
      <c r="I74" s="252"/>
      <c r="J74" s="252"/>
      <c r="K74" s="252"/>
      <c r="L74" s="252"/>
      <c r="M74" s="252"/>
      <c r="N74" s="625"/>
    </row>
    <row r="75" spans="2:15" s="102" customFormat="1" ht="15" customHeight="1" outlineLevel="1">
      <c r="B75" s="229" t="s">
        <v>259</v>
      </c>
      <c r="C75" s="140"/>
      <c r="D75" s="391"/>
      <c r="E75" s="132"/>
      <c r="F75" s="391">
        <v>15630</v>
      </c>
      <c r="G75" s="391">
        <v>15973</v>
      </c>
      <c r="H75" s="391">
        <v>16341</v>
      </c>
      <c r="I75" s="494">
        <f t="shared" ref="I75:N77" si="20">H75*(1+I$53)</f>
        <v>16912.934999999998</v>
      </c>
      <c r="J75" s="494">
        <f t="shared" si="20"/>
        <v>17420.323049999999</v>
      </c>
      <c r="K75" s="494">
        <f t="shared" si="20"/>
        <v>17942.932741500001</v>
      </c>
      <c r="L75" s="494">
        <f t="shared" si="20"/>
        <v>18391.5060600375</v>
      </c>
      <c r="M75" s="494">
        <f t="shared" si="20"/>
        <v>18851.293711538437</v>
      </c>
      <c r="N75" s="623">
        <f t="shared" si="20"/>
        <v>19134.063117211514</v>
      </c>
    </row>
    <row r="76" spans="2:15" s="102" customFormat="1" ht="15" customHeight="1" outlineLevel="1">
      <c r="B76" s="229" t="s">
        <v>258</v>
      </c>
      <c r="C76" s="140"/>
      <c r="D76" s="561"/>
      <c r="E76" s="132"/>
      <c r="F76" s="391">
        <v>3651</v>
      </c>
      <c r="G76" s="391">
        <v>3731</v>
      </c>
      <c r="H76" s="391">
        <v>3817</v>
      </c>
      <c r="I76" s="494">
        <f t="shared" si="20"/>
        <v>3950.5949999999998</v>
      </c>
      <c r="J76" s="494">
        <f t="shared" si="20"/>
        <v>4069.11285</v>
      </c>
      <c r="K76" s="494">
        <f t="shared" si="20"/>
        <v>4191.1862355000003</v>
      </c>
      <c r="L76" s="494">
        <f t="shared" si="20"/>
        <v>4295.9658913875001</v>
      </c>
      <c r="M76" s="494">
        <f t="shared" si="20"/>
        <v>4403.3650386721874</v>
      </c>
      <c r="N76" s="623">
        <f t="shared" si="20"/>
        <v>4469.4155142522695</v>
      </c>
    </row>
    <row r="77" spans="2:15" s="102" customFormat="1" ht="15" customHeight="1" outlineLevel="1">
      <c r="B77" s="229" t="s">
        <v>257</v>
      </c>
      <c r="C77" s="140"/>
      <c r="D77" s="561"/>
      <c r="E77" s="132"/>
      <c r="F77" s="390">
        <v>2463</v>
      </c>
      <c r="G77" s="390">
        <v>2517</v>
      </c>
      <c r="H77" s="390">
        <v>2575</v>
      </c>
      <c r="I77" s="624">
        <f t="shared" si="20"/>
        <v>2665.125</v>
      </c>
      <c r="J77" s="624">
        <f t="shared" si="20"/>
        <v>2745.0787500000001</v>
      </c>
      <c r="K77" s="624">
        <f t="shared" si="20"/>
        <v>2827.4311125000004</v>
      </c>
      <c r="L77" s="624">
        <f t="shared" si="20"/>
        <v>2898.1168903125003</v>
      </c>
      <c r="M77" s="624">
        <f t="shared" si="20"/>
        <v>2970.5698125703125</v>
      </c>
      <c r="N77" s="623">
        <f t="shared" si="20"/>
        <v>3015.1283597588667</v>
      </c>
    </row>
    <row r="78" spans="2:15" s="102" customFormat="1" ht="15" customHeight="1" outlineLevel="1">
      <c r="B78" s="229" t="s">
        <v>256</v>
      </c>
      <c r="C78" s="108"/>
      <c r="D78" s="561"/>
      <c r="E78" s="230"/>
      <c r="F78" s="126">
        <f t="shared" ref="F78:N78" si="21">SUM(F75:F77)</f>
        <v>21744</v>
      </c>
      <c r="G78" s="126">
        <f t="shared" si="21"/>
        <v>22221</v>
      </c>
      <c r="H78" s="126">
        <f t="shared" si="21"/>
        <v>22733</v>
      </c>
      <c r="I78" s="126">
        <f t="shared" si="21"/>
        <v>23528.654999999999</v>
      </c>
      <c r="J78" s="126">
        <f t="shared" si="21"/>
        <v>24234.514650000001</v>
      </c>
      <c r="K78" s="126">
        <f t="shared" si="21"/>
        <v>24961.5500895</v>
      </c>
      <c r="L78" s="126">
        <f t="shared" si="21"/>
        <v>25585.588841737499</v>
      </c>
      <c r="M78" s="126">
        <f t="shared" si="21"/>
        <v>26225.22856278094</v>
      </c>
      <c r="N78" s="622">
        <f t="shared" si="21"/>
        <v>26618.606991222649</v>
      </c>
    </row>
    <row r="79" spans="2:15" s="102" customFormat="1" ht="15" customHeight="1" outlineLevel="1">
      <c r="B79" s="612"/>
      <c r="C79" s="562"/>
      <c r="D79" s="611"/>
      <c r="E79" s="449"/>
      <c r="F79" s="620"/>
      <c r="G79" s="621"/>
      <c r="H79" s="621"/>
      <c r="I79" s="620"/>
      <c r="J79" s="620"/>
      <c r="K79" s="620"/>
      <c r="L79" s="620"/>
      <c r="M79" s="620"/>
      <c r="N79" s="620"/>
    </row>
    <row r="80" spans="2:15" s="102" customFormat="1" ht="15" customHeight="1" outlineLevel="1">
      <c r="B80" s="104"/>
      <c r="C80" s="108"/>
      <c r="D80" s="561"/>
      <c r="E80" s="230"/>
      <c r="F80" s="252"/>
      <c r="G80" s="619"/>
      <c r="H80" s="619"/>
      <c r="I80" s="252"/>
      <c r="J80" s="252"/>
      <c r="K80" s="252"/>
      <c r="L80" s="252"/>
      <c r="M80" s="252"/>
      <c r="N80" s="252"/>
    </row>
    <row r="81" spans="1:19" s="102" customFormat="1" ht="15" customHeight="1" outlineLevel="1">
      <c r="B81" s="114" t="s">
        <v>255</v>
      </c>
      <c r="C81" s="108"/>
      <c r="D81" s="561"/>
      <c r="E81" s="230"/>
      <c r="F81" s="252"/>
      <c r="G81" s="252"/>
      <c r="H81" s="252"/>
      <c r="I81" s="252"/>
    </row>
    <row r="82" spans="1:19" s="102" customFormat="1" ht="15" customHeight="1" outlineLevel="1">
      <c r="B82" s="114"/>
      <c r="C82" s="108"/>
      <c r="D82" s="561"/>
      <c r="E82" s="230"/>
      <c r="F82" s="252"/>
      <c r="G82" s="252"/>
      <c r="H82" s="252"/>
      <c r="I82" s="252"/>
      <c r="J82" s="252"/>
      <c r="K82" s="252"/>
      <c r="L82" s="252"/>
      <c r="M82" s="252"/>
      <c r="N82" s="583"/>
    </row>
    <row r="83" spans="1:19" s="102" customFormat="1" ht="15" customHeight="1" outlineLevel="1">
      <c r="B83" s="229" t="s">
        <v>253</v>
      </c>
      <c r="C83" s="108"/>
      <c r="D83" s="561" t="s">
        <v>254</v>
      </c>
      <c r="E83" s="230"/>
      <c r="F83" s="392">
        <f t="shared" ref="F83:N83" si="22">F60</f>
        <v>11.870000000000001</v>
      </c>
      <c r="G83" s="392">
        <f t="shared" si="22"/>
        <v>12.14</v>
      </c>
      <c r="H83" s="392">
        <f t="shared" si="22"/>
        <v>12.39</v>
      </c>
      <c r="I83" s="392">
        <f t="shared" si="22"/>
        <v>12.823650000000001</v>
      </c>
      <c r="J83" s="392">
        <f t="shared" si="22"/>
        <v>13.2083595</v>
      </c>
      <c r="K83" s="392">
        <f t="shared" si="22"/>
        <v>13.604610285000001</v>
      </c>
      <c r="L83" s="392">
        <f t="shared" si="22"/>
        <v>13.944725542124999</v>
      </c>
      <c r="M83" s="392">
        <f t="shared" si="22"/>
        <v>14.293343680678124</v>
      </c>
      <c r="N83" s="618">
        <f t="shared" si="22"/>
        <v>14.507743835888295</v>
      </c>
    </row>
    <row r="84" spans="1:19" s="102" customFormat="1" ht="15" customHeight="1" outlineLevel="1">
      <c r="B84" s="229" t="s">
        <v>252</v>
      </c>
      <c r="C84" s="108"/>
      <c r="D84" s="561" t="s">
        <v>254</v>
      </c>
      <c r="E84" s="230"/>
      <c r="F84" s="617">
        <f t="shared" ref="F84:N84" si="23">F73</f>
        <v>43.357061673745292</v>
      </c>
      <c r="G84" s="617">
        <f t="shared" si="23"/>
        <v>43.454284121909012</v>
      </c>
      <c r="H84" s="617">
        <f t="shared" si="23"/>
        <v>43.553980266309033</v>
      </c>
      <c r="I84" s="617">
        <f t="shared" si="23"/>
        <v>44.194479976107687</v>
      </c>
      <c r="J84" s="617">
        <f t="shared" si="23"/>
        <v>45.069618193456364</v>
      </c>
      <c r="K84" s="617">
        <f t="shared" si="23"/>
        <v>45.962085880455483</v>
      </c>
      <c r="L84" s="617">
        <f t="shared" si="23"/>
        <v>46.876754256185961</v>
      </c>
      <c r="M84" s="617">
        <f t="shared" si="23"/>
        <v>47.809624987652342</v>
      </c>
      <c r="N84" s="616">
        <f t="shared" si="23"/>
        <v>48.285342649221036</v>
      </c>
    </row>
    <row r="85" spans="1:19" s="102" customFormat="1" ht="15" customHeight="1" outlineLevel="1">
      <c r="B85" s="229" t="s">
        <v>251</v>
      </c>
      <c r="C85" s="108"/>
      <c r="D85" s="561" t="s">
        <v>254</v>
      </c>
      <c r="E85" s="230"/>
      <c r="F85" s="392">
        <f t="shared" ref="F85:N85" si="24">SUM(F83:F84)</f>
        <v>55.227061673745297</v>
      </c>
      <c r="G85" s="392">
        <f t="shared" si="24"/>
        <v>55.594284121909013</v>
      </c>
      <c r="H85" s="392">
        <f t="shared" si="24"/>
        <v>55.943980266309033</v>
      </c>
      <c r="I85" s="392">
        <f t="shared" si="24"/>
        <v>57.018129976107687</v>
      </c>
      <c r="J85" s="392">
        <f t="shared" si="24"/>
        <v>58.277977693456364</v>
      </c>
      <c r="K85" s="392">
        <f t="shared" si="24"/>
        <v>59.566696165455483</v>
      </c>
      <c r="L85" s="392">
        <f t="shared" si="24"/>
        <v>60.821479798310961</v>
      </c>
      <c r="M85" s="392">
        <f t="shared" si="24"/>
        <v>62.102968668330462</v>
      </c>
      <c r="N85" s="615">
        <f t="shared" si="24"/>
        <v>62.793086485109328</v>
      </c>
    </row>
    <row r="86" spans="1:19" s="102" customFormat="1" ht="15" customHeight="1" outlineLevel="1">
      <c r="B86" s="104"/>
      <c r="C86" s="108"/>
      <c r="D86" s="561"/>
      <c r="E86" s="230"/>
      <c r="F86" s="392"/>
      <c r="G86" s="392"/>
      <c r="H86" s="392"/>
      <c r="I86" s="392"/>
      <c r="J86" s="392"/>
      <c r="K86" s="392"/>
      <c r="L86" s="392"/>
      <c r="M86" s="392"/>
      <c r="N86" s="615"/>
    </row>
    <row r="87" spans="1:19" s="102" customFormat="1" ht="15" customHeight="1" outlineLevel="1">
      <c r="B87" s="229" t="s">
        <v>253</v>
      </c>
      <c r="C87" s="108"/>
      <c r="D87" s="561"/>
      <c r="E87" s="230"/>
      <c r="F87" s="126">
        <f t="shared" ref="F87:N87" si="25">F65</f>
        <v>5952.9236999999994</v>
      </c>
      <c r="G87" s="126">
        <f t="shared" si="25"/>
        <v>6207.9710999999998</v>
      </c>
      <c r="H87" s="126">
        <f t="shared" si="25"/>
        <v>6466.960500000001</v>
      </c>
      <c r="I87" s="126">
        <f t="shared" si="25"/>
        <v>6827.1701998500002</v>
      </c>
      <c r="J87" s="126">
        <f t="shared" si="25"/>
        <v>7102.305158903956</v>
      </c>
      <c r="K87" s="126">
        <f t="shared" si="25"/>
        <v>7388.5280568077869</v>
      </c>
      <c r="L87" s="126">
        <f t="shared" si="25"/>
        <v>7611.1074645191193</v>
      </c>
      <c r="M87" s="126">
        <f t="shared" si="25"/>
        <v>7840.392076887757</v>
      </c>
      <c r="N87" s="614">
        <f t="shared" si="25"/>
        <v>7997.7879478312771</v>
      </c>
    </row>
    <row r="88" spans="1:19" s="102" customFormat="1" ht="15" customHeight="1" outlineLevel="1">
      <c r="B88" s="229" t="s">
        <v>252</v>
      </c>
      <c r="C88" s="108"/>
      <c r="D88" s="561"/>
      <c r="E88" s="230"/>
      <c r="F88" s="126">
        <f t="shared" ref="F88:N88" si="26">F78</f>
        <v>21744</v>
      </c>
      <c r="G88" s="126">
        <f t="shared" si="26"/>
        <v>22221</v>
      </c>
      <c r="H88" s="126">
        <f t="shared" si="26"/>
        <v>22733</v>
      </c>
      <c r="I88" s="126">
        <f t="shared" si="26"/>
        <v>23528.654999999999</v>
      </c>
      <c r="J88" s="126">
        <f t="shared" si="26"/>
        <v>24234.514650000001</v>
      </c>
      <c r="K88" s="126">
        <f t="shared" si="26"/>
        <v>24961.5500895</v>
      </c>
      <c r="L88" s="126">
        <f t="shared" si="26"/>
        <v>25585.588841737499</v>
      </c>
      <c r="M88" s="126">
        <f t="shared" si="26"/>
        <v>26225.22856278094</v>
      </c>
      <c r="N88" s="614">
        <f t="shared" si="26"/>
        <v>26618.606991222649</v>
      </c>
    </row>
    <row r="89" spans="1:19" s="102" customFormat="1" ht="15" customHeight="1" outlineLevel="1" thickBot="1">
      <c r="B89" s="229" t="s">
        <v>251</v>
      </c>
      <c r="C89" s="108"/>
      <c r="D89" s="561"/>
      <c r="E89" s="230"/>
      <c r="F89" s="472">
        <f t="shared" ref="F89:N89" si="27">SUM(F87:F88)</f>
        <v>27696.923699999999</v>
      </c>
      <c r="G89" s="472">
        <f t="shared" si="27"/>
        <v>28428.971099999999</v>
      </c>
      <c r="H89" s="472">
        <f t="shared" si="27"/>
        <v>29199.960500000001</v>
      </c>
      <c r="I89" s="472">
        <f t="shared" si="27"/>
        <v>30355.825199849998</v>
      </c>
      <c r="J89" s="472">
        <f t="shared" si="27"/>
        <v>31336.819808903958</v>
      </c>
      <c r="K89" s="472">
        <f t="shared" si="27"/>
        <v>32350.078146307787</v>
      </c>
      <c r="L89" s="472">
        <f t="shared" si="27"/>
        <v>33196.696306256621</v>
      </c>
      <c r="M89" s="472">
        <f t="shared" si="27"/>
        <v>34065.620639668698</v>
      </c>
      <c r="N89" s="613">
        <f t="shared" si="27"/>
        <v>34616.394939053927</v>
      </c>
      <c r="S89" s="716" t="str">
        <f>IF(SUM(S52:S86)=1,"COMPLETE","")</f>
        <v>COMPLETE</v>
      </c>
    </row>
    <row r="90" spans="1:19" s="102" customFormat="1" ht="15" customHeight="1" outlineLevel="1">
      <c r="B90" s="114"/>
      <c r="C90" s="108"/>
      <c r="D90" s="561"/>
      <c r="E90" s="230"/>
      <c r="F90" s="126"/>
      <c r="G90" s="126"/>
      <c r="H90" s="126"/>
      <c r="I90" s="126"/>
      <c r="J90" s="126"/>
      <c r="K90" s="126"/>
      <c r="L90" s="126"/>
      <c r="M90" s="126"/>
      <c r="N90" s="126"/>
    </row>
    <row r="91" spans="1:19" s="102" customFormat="1" ht="15" customHeight="1" outlineLevel="1">
      <c r="B91" s="612"/>
      <c r="C91" s="240"/>
      <c r="D91" s="611"/>
      <c r="E91" s="356"/>
      <c r="F91" s="390"/>
      <c r="G91" s="390"/>
      <c r="H91" s="610"/>
      <c r="I91" s="610"/>
      <c r="J91" s="610"/>
      <c r="K91" s="610"/>
      <c r="L91" s="610"/>
      <c r="M91" s="610"/>
      <c r="N91" s="610"/>
      <c r="O91" s="98"/>
    </row>
    <row r="92" spans="1:19" s="102" customFormat="1" ht="15" customHeight="1">
      <c r="B92" s="104"/>
      <c r="C92" s="140"/>
      <c r="D92" s="561"/>
      <c r="E92" s="132"/>
      <c r="F92" s="391"/>
      <c r="G92" s="391"/>
      <c r="H92" s="391"/>
      <c r="I92" s="494"/>
      <c r="J92" s="494"/>
      <c r="K92" s="494"/>
      <c r="L92" s="494"/>
      <c r="M92" s="494"/>
      <c r="N92" s="494"/>
      <c r="O92" s="98"/>
    </row>
    <row r="93" spans="1:19" s="131" customFormat="1" ht="15" customHeight="1">
      <c r="A93" s="102" t="s">
        <v>0</v>
      </c>
      <c r="B93" s="144" t="s">
        <v>250</v>
      </c>
      <c r="C93" s="143"/>
      <c r="D93" s="142"/>
      <c r="E93" s="142"/>
      <c r="F93" s="141"/>
      <c r="G93" s="141"/>
      <c r="H93" s="141"/>
      <c r="I93" s="141"/>
      <c r="J93" s="141"/>
      <c r="K93" s="141"/>
      <c r="L93" s="141"/>
      <c r="M93" s="141"/>
      <c r="N93" s="447"/>
    </row>
    <row r="94" spans="1:19" s="131" customFormat="1" ht="15" customHeight="1" outlineLevel="1">
      <c r="B94" s="304"/>
      <c r="C94" s="140"/>
      <c r="D94" s="139"/>
      <c r="E94" s="139"/>
      <c r="F94" s="138"/>
      <c r="G94" s="138"/>
      <c r="H94" s="138"/>
      <c r="I94" s="138"/>
      <c r="J94" s="138"/>
      <c r="K94" s="138"/>
      <c r="L94" s="138"/>
      <c r="M94" s="138"/>
      <c r="N94" s="138"/>
    </row>
    <row r="95" spans="1:19" s="131" customFormat="1" ht="15" customHeight="1" outlineLevel="1" thickBot="1">
      <c r="B95" s="122" t="s">
        <v>40</v>
      </c>
      <c r="C95" s="140"/>
      <c r="D95" s="132"/>
      <c r="E95" s="132"/>
      <c r="F95" s="490">
        <f t="shared" ref="F95:N95" si="28">F$5</f>
        <v>2020</v>
      </c>
      <c r="G95" s="490">
        <f t="shared" si="28"/>
        <v>2021</v>
      </c>
      <c r="H95" s="490">
        <f t="shared" si="28"/>
        <v>2022</v>
      </c>
      <c r="I95" s="354">
        <f t="shared" si="28"/>
        <v>2023</v>
      </c>
      <c r="J95" s="354">
        <f t="shared" si="28"/>
        <v>2024</v>
      </c>
      <c r="K95" s="354">
        <f t="shared" si="28"/>
        <v>2025</v>
      </c>
      <c r="L95" s="354">
        <f t="shared" si="28"/>
        <v>2026</v>
      </c>
      <c r="M95" s="354">
        <f t="shared" si="28"/>
        <v>2027</v>
      </c>
      <c r="N95" s="354" t="str">
        <f t="shared" si="28"/>
        <v>Term</v>
      </c>
    </row>
    <row r="96" spans="1:19" ht="15" customHeight="1" outlineLevel="1">
      <c r="A96" s="102"/>
      <c r="B96" s="122" t="str">
        <f>$B$6</f>
        <v>Model Running: Base Case Drivers</v>
      </c>
      <c r="C96" s="140"/>
      <c r="D96" s="132"/>
      <c r="E96" s="132"/>
      <c r="F96" s="132"/>
      <c r="G96" s="132"/>
      <c r="H96" s="132"/>
      <c r="I96" s="136"/>
      <c r="J96" s="136"/>
      <c r="K96" s="136"/>
      <c r="L96" s="136"/>
      <c r="M96" s="136"/>
      <c r="N96" s="136"/>
    </row>
    <row r="97" spans="1:19" s="131" customFormat="1" ht="15" customHeight="1" outlineLevel="1">
      <c r="B97" s="122"/>
      <c r="C97" s="140"/>
      <c r="D97" s="132"/>
      <c r="E97" s="132"/>
      <c r="F97" s="132"/>
      <c r="G97" s="132"/>
      <c r="H97" s="132"/>
    </row>
    <row r="98" spans="1:19" ht="15" customHeight="1" outlineLevel="1">
      <c r="A98" s="102"/>
      <c r="B98" s="104" t="s">
        <v>249</v>
      </c>
      <c r="C98" s="140"/>
      <c r="D98" s="132"/>
      <c r="E98" s="132"/>
      <c r="F98" s="609">
        <f t="shared" ref="F98:N98" si="29">F53</f>
        <v>2.4E-2</v>
      </c>
      <c r="G98" s="608">
        <f t="shared" si="29"/>
        <v>2.1999999999999999E-2</v>
      </c>
      <c r="H98" s="608">
        <f t="shared" si="29"/>
        <v>2.3E-2</v>
      </c>
      <c r="I98" s="608">
        <f t="shared" si="29"/>
        <v>3.5000000000000003E-2</v>
      </c>
      <c r="J98" s="608">
        <f t="shared" si="29"/>
        <v>0.03</v>
      </c>
      <c r="K98" s="608">
        <f t="shared" si="29"/>
        <v>0.03</v>
      </c>
      <c r="L98" s="608">
        <f t="shared" si="29"/>
        <v>2.5000000000000001E-2</v>
      </c>
      <c r="M98" s="608">
        <f t="shared" si="29"/>
        <v>2.5000000000000001E-2</v>
      </c>
      <c r="N98" s="607">
        <f t="shared" si="29"/>
        <v>1.4999999999999999E-2</v>
      </c>
    </row>
    <row r="99" spans="1:19" ht="15" customHeight="1" outlineLevel="1">
      <c r="A99" s="102"/>
      <c r="B99" s="104"/>
      <c r="C99" s="140"/>
      <c r="D99" s="132"/>
      <c r="E99" s="132"/>
      <c r="F99" s="606"/>
      <c r="G99" s="606"/>
      <c r="H99" s="606"/>
      <c r="I99" s="606"/>
      <c r="J99" s="606"/>
      <c r="K99" s="606"/>
      <c r="L99" s="606"/>
      <c r="M99" s="606"/>
      <c r="N99" s="606"/>
    </row>
    <row r="100" spans="1:19" s="131" customFormat="1" ht="15" customHeight="1" outlineLevel="1">
      <c r="B100" s="605" t="s">
        <v>169</v>
      </c>
      <c r="C100" s="604">
        <f>Inputs!L105</f>
        <v>2520</v>
      </c>
      <c r="D100" s="132"/>
      <c r="E100" s="132"/>
      <c r="F100" s="132"/>
      <c r="G100" s="132"/>
      <c r="H100" s="132"/>
    </row>
    <row r="101" spans="1:19" s="131" customFormat="1" ht="15" customHeight="1" outlineLevel="1">
      <c r="B101" s="466" t="s">
        <v>87</v>
      </c>
      <c r="C101" s="603">
        <f>Inputs!L73</f>
        <v>0.3</v>
      </c>
      <c r="E101" s="132"/>
      <c r="F101" s="132"/>
      <c r="G101" s="132"/>
      <c r="H101" s="132"/>
      <c r="I101" s="136"/>
      <c r="J101" s="136"/>
      <c r="K101" s="136"/>
      <c r="L101" s="136"/>
      <c r="M101" s="136"/>
      <c r="O101" s="98"/>
    </row>
    <row r="102" spans="1:19" s="131" customFormat="1" ht="15" customHeight="1" outlineLevel="1" thickBot="1">
      <c r="B102" s="101"/>
      <c r="C102" s="140"/>
      <c r="D102" s="132"/>
      <c r="E102" s="132"/>
      <c r="F102" s="132"/>
      <c r="G102" s="132"/>
      <c r="H102" s="132"/>
      <c r="Q102" s="662" t="s">
        <v>277</v>
      </c>
      <c r="R102" s="663" t="s">
        <v>278</v>
      </c>
      <c r="S102" s="664" t="s">
        <v>279</v>
      </c>
    </row>
    <row r="103" spans="1:19" s="102" customFormat="1" ht="15" customHeight="1" outlineLevel="1">
      <c r="B103" s="229" t="s">
        <v>239</v>
      </c>
      <c r="C103" s="230"/>
      <c r="D103" s="132"/>
      <c r="E103" s="230"/>
      <c r="F103" s="387">
        <v>51585</v>
      </c>
      <c r="G103" s="387">
        <v>53494</v>
      </c>
      <c r="H103" s="387">
        <v>55749</v>
      </c>
      <c r="I103" s="594">
        <f>Model!I40</f>
        <v>58570.403162700008</v>
      </c>
      <c r="J103" s="594">
        <f>Model!J40</f>
        <v>59747.668266270273</v>
      </c>
      <c r="K103" s="594">
        <f>Model!K40</f>
        <v>60948.59639842232</v>
      </c>
      <c r="L103" s="594">
        <f>Model!L40</f>
        <v>61865.872774218558</v>
      </c>
      <c r="M103" s="594">
        <f>Model!M40</f>
        <v>62486.078148780085</v>
      </c>
      <c r="N103" s="602">
        <f>Model!N40</f>
        <v>63112.501082221599</v>
      </c>
      <c r="Q103" s="704">
        <f>SUM(Model!I103:N103)</f>
        <v>366731.11983261281</v>
      </c>
      <c r="R103" s="702">
        <f>SUM(I103:N103)</f>
        <v>366731.11983261281</v>
      </c>
      <c r="S103" s="808">
        <f>IF(ISBLANK(Model!I103),0,IF(Q103=R103,1,0))</f>
        <v>1</v>
      </c>
    </row>
    <row r="104" spans="1:19" s="102" customFormat="1" ht="15" customHeight="1" outlineLevel="1">
      <c r="B104" s="229" t="s">
        <v>238</v>
      </c>
      <c r="C104" s="230"/>
      <c r="D104" s="230"/>
      <c r="E104" s="230"/>
      <c r="F104" s="394">
        <v>27697</v>
      </c>
      <c r="G104" s="394">
        <v>28429</v>
      </c>
      <c r="H104" s="394">
        <v>29200</v>
      </c>
      <c r="I104" s="592">
        <f>Model!I89</f>
        <v>30355.825199849998</v>
      </c>
      <c r="J104" s="592">
        <f>Model!J89</f>
        <v>31336.819808903958</v>
      </c>
      <c r="K104" s="592">
        <f>Model!K89</f>
        <v>32350.078146307787</v>
      </c>
      <c r="L104" s="592">
        <f>Model!L89</f>
        <v>33196.696306256621</v>
      </c>
      <c r="M104" s="592">
        <f>Model!M89</f>
        <v>34065.620639668698</v>
      </c>
      <c r="N104" s="598">
        <f>Model!N89</f>
        <v>34616.394939053927</v>
      </c>
      <c r="Q104" s="705">
        <f>SUM(Model!I104:N104)</f>
        <v>195921.43504004099</v>
      </c>
      <c r="R104" s="703">
        <f>SUM(I104:N104)</f>
        <v>195921.43504004099</v>
      </c>
      <c r="S104" s="809">
        <f>IF(ISBLANK(Model!I104),0,IF(Q104=R104,1,0))</f>
        <v>1</v>
      </c>
    </row>
    <row r="105" spans="1:19" s="102" customFormat="1" ht="15" customHeight="1" outlineLevel="1">
      <c r="B105" s="315" t="s">
        <v>248</v>
      </c>
      <c r="C105" s="493"/>
      <c r="D105" s="230"/>
      <c r="E105" s="230"/>
      <c r="F105" s="469">
        <f t="shared" ref="F105:N105" si="30">F103-F104</f>
        <v>23888</v>
      </c>
      <c r="G105" s="469">
        <f t="shared" si="30"/>
        <v>25065</v>
      </c>
      <c r="H105" s="469">
        <f t="shared" si="30"/>
        <v>26549</v>
      </c>
      <c r="I105" s="469">
        <f t="shared" si="30"/>
        <v>28214.577962850009</v>
      </c>
      <c r="J105" s="469">
        <f t="shared" si="30"/>
        <v>28410.848457366315</v>
      </c>
      <c r="K105" s="469">
        <f t="shared" si="30"/>
        <v>28598.518252114533</v>
      </c>
      <c r="L105" s="469">
        <f t="shared" si="30"/>
        <v>28669.176467961937</v>
      </c>
      <c r="M105" s="469">
        <f t="shared" si="30"/>
        <v>28420.457509111387</v>
      </c>
      <c r="N105" s="595">
        <f t="shared" si="30"/>
        <v>28496.106143167672</v>
      </c>
    </row>
    <row r="106" spans="1:19" s="102" customFormat="1" ht="15" customHeight="1" outlineLevel="1">
      <c r="B106" s="315"/>
      <c r="C106" s="493"/>
      <c r="D106" s="230"/>
      <c r="E106" s="230"/>
      <c r="F106" s="597"/>
      <c r="G106" s="597"/>
      <c r="H106" s="597"/>
      <c r="I106" s="469"/>
      <c r="J106" s="469"/>
      <c r="K106" s="469"/>
      <c r="L106" s="469"/>
      <c r="M106" s="469"/>
      <c r="N106" s="595"/>
    </row>
    <row r="107" spans="1:19" s="102" customFormat="1" ht="15" customHeight="1" outlineLevel="1" thickBot="1">
      <c r="B107" s="229"/>
      <c r="C107" s="230"/>
      <c r="D107" s="230"/>
      <c r="E107" s="230"/>
      <c r="F107" s="601"/>
      <c r="G107" s="601"/>
      <c r="H107" s="601"/>
      <c r="I107" s="597"/>
      <c r="J107" s="597"/>
      <c r="K107" s="597"/>
      <c r="L107" s="597"/>
      <c r="M107" s="600"/>
      <c r="N107" s="599"/>
      <c r="Q107" s="662" t="s">
        <v>277</v>
      </c>
      <c r="R107" s="663" t="s">
        <v>278</v>
      </c>
      <c r="S107" s="664" t="s">
        <v>279</v>
      </c>
    </row>
    <row r="108" spans="1:19" s="102" customFormat="1" ht="15" customHeight="1" outlineLevel="1">
      <c r="B108" s="229" t="s">
        <v>247</v>
      </c>
      <c r="C108" s="230"/>
      <c r="D108" s="387"/>
      <c r="E108" s="230"/>
      <c r="F108" s="387">
        <v>5877</v>
      </c>
      <c r="G108" s="387">
        <v>6006</v>
      </c>
      <c r="H108" s="387">
        <v>6144</v>
      </c>
      <c r="I108" s="594">
        <f>H108*(1+Model!I$98)</f>
        <v>6359.0399999999991</v>
      </c>
      <c r="J108" s="594">
        <f>I108*(1+Model!J$98)</f>
        <v>6549.8111999999992</v>
      </c>
      <c r="K108" s="594">
        <f>J108*(1+Model!K$98)</f>
        <v>6746.3055359999989</v>
      </c>
      <c r="L108" s="594">
        <f>K108*(1+Model!L$98)</f>
        <v>6914.963174399998</v>
      </c>
      <c r="M108" s="594">
        <f>L108*(1+Model!M$98)</f>
        <v>7087.8372537599971</v>
      </c>
      <c r="N108" s="593">
        <f>M108*(1+Model!N$98)</f>
        <v>7194.1548125663967</v>
      </c>
      <c r="Q108" s="704">
        <f>SUM(Model!I108:N108)</f>
        <v>40852.111976726388</v>
      </c>
      <c r="R108" s="702">
        <f>SUM(I108:N108)</f>
        <v>40852.111976726388</v>
      </c>
      <c r="S108" s="808">
        <f>IF(ISBLANK(Model!I108),0,IF(Q108=R108,1,0))</f>
        <v>1</v>
      </c>
    </row>
    <row r="109" spans="1:19" s="102" customFormat="1" ht="15" customHeight="1" outlineLevel="1">
      <c r="B109" s="229" t="s">
        <v>246</v>
      </c>
      <c r="C109" s="230"/>
      <c r="D109" s="230"/>
      <c r="E109" s="230"/>
      <c r="F109" s="394">
        <v>1764</v>
      </c>
      <c r="G109" s="394">
        <v>1931</v>
      </c>
      <c r="H109" s="394">
        <v>2026</v>
      </c>
      <c r="I109" s="592">
        <f>H109*(1+Model!I$98)</f>
        <v>2096.91</v>
      </c>
      <c r="J109" s="592">
        <f>I109*(1+Model!J$98)</f>
        <v>2159.8172999999997</v>
      </c>
      <c r="K109" s="592">
        <f>J109*(1+Model!K$98)</f>
        <v>2224.6118189999997</v>
      </c>
      <c r="L109" s="592">
        <f>K109*(1+Model!L$98)</f>
        <v>2280.2271144749993</v>
      </c>
      <c r="M109" s="592">
        <f>L109*(1+Model!M$98)</f>
        <v>2337.2327923368739</v>
      </c>
      <c r="N109" s="598">
        <f>M109*(1+Model!N$98)</f>
        <v>2372.2912842219266</v>
      </c>
      <c r="Q109" s="705">
        <f>SUM(Model!I109:N109)</f>
        <v>13471.090310033798</v>
      </c>
      <c r="R109" s="703">
        <f>SUM(I109:N109)</f>
        <v>13471.090310033798</v>
      </c>
      <c r="S109" s="809">
        <f>IF(ISBLANK(Model!I109),0,IF(Q109=R109,1,0))</f>
        <v>1</v>
      </c>
    </row>
    <row r="110" spans="1:19" s="102" customFormat="1" ht="15" customHeight="1" outlineLevel="1">
      <c r="B110" s="315" t="s">
        <v>156</v>
      </c>
      <c r="C110" s="493"/>
      <c r="D110" s="230"/>
      <c r="E110" s="230"/>
      <c r="F110" s="469">
        <f t="shared" ref="F110:N110" si="31">F105-SUM(F108:F109)</f>
        <v>16247</v>
      </c>
      <c r="G110" s="469">
        <f t="shared" si="31"/>
        <v>17128</v>
      </c>
      <c r="H110" s="469">
        <f t="shared" si="31"/>
        <v>18379</v>
      </c>
      <c r="I110" s="469">
        <f t="shared" si="31"/>
        <v>19758.627962850012</v>
      </c>
      <c r="J110" s="469">
        <f t="shared" si="31"/>
        <v>19701.219957366317</v>
      </c>
      <c r="K110" s="469">
        <f t="shared" si="31"/>
        <v>19627.600897114535</v>
      </c>
      <c r="L110" s="469">
        <f t="shared" si="31"/>
        <v>19473.98617908694</v>
      </c>
      <c r="M110" s="469">
        <f t="shared" si="31"/>
        <v>18995.387463014515</v>
      </c>
      <c r="N110" s="595">
        <f t="shared" si="31"/>
        <v>18929.660046379347</v>
      </c>
    </row>
    <row r="111" spans="1:19" s="102" customFormat="1" ht="15" customHeight="1" outlineLevel="1">
      <c r="B111" s="315"/>
      <c r="C111" s="493"/>
      <c r="D111" s="230"/>
      <c r="E111" s="230"/>
      <c r="F111" s="597"/>
      <c r="G111" s="597"/>
      <c r="H111" s="597"/>
      <c r="I111" s="469"/>
      <c r="J111" s="469"/>
      <c r="K111" s="469"/>
      <c r="L111" s="469"/>
      <c r="M111" s="469"/>
      <c r="N111" s="595"/>
    </row>
    <row r="112" spans="1:19" s="102" customFormat="1" ht="15" customHeight="1" outlineLevel="1" thickBot="1">
      <c r="B112" s="229"/>
      <c r="C112" s="230"/>
      <c r="D112" s="230"/>
      <c r="E112" s="230"/>
      <c r="F112" s="469"/>
      <c r="G112" s="469"/>
      <c r="H112" s="469"/>
      <c r="I112" s="469"/>
      <c r="J112" s="469"/>
      <c r="K112" s="469"/>
      <c r="L112" s="469"/>
      <c r="M112" s="469"/>
      <c r="N112" s="595"/>
      <c r="Q112" s="669" t="s">
        <v>277</v>
      </c>
      <c r="R112" s="668" t="s">
        <v>278</v>
      </c>
      <c r="S112" s="671" t="s">
        <v>279</v>
      </c>
    </row>
    <row r="113" spans="1:19" s="102" customFormat="1" ht="15" customHeight="1" outlineLevel="1">
      <c r="B113" s="229" t="s">
        <v>245</v>
      </c>
      <c r="C113" s="230"/>
      <c r="D113" s="230"/>
      <c r="E113" s="230"/>
      <c r="F113" s="394">
        <v>2960</v>
      </c>
      <c r="G113" s="394">
        <v>3196</v>
      </c>
      <c r="H113" s="394">
        <v>3452</v>
      </c>
      <c r="I113" s="592">
        <f>Model!I200</f>
        <v>4177.125</v>
      </c>
      <c r="J113" s="592">
        <f>Model!J200</f>
        <v>4408.375</v>
      </c>
      <c r="K113" s="592">
        <f>Model!K200</f>
        <v>4647.125</v>
      </c>
      <c r="L113" s="592">
        <f>Model!L200</f>
        <v>4893.375</v>
      </c>
      <c r="M113" s="592">
        <f>Model!M200</f>
        <v>5146.5</v>
      </c>
      <c r="N113" s="596">
        <f>Inputs!L24</f>
        <v>5300</v>
      </c>
      <c r="Q113" s="701">
        <f>SUM(Model!I113:N113)</f>
        <v>28572.5</v>
      </c>
      <c r="R113" s="700">
        <f>SUM(Model!I200:M200)+Inputs!L24</f>
        <v>28572.5</v>
      </c>
      <c r="S113" s="806">
        <f>IF(ISBLANK(Model!I113),0,IF(Q113=R113,1,0))</f>
        <v>1</v>
      </c>
    </row>
    <row r="114" spans="1:19" s="102" customFormat="1" ht="15" customHeight="1" outlineLevel="1">
      <c r="B114" s="315" t="s">
        <v>179</v>
      </c>
      <c r="C114" s="493"/>
      <c r="D114" s="230"/>
      <c r="E114" s="230"/>
      <c r="F114" s="469">
        <f t="shared" ref="F114:N114" si="32">F110-F113</f>
        <v>13287</v>
      </c>
      <c r="G114" s="469">
        <f t="shared" si="32"/>
        <v>13932</v>
      </c>
      <c r="H114" s="469">
        <f t="shared" si="32"/>
        <v>14927</v>
      </c>
      <c r="I114" s="469">
        <f t="shared" si="32"/>
        <v>15581.502962850012</v>
      </c>
      <c r="J114" s="469">
        <f t="shared" si="32"/>
        <v>15292.844957366317</v>
      </c>
      <c r="K114" s="469">
        <f t="shared" si="32"/>
        <v>14980.475897114535</v>
      </c>
      <c r="L114" s="469">
        <f t="shared" si="32"/>
        <v>14580.61117908694</v>
      </c>
      <c r="M114" s="469">
        <f t="shared" si="32"/>
        <v>13848.887463014515</v>
      </c>
      <c r="N114" s="595">
        <f t="shared" si="32"/>
        <v>13629.660046379347</v>
      </c>
      <c r="Q114" s="706"/>
      <c r="R114" s="706"/>
      <c r="S114" s="687"/>
    </row>
    <row r="115" spans="1:19" s="102" customFormat="1" ht="15" customHeight="1" outlineLevel="1" thickBot="1">
      <c r="B115" s="315"/>
      <c r="C115" s="493"/>
      <c r="D115" s="230"/>
      <c r="E115" s="230"/>
      <c r="F115" s="469"/>
      <c r="G115" s="469"/>
      <c r="H115" s="469"/>
      <c r="I115" s="469"/>
      <c r="J115" s="469"/>
      <c r="K115" s="469"/>
      <c r="L115" s="469"/>
      <c r="M115" s="469"/>
      <c r="N115" s="595"/>
      <c r="Q115" s="669" t="s">
        <v>277</v>
      </c>
      <c r="R115" s="668" t="s">
        <v>278</v>
      </c>
      <c r="S115" s="671" t="s">
        <v>279</v>
      </c>
    </row>
    <row r="116" spans="1:19" s="102" customFormat="1" ht="15" customHeight="1" outlineLevel="1">
      <c r="B116" s="229" t="s">
        <v>244</v>
      </c>
      <c r="C116" s="230"/>
      <c r="D116" s="230"/>
      <c r="E116" s="230"/>
      <c r="F116" s="394">
        <v>1488</v>
      </c>
      <c r="G116" s="394">
        <v>2580</v>
      </c>
      <c r="H116" s="394">
        <v>2448</v>
      </c>
      <c r="I116" s="592">
        <f t="shared" ref="I116:N116" si="33">$C$100</f>
        <v>2520</v>
      </c>
      <c r="J116" s="592">
        <f t="shared" si="33"/>
        <v>2520</v>
      </c>
      <c r="K116" s="592">
        <f t="shared" si="33"/>
        <v>2520</v>
      </c>
      <c r="L116" s="592">
        <f t="shared" si="33"/>
        <v>2520</v>
      </c>
      <c r="M116" s="592">
        <f t="shared" si="33"/>
        <v>2520</v>
      </c>
      <c r="N116" s="596">
        <f t="shared" si="33"/>
        <v>2520</v>
      </c>
      <c r="Q116" s="701">
        <f>SUM(Model!I116:N116)</f>
        <v>15120</v>
      </c>
      <c r="R116" s="700">
        <f>SUM(I116:N116)</f>
        <v>15120</v>
      </c>
      <c r="S116" s="806">
        <f>IF(ISBLANK(Model!I116),0,IF(Q116=R116,1,0))</f>
        <v>1</v>
      </c>
    </row>
    <row r="117" spans="1:19" s="102" customFormat="1" ht="15" customHeight="1" outlineLevel="1">
      <c r="B117" s="315" t="s">
        <v>177</v>
      </c>
      <c r="C117" s="493"/>
      <c r="D117" s="230"/>
      <c r="E117" s="230"/>
      <c r="F117" s="469">
        <f t="shared" ref="F117:N117" si="34">F114-F116</f>
        <v>11799</v>
      </c>
      <c r="G117" s="469">
        <f t="shared" si="34"/>
        <v>11352</v>
      </c>
      <c r="H117" s="469">
        <f t="shared" si="34"/>
        <v>12479</v>
      </c>
      <c r="I117" s="469">
        <f t="shared" si="34"/>
        <v>13061.502962850012</v>
      </c>
      <c r="J117" s="469">
        <f t="shared" si="34"/>
        <v>12772.844957366317</v>
      </c>
      <c r="K117" s="469">
        <f t="shared" si="34"/>
        <v>12460.475897114535</v>
      </c>
      <c r="L117" s="469">
        <f t="shared" si="34"/>
        <v>12060.61117908694</v>
      </c>
      <c r="M117" s="469">
        <f t="shared" si="34"/>
        <v>11328.887463014515</v>
      </c>
      <c r="N117" s="595">
        <f t="shared" si="34"/>
        <v>11109.660046379347</v>
      </c>
    </row>
    <row r="118" spans="1:19" s="102" customFormat="1" ht="15" customHeight="1" outlineLevel="1" thickBot="1">
      <c r="B118" s="315"/>
      <c r="C118" s="493"/>
      <c r="D118" s="230"/>
      <c r="E118" s="230"/>
      <c r="F118" s="469"/>
      <c r="G118" s="469"/>
      <c r="H118" s="469"/>
      <c r="I118" s="469"/>
      <c r="J118" s="469"/>
      <c r="K118" s="469"/>
      <c r="L118" s="469"/>
      <c r="M118" s="469"/>
      <c r="N118" s="595"/>
      <c r="Q118" s="662" t="s">
        <v>277</v>
      </c>
      <c r="R118" s="663" t="s">
        <v>278</v>
      </c>
      <c r="S118" s="664" t="s">
        <v>279</v>
      </c>
    </row>
    <row r="119" spans="1:19" s="102" customFormat="1" ht="15" customHeight="1" outlineLevel="1">
      <c r="B119" s="229" t="s">
        <v>243</v>
      </c>
      <c r="C119" s="230"/>
      <c r="D119" s="230"/>
      <c r="E119" s="230"/>
      <c r="F119" s="387">
        <v>0</v>
      </c>
      <c r="G119" s="387">
        <v>0</v>
      </c>
      <c r="H119" s="387">
        <v>0</v>
      </c>
      <c r="I119" s="594">
        <f>Model!I269</f>
        <v>0</v>
      </c>
      <c r="J119" s="594">
        <f>Model!J269</f>
        <v>0</v>
      </c>
      <c r="K119" s="594">
        <f>Model!K269</f>
        <v>2817.4053201992592</v>
      </c>
      <c r="L119" s="594">
        <f>Model!L269</f>
        <v>3385.0652524760822</v>
      </c>
      <c r="M119" s="594">
        <f>Model!M269</f>
        <v>3268.8427278418544</v>
      </c>
      <c r="N119" s="593">
        <f>C101*Model!N117</f>
        <v>3332.8980139138043</v>
      </c>
      <c r="Q119" s="704">
        <f>SUM(Model!I119:N119)</f>
        <v>12804.211314431001</v>
      </c>
      <c r="R119" s="702">
        <f>SUM(I119:N119)</f>
        <v>12804.211314431001</v>
      </c>
      <c r="S119" s="808">
        <f>IF(ISBLANK(Model!I119),0,IF(Q119=R119,1,0))</f>
        <v>1</v>
      </c>
    </row>
    <row r="120" spans="1:19" s="102" customFormat="1" ht="15" customHeight="1" outlineLevel="1">
      <c r="B120" s="229" t="s">
        <v>242</v>
      </c>
      <c r="C120" s="230"/>
      <c r="D120" s="230"/>
      <c r="E120" s="230"/>
      <c r="F120" s="394">
        <v>3155</v>
      </c>
      <c r="G120" s="394">
        <v>2861</v>
      </c>
      <c r="H120" s="394">
        <v>3012</v>
      </c>
      <c r="I120" s="592">
        <f>Model!I270</f>
        <v>3918.4508888550035</v>
      </c>
      <c r="J120" s="592">
        <f>Model!J270</f>
        <v>3831.8534872098949</v>
      </c>
      <c r="K120" s="592">
        <f>Model!K270</f>
        <v>920.73744893510093</v>
      </c>
      <c r="L120" s="592">
        <f>Model!L270</f>
        <v>233.11810124999965</v>
      </c>
      <c r="M120" s="592">
        <f>Model!M270</f>
        <v>129.82351106250007</v>
      </c>
      <c r="N120" s="591">
        <v>0</v>
      </c>
      <c r="Q120" s="705">
        <f>SUM(Model!I120:N120)</f>
        <v>9033.9834373124977</v>
      </c>
      <c r="R120" s="703">
        <f>SUM(I120:N120)</f>
        <v>9033.9834373124977</v>
      </c>
      <c r="S120" s="809">
        <f>IF(ISBLANK(Model!I120),0,IF(Q120=R120,1,0))</f>
        <v>1</v>
      </c>
    </row>
    <row r="121" spans="1:19" s="102" customFormat="1" ht="15" customHeight="1" outlineLevel="1">
      <c r="B121" s="229" t="s">
        <v>241</v>
      </c>
      <c r="C121" s="230"/>
      <c r="D121" s="230"/>
      <c r="E121" s="230"/>
      <c r="F121" s="385">
        <f t="shared" ref="F121:N121" si="35">SUM(F119:F120)</f>
        <v>3155</v>
      </c>
      <c r="G121" s="385">
        <f t="shared" si="35"/>
        <v>2861</v>
      </c>
      <c r="H121" s="385">
        <f t="shared" si="35"/>
        <v>3012</v>
      </c>
      <c r="I121" s="385">
        <f t="shared" si="35"/>
        <v>3918.4508888550035</v>
      </c>
      <c r="J121" s="385">
        <f t="shared" si="35"/>
        <v>3831.8534872098949</v>
      </c>
      <c r="K121" s="385">
        <f t="shared" si="35"/>
        <v>3738.1427691343602</v>
      </c>
      <c r="L121" s="385">
        <f t="shared" si="35"/>
        <v>3618.1833537260818</v>
      </c>
      <c r="M121" s="385">
        <f t="shared" si="35"/>
        <v>3398.6662389043545</v>
      </c>
      <c r="N121" s="590">
        <f t="shared" si="35"/>
        <v>3332.8980139138043</v>
      </c>
    </row>
    <row r="122" spans="1:19" s="102" customFormat="1" ht="15" customHeight="1" outlineLevel="1">
      <c r="B122" s="229"/>
      <c r="C122" s="230"/>
      <c r="D122" s="230"/>
      <c r="E122" s="230"/>
      <c r="F122" s="589"/>
      <c r="G122" s="589"/>
      <c r="H122" s="589"/>
      <c r="I122" s="588"/>
      <c r="J122" s="588"/>
      <c r="K122" s="588"/>
      <c r="L122" s="588"/>
      <c r="M122" s="470"/>
      <c r="N122" s="587"/>
    </row>
    <row r="123" spans="1:19" s="102" customFormat="1" ht="15" customHeight="1" outlineLevel="1" thickBot="1">
      <c r="B123" s="315" t="s">
        <v>172</v>
      </c>
      <c r="C123" s="493"/>
      <c r="D123" s="230"/>
      <c r="E123" s="230"/>
      <c r="F123" s="586">
        <f t="shared" ref="F123:N123" si="36">F117-F121</f>
        <v>8644</v>
      </c>
      <c r="G123" s="586">
        <f t="shared" si="36"/>
        <v>8491</v>
      </c>
      <c r="H123" s="586">
        <f t="shared" si="36"/>
        <v>9467</v>
      </c>
      <c r="I123" s="586">
        <f t="shared" si="36"/>
        <v>9143.052073995008</v>
      </c>
      <c r="J123" s="586">
        <f t="shared" si="36"/>
        <v>8940.9914701564212</v>
      </c>
      <c r="K123" s="586">
        <f t="shared" si="36"/>
        <v>8722.333127980175</v>
      </c>
      <c r="L123" s="586">
        <f t="shared" si="36"/>
        <v>8442.4278253608572</v>
      </c>
      <c r="M123" s="586">
        <f t="shared" si="36"/>
        <v>7930.2212241101606</v>
      </c>
      <c r="N123" s="585">
        <f t="shared" si="36"/>
        <v>7776.7620324655436</v>
      </c>
      <c r="S123" s="716" t="str">
        <f>IF(SUM(S102:S120)=8,"COMPLETE","")</f>
        <v>COMPLETE</v>
      </c>
    </row>
    <row r="124" spans="1:19" s="102" customFormat="1" ht="15" customHeight="1" outlineLevel="1">
      <c r="B124" s="493"/>
      <c r="C124" s="493"/>
      <c r="D124" s="230"/>
      <c r="E124" s="230"/>
      <c r="F124" s="584"/>
      <c r="G124" s="584"/>
      <c r="H124" s="584"/>
      <c r="I124" s="584"/>
      <c r="J124" s="584"/>
      <c r="K124" s="584"/>
      <c r="L124" s="584"/>
      <c r="M124" s="584"/>
      <c r="N124" s="583"/>
    </row>
    <row r="125" spans="1:19" s="102" customFormat="1" ht="15" customHeight="1" outlineLevel="1">
      <c r="B125" s="450"/>
      <c r="C125" s="450"/>
      <c r="D125" s="449"/>
      <c r="E125" s="449"/>
      <c r="F125" s="582"/>
      <c r="G125" s="582"/>
      <c r="H125" s="582"/>
      <c r="I125" s="582"/>
      <c r="J125" s="582"/>
      <c r="K125" s="582"/>
      <c r="L125" s="582"/>
      <c r="M125" s="582"/>
      <c r="N125" s="582"/>
    </row>
    <row r="126" spans="1:19" s="102" customFormat="1" ht="15" customHeight="1">
      <c r="B126" s="104"/>
      <c r="C126" s="108"/>
      <c r="D126" s="561"/>
      <c r="E126" s="230"/>
      <c r="F126" s="252"/>
      <c r="G126" s="252"/>
      <c r="H126" s="252"/>
      <c r="I126" s="252"/>
      <c r="J126" s="252"/>
      <c r="K126" s="252"/>
      <c r="L126" s="252"/>
      <c r="M126" s="252"/>
      <c r="N126" s="252"/>
      <c r="O126" s="98"/>
    </row>
    <row r="127" spans="1:19" s="131" customFormat="1" ht="15" customHeight="1">
      <c r="A127" s="131" t="s">
        <v>0</v>
      </c>
      <c r="B127" s="144" t="s">
        <v>240</v>
      </c>
      <c r="C127" s="143"/>
      <c r="D127" s="429"/>
      <c r="E127" s="429"/>
      <c r="F127" s="141"/>
      <c r="G127" s="141"/>
      <c r="H127" s="141"/>
      <c r="I127" s="428"/>
      <c r="J127" s="427"/>
      <c r="K127" s="427"/>
      <c r="L127" s="427"/>
      <c r="M127" s="427"/>
      <c r="N127" s="447"/>
      <c r="O127" s="98"/>
    </row>
    <row r="128" spans="1:19" s="131" customFormat="1" ht="15" customHeight="1" outlineLevel="1">
      <c r="B128" s="304"/>
      <c r="C128" s="140"/>
      <c r="D128" s="139"/>
      <c r="E128" s="139"/>
      <c r="F128" s="138"/>
      <c r="G128" s="138"/>
      <c r="H128" s="138"/>
      <c r="I128" s="138"/>
      <c r="J128" s="138"/>
      <c r="K128" s="138"/>
      <c r="L128" s="138"/>
      <c r="M128" s="138"/>
      <c r="O128" s="377"/>
    </row>
    <row r="129" spans="1:19" s="131" customFormat="1" ht="15" customHeight="1" outlineLevel="1" thickBot="1">
      <c r="B129" s="122" t="s">
        <v>40</v>
      </c>
      <c r="C129" s="140"/>
      <c r="D129" s="132"/>
      <c r="E129" s="132"/>
      <c r="F129" s="490">
        <f t="shared" ref="F129:M129" si="37">F$5</f>
        <v>2020</v>
      </c>
      <c r="G129" s="490">
        <f t="shared" si="37"/>
        <v>2021</v>
      </c>
      <c r="H129" s="490">
        <f t="shared" si="37"/>
        <v>2022</v>
      </c>
      <c r="I129" s="354">
        <f t="shared" si="37"/>
        <v>2023</v>
      </c>
      <c r="J129" s="354">
        <f t="shared" si="37"/>
        <v>2024</v>
      </c>
      <c r="K129" s="354">
        <f t="shared" si="37"/>
        <v>2025</v>
      </c>
      <c r="L129" s="354">
        <f t="shared" si="37"/>
        <v>2026</v>
      </c>
      <c r="M129" s="354">
        <f t="shared" si="37"/>
        <v>2027</v>
      </c>
      <c r="N129" s="581" t="s">
        <v>131</v>
      </c>
    </row>
    <row r="130" spans="1:19" ht="15" customHeight="1" outlineLevel="1">
      <c r="A130" s="102"/>
      <c r="B130" s="122" t="str">
        <f>$B$6</f>
        <v>Model Running: Base Case Drivers</v>
      </c>
      <c r="C130" s="140"/>
      <c r="D130" s="132"/>
      <c r="E130" s="132"/>
      <c r="F130" s="132"/>
      <c r="G130" s="132"/>
      <c r="H130" s="132"/>
      <c r="I130" s="136"/>
      <c r="J130" s="136"/>
      <c r="K130" s="136"/>
      <c r="L130" s="136"/>
      <c r="M130" s="136"/>
      <c r="N130" s="136"/>
    </row>
    <row r="131" spans="1:19" s="131" customFormat="1" ht="15" customHeight="1" outlineLevel="1">
      <c r="B131" s="122"/>
      <c r="C131" s="140"/>
      <c r="D131" s="132"/>
      <c r="E131" s="132"/>
      <c r="F131" s="132"/>
      <c r="G131" s="132"/>
      <c r="H131" s="132"/>
      <c r="O131" s="377"/>
    </row>
    <row r="132" spans="1:19" s="102" customFormat="1" ht="15" customHeight="1" outlineLevel="1">
      <c r="B132" s="229" t="s">
        <v>63</v>
      </c>
      <c r="C132" s="108"/>
      <c r="D132" s="561"/>
      <c r="E132" s="230"/>
      <c r="F132" s="568">
        <f t="shared" ref="F132:N132" si="38">F$8</f>
        <v>365</v>
      </c>
      <c r="G132" s="407">
        <f t="shared" si="38"/>
        <v>365</v>
      </c>
      <c r="H132" s="407">
        <f t="shared" si="38"/>
        <v>365</v>
      </c>
      <c r="I132" s="407">
        <f t="shared" si="38"/>
        <v>365</v>
      </c>
      <c r="J132" s="407">
        <f t="shared" si="38"/>
        <v>365</v>
      </c>
      <c r="K132" s="407">
        <f t="shared" si="38"/>
        <v>365</v>
      </c>
      <c r="L132" s="407">
        <f t="shared" si="38"/>
        <v>365</v>
      </c>
      <c r="M132" s="407">
        <f t="shared" si="38"/>
        <v>365</v>
      </c>
      <c r="N132" s="367">
        <f t="shared" si="38"/>
        <v>365</v>
      </c>
      <c r="O132" s="98"/>
    </row>
    <row r="133" spans="1:19" s="102" customFormat="1" ht="15" customHeight="1" outlineLevel="1">
      <c r="B133" s="229" t="s">
        <v>239</v>
      </c>
      <c r="C133" s="230"/>
      <c r="D133" s="230"/>
      <c r="E133" s="230"/>
      <c r="F133" s="569">
        <f t="shared" ref="F133:N134" si="39">F103</f>
        <v>51585</v>
      </c>
      <c r="G133" s="126">
        <f t="shared" si="39"/>
        <v>53494</v>
      </c>
      <c r="H133" s="126">
        <f t="shared" si="39"/>
        <v>55749</v>
      </c>
      <c r="I133" s="126">
        <f t="shared" si="39"/>
        <v>58570.403162700008</v>
      </c>
      <c r="J133" s="126">
        <f t="shared" si="39"/>
        <v>59747.668266270273</v>
      </c>
      <c r="K133" s="126">
        <f t="shared" si="39"/>
        <v>60948.59639842232</v>
      </c>
      <c r="L133" s="126">
        <f t="shared" si="39"/>
        <v>61865.872774218558</v>
      </c>
      <c r="M133" s="126">
        <f t="shared" si="39"/>
        <v>62486.078148780085</v>
      </c>
      <c r="N133" s="437">
        <f t="shared" si="39"/>
        <v>63112.501082221599</v>
      </c>
      <c r="O133" s="98"/>
    </row>
    <row r="134" spans="1:19" s="102" customFormat="1" ht="15" customHeight="1" outlineLevel="1">
      <c r="B134" s="229" t="s">
        <v>238</v>
      </c>
      <c r="C134" s="230"/>
      <c r="D134" s="230"/>
      <c r="E134" s="230"/>
      <c r="F134" s="567">
        <f t="shared" si="39"/>
        <v>27697</v>
      </c>
      <c r="G134" s="389">
        <f t="shared" si="39"/>
        <v>28429</v>
      </c>
      <c r="H134" s="389">
        <f t="shared" si="39"/>
        <v>29200</v>
      </c>
      <c r="I134" s="389">
        <f t="shared" si="39"/>
        <v>30355.825199849998</v>
      </c>
      <c r="J134" s="389">
        <f t="shared" si="39"/>
        <v>31336.819808903958</v>
      </c>
      <c r="K134" s="389">
        <f t="shared" si="39"/>
        <v>32350.078146307787</v>
      </c>
      <c r="L134" s="389">
        <f t="shared" si="39"/>
        <v>33196.696306256621</v>
      </c>
      <c r="M134" s="389">
        <f t="shared" si="39"/>
        <v>34065.620639668698</v>
      </c>
      <c r="N134" s="362">
        <f t="shared" si="39"/>
        <v>34616.394939053927</v>
      </c>
      <c r="O134" s="98"/>
    </row>
    <row r="135" spans="1:19" s="102" customFormat="1" ht="15" customHeight="1" outlineLevel="1">
      <c r="C135" s="493"/>
      <c r="D135" s="230"/>
      <c r="E135" s="230"/>
      <c r="F135" s="230"/>
      <c r="G135" s="230"/>
      <c r="H135" s="230"/>
      <c r="I135" s="563"/>
      <c r="J135" s="563"/>
      <c r="K135" s="563"/>
      <c r="L135" s="563"/>
      <c r="M135" s="563"/>
      <c r="N135" s="563"/>
      <c r="O135" s="377"/>
    </row>
    <row r="136" spans="1:19" s="102" customFormat="1" ht="15" customHeight="1" outlineLevel="1">
      <c r="C136" s="493"/>
      <c r="D136" s="230"/>
      <c r="E136" s="230"/>
      <c r="F136" s="230"/>
      <c r="G136" s="230"/>
      <c r="H136" s="230"/>
      <c r="I136" s="563"/>
      <c r="J136" s="563"/>
      <c r="K136" s="563"/>
      <c r="L136" s="563"/>
      <c r="M136" s="563"/>
      <c r="N136" s="563"/>
      <c r="O136" s="377"/>
    </row>
    <row r="137" spans="1:19" s="102" customFormat="1" ht="15" customHeight="1" outlineLevel="1" thickBot="1">
      <c r="B137" s="114" t="s">
        <v>237</v>
      </c>
      <c r="C137" s="493"/>
      <c r="D137" s="230"/>
      <c r="E137" s="230"/>
      <c r="F137" s="230"/>
      <c r="G137" s="230"/>
      <c r="H137" s="230"/>
      <c r="I137" s="563"/>
      <c r="J137" s="563"/>
      <c r="K137" s="563"/>
      <c r="L137" s="563"/>
      <c r="M137" s="563"/>
      <c r="N137" s="563"/>
      <c r="O137" s="377"/>
      <c r="Q137" s="662" t="s">
        <v>277</v>
      </c>
      <c r="R137" s="663" t="s">
        <v>278</v>
      </c>
      <c r="S137" s="664" t="s">
        <v>279</v>
      </c>
    </row>
    <row r="138" spans="1:19" s="102" customFormat="1" ht="15" customHeight="1" outlineLevel="1">
      <c r="B138" s="376" t="s">
        <v>124</v>
      </c>
      <c r="C138" s="230"/>
      <c r="D138" s="561" t="s">
        <v>121</v>
      </c>
      <c r="E138" s="561"/>
      <c r="F138" s="494">
        <f t="shared" ref="F138:H139" si="40">(F144/F133)*F$132</f>
        <v>40.388097315110983</v>
      </c>
      <c r="G138" s="494">
        <f t="shared" si="40"/>
        <v>43.211294724642016</v>
      </c>
      <c r="H138" s="494">
        <f t="shared" si="40"/>
        <v>43.368670290050048</v>
      </c>
      <c r="I138" s="576">
        <f>Inputs!G35</f>
        <v>45</v>
      </c>
      <c r="J138" s="576">
        <f>Inputs!H35</f>
        <v>45</v>
      </c>
      <c r="K138" s="576">
        <f>Inputs!I35</f>
        <v>45</v>
      </c>
      <c r="L138" s="576">
        <f>Inputs!J35</f>
        <v>45</v>
      </c>
      <c r="M138" s="580">
        <f>Inputs!K35</f>
        <v>45</v>
      </c>
      <c r="N138" s="579">
        <f>Inputs!L35</f>
        <v>45</v>
      </c>
      <c r="Q138" s="704">
        <f>SUM(Model!I138:N138)</f>
        <v>270</v>
      </c>
      <c r="R138" s="702">
        <f>SUM(I138:N138)</f>
        <v>270</v>
      </c>
      <c r="S138" s="808">
        <f>IF(ISBLANK(Model!I138),0,IF(Q138=R138,1,0))</f>
        <v>1</v>
      </c>
    </row>
    <row r="139" spans="1:19" s="102" customFormat="1" ht="15" customHeight="1" outlineLevel="1">
      <c r="B139" s="376" t="s">
        <v>123</v>
      </c>
      <c r="C139" s="230"/>
      <c r="D139" s="561" t="s">
        <v>121</v>
      </c>
      <c r="E139" s="561"/>
      <c r="F139" s="494">
        <f t="shared" si="40"/>
        <v>23.615554031122503</v>
      </c>
      <c r="G139" s="494">
        <f t="shared" si="40"/>
        <v>24.689401667311547</v>
      </c>
      <c r="H139" s="494">
        <f t="shared" si="40"/>
        <v>25.112500000000001</v>
      </c>
      <c r="I139" s="576">
        <f>Inputs!G36</f>
        <v>25</v>
      </c>
      <c r="J139" s="576">
        <f>Inputs!H36</f>
        <v>25</v>
      </c>
      <c r="K139" s="576">
        <f>Inputs!I36</f>
        <v>25</v>
      </c>
      <c r="L139" s="576">
        <f>Inputs!J36</f>
        <v>25</v>
      </c>
      <c r="M139" s="578">
        <f>Inputs!K36</f>
        <v>25</v>
      </c>
      <c r="N139" s="577">
        <f>Inputs!L36</f>
        <v>25</v>
      </c>
      <c r="Q139" s="704">
        <f>SUM(Model!I139:N139)</f>
        <v>150</v>
      </c>
      <c r="R139" s="702">
        <f>SUM(I139:N139)</f>
        <v>150</v>
      </c>
      <c r="S139" s="808">
        <f>IF(ISBLANK(Model!I139),0,IF(Q139=R139,1,0))</f>
        <v>1</v>
      </c>
    </row>
    <row r="140" spans="1:19" s="102" customFormat="1" ht="15" customHeight="1" outlineLevel="1">
      <c r="B140" s="376" t="s">
        <v>122</v>
      </c>
      <c r="C140" s="230"/>
      <c r="D140" s="561" t="s">
        <v>121</v>
      </c>
      <c r="E140" s="561"/>
      <c r="F140" s="494">
        <f>(F146/F134)*F$132</f>
        <v>39.851247427519226</v>
      </c>
      <c r="G140" s="494">
        <f>(G146/G134)*G$132</f>
        <v>41.149002778852577</v>
      </c>
      <c r="H140" s="494">
        <f>(H146/H134)*H$132</f>
        <v>41.487499999999997</v>
      </c>
      <c r="I140" s="576">
        <f>Inputs!G37</f>
        <v>40</v>
      </c>
      <c r="J140" s="576">
        <f>Inputs!H37</f>
        <v>40</v>
      </c>
      <c r="K140" s="576">
        <f>Inputs!I37</f>
        <v>40</v>
      </c>
      <c r="L140" s="576">
        <f>Inputs!J37</f>
        <v>40</v>
      </c>
      <c r="M140" s="575">
        <f>Inputs!K37</f>
        <v>40</v>
      </c>
      <c r="N140" s="574">
        <f>Inputs!L37</f>
        <v>40</v>
      </c>
      <c r="Q140" s="705">
        <f>SUM(Model!I140:N140)</f>
        <v>240</v>
      </c>
      <c r="R140" s="703">
        <f>SUM(I140:N140)</f>
        <v>240</v>
      </c>
      <c r="S140" s="809">
        <f>IF(ISBLANK(Model!I140),0,IF(Q140=R140,1,0))</f>
        <v>1</v>
      </c>
    </row>
    <row r="141" spans="1:19" s="102" customFormat="1" ht="15" customHeight="1" outlineLevel="1">
      <c r="C141" s="230"/>
      <c r="D141" s="573"/>
      <c r="E141" s="573"/>
      <c r="F141" s="572"/>
      <c r="G141" s="571"/>
      <c r="H141" s="571"/>
      <c r="I141" s="570"/>
      <c r="J141" s="570"/>
      <c r="K141" s="570"/>
      <c r="L141" s="570"/>
      <c r="M141" s="570"/>
      <c r="N141" s="570"/>
    </row>
    <row r="142" spans="1:19" s="102" customFormat="1" ht="15" customHeight="1" outlineLevel="1">
      <c r="C142" s="230"/>
      <c r="D142" s="573"/>
      <c r="E142" s="573"/>
      <c r="F142" s="572"/>
      <c r="G142" s="571"/>
      <c r="H142" s="571"/>
      <c r="I142" s="570"/>
      <c r="J142" s="570"/>
      <c r="K142" s="570"/>
      <c r="L142" s="570"/>
      <c r="M142" s="570"/>
      <c r="N142" s="570"/>
    </row>
    <row r="143" spans="1:19" s="102" customFormat="1" ht="15" customHeight="1" outlineLevel="1">
      <c r="B143" s="114" t="s">
        <v>236</v>
      </c>
      <c r="C143" s="493"/>
      <c r="D143" s="230"/>
      <c r="E143" s="230"/>
      <c r="F143" s="230"/>
      <c r="G143" s="230"/>
      <c r="H143" s="230"/>
      <c r="I143" s="563"/>
      <c r="J143" s="563"/>
      <c r="K143" s="563"/>
      <c r="L143" s="563"/>
      <c r="M143" s="563"/>
      <c r="N143" s="563"/>
      <c r="O143" s="377"/>
    </row>
    <row r="144" spans="1:19" s="102" customFormat="1" ht="15" customHeight="1" outlineLevel="1">
      <c r="B144" s="376" t="s">
        <v>124</v>
      </c>
      <c r="C144" s="230"/>
      <c r="D144" s="230"/>
      <c r="E144" s="230"/>
      <c r="F144" s="391">
        <v>5708</v>
      </c>
      <c r="G144" s="391">
        <v>6333</v>
      </c>
      <c r="H144" s="391">
        <v>6624</v>
      </c>
      <c r="I144" s="126">
        <f t="shared" ref="I144:N145" si="41">(I138/I$132)*I133</f>
        <v>7221.0086091000003</v>
      </c>
      <c r="J144" s="126">
        <f t="shared" si="41"/>
        <v>7366.1508821429097</v>
      </c>
      <c r="K144" s="126">
        <f t="shared" si="41"/>
        <v>7514.2105148739838</v>
      </c>
      <c r="L144" s="126">
        <f t="shared" si="41"/>
        <v>7627.2993831228359</v>
      </c>
      <c r="M144" s="568">
        <f t="shared" si="41"/>
        <v>7703.7630594386401</v>
      </c>
      <c r="N144" s="367">
        <f t="shared" si="41"/>
        <v>7780.9932841095115</v>
      </c>
      <c r="O144" s="377"/>
    </row>
    <row r="145" spans="2:19" s="102" customFormat="1" ht="15" customHeight="1" outlineLevel="1">
      <c r="B145" s="376" t="s">
        <v>123</v>
      </c>
      <c r="C145" s="230"/>
      <c r="D145" s="230"/>
      <c r="E145" s="230"/>
      <c r="F145" s="391">
        <v>1792</v>
      </c>
      <c r="G145" s="391">
        <v>1923</v>
      </c>
      <c r="H145" s="391">
        <v>2009</v>
      </c>
      <c r="I145" s="126">
        <f t="shared" si="41"/>
        <v>2079.1661095787667</v>
      </c>
      <c r="J145" s="126">
        <f t="shared" si="41"/>
        <v>2146.3575211578054</v>
      </c>
      <c r="K145" s="126">
        <f t="shared" si="41"/>
        <v>2215.7587771443687</v>
      </c>
      <c r="L145" s="126">
        <f t="shared" si="41"/>
        <v>2273.7463223463437</v>
      </c>
      <c r="M145" s="569">
        <f t="shared" si="41"/>
        <v>2333.2616876485408</v>
      </c>
      <c r="N145" s="437">
        <f t="shared" si="41"/>
        <v>2370.985954729721</v>
      </c>
      <c r="O145" s="377"/>
    </row>
    <row r="146" spans="2:19" s="102" customFormat="1" ht="15" customHeight="1" outlineLevel="1">
      <c r="B146" s="376" t="s">
        <v>122</v>
      </c>
      <c r="C146" s="230"/>
      <c r="D146" s="230"/>
      <c r="E146" s="230"/>
      <c r="F146" s="391">
        <v>3024</v>
      </c>
      <c r="G146" s="391">
        <v>3205</v>
      </c>
      <c r="H146" s="391">
        <v>3319</v>
      </c>
      <c r="I146" s="126">
        <f t="shared" ref="I146:N146" si="42">(I140/I$132)*I134</f>
        <v>3326.665775326027</v>
      </c>
      <c r="J146" s="126">
        <f t="shared" si="42"/>
        <v>3434.1720338524883</v>
      </c>
      <c r="K146" s="126">
        <f t="shared" si="42"/>
        <v>3545.2140434309904</v>
      </c>
      <c r="L146" s="126">
        <f t="shared" si="42"/>
        <v>3637.9941157541502</v>
      </c>
      <c r="M146" s="567">
        <f t="shared" si="42"/>
        <v>3733.2187002376654</v>
      </c>
      <c r="N146" s="362">
        <f t="shared" si="42"/>
        <v>3793.5775275675533</v>
      </c>
      <c r="O146" s="377"/>
    </row>
    <row r="147" spans="2:19" s="102" customFormat="1" ht="15" customHeight="1" outlineLevel="1">
      <c r="C147" s="493"/>
      <c r="D147" s="230"/>
      <c r="E147" s="230"/>
      <c r="F147" s="230"/>
      <c r="G147" s="230"/>
      <c r="H147" s="230"/>
      <c r="I147" s="563"/>
      <c r="J147" s="563"/>
      <c r="K147" s="563"/>
      <c r="L147" s="563"/>
      <c r="M147" s="563"/>
      <c r="N147" s="563"/>
      <c r="O147" s="377"/>
    </row>
    <row r="148" spans="2:19" s="102" customFormat="1" ht="15" customHeight="1" outlineLevel="1">
      <c r="C148" s="493"/>
      <c r="D148" s="230"/>
      <c r="E148" s="230"/>
      <c r="F148" s="230"/>
      <c r="G148" s="230"/>
      <c r="H148" s="230"/>
      <c r="I148" s="563"/>
      <c r="J148" s="563"/>
      <c r="K148" s="563"/>
      <c r="L148" s="563"/>
      <c r="M148" s="563"/>
      <c r="N148" s="563"/>
      <c r="O148" s="377"/>
    </row>
    <row r="149" spans="2:19" s="102" customFormat="1" ht="15" customHeight="1" outlineLevel="1">
      <c r="B149" s="114" t="s">
        <v>235</v>
      </c>
      <c r="C149" s="493"/>
      <c r="D149" s="230"/>
      <c r="E149" s="230"/>
      <c r="F149" s="230"/>
      <c r="G149" s="230"/>
      <c r="H149" s="230"/>
      <c r="I149" s="563"/>
      <c r="J149" s="563"/>
      <c r="K149" s="563"/>
      <c r="L149" s="563"/>
      <c r="M149" s="563"/>
      <c r="N149" s="563"/>
      <c r="O149" s="377"/>
    </row>
    <row r="150" spans="2:19" s="102" customFormat="1" ht="15" customHeight="1" outlineLevel="1">
      <c r="B150" s="376" t="s">
        <v>234</v>
      </c>
      <c r="C150" s="230"/>
      <c r="D150" s="230"/>
      <c r="E150" s="230"/>
      <c r="F150" s="126">
        <f t="shared" ref="F150:N150" si="43">SUM(F144:F145)</f>
        <v>7500</v>
      </c>
      <c r="G150" s="126">
        <f t="shared" si="43"/>
        <v>8256</v>
      </c>
      <c r="H150" s="126">
        <f t="shared" si="43"/>
        <v>8633</v>
      </c>
      <c r="I150" s="126">
        <f t="shared" si="43"/>
        <v>9300.174718678767</v>
      </c>
      <c r="J150" s="126">
        <f t="shared" si="43"/>
        <v>9512.5084033007151</v>
      </c>
      <c r="K150" s="126">
        <f t="shared" si="43"/>
        <v>9729.9692920183516</v>
      </c>
      <c r="L150" s="126">
        <f t="shared" si="43"/>
        <v>9901.0457054691797</v>
      </c>
      <c r="M150" s="568">
        <f t="shared" si="43"/>
        <v>10037.02474708718</v>
      </c>
      <c r="N150" s="367">
        <f t="shared" si="43"/>
        <v>10151.979238839232</v>
      </c>
      <c r="O150" s="377"/>
    </row>
    <row r="151" spans="2:19" s="102" customFormat="1" ht="15" customHeight="1" outlineLevel="1">
      <c r="B151" s="376" t="s">
        <v>233</v>
      </c>
      <c r="C151" s="230"/>
      <c r="D151" s="230"/>
      <c r="E151" s="230"/>
      <c r="F151" s="389">
        <f t="shared" ref="F151:N151" si="44">SUM(F146)</f>
        <v>3024</v>
      </c>
      <c r="G151" s="389">
        <f t="shared" si="44"/>
        <v>3205</v>
      </c>
      <c r="H151" s="389">
        <f t="shared" si="44"/>
        <v>3319</v>
      </c>
      <c r="I151" s="389">
        <f t="shared" si="44"/>
        <v>3326.665775326027</v>
      </c>
      <c r="J151" s="389">
        <f t="shared" si="44"/>
        <v>3434.1720338524883</v>
      </c>
      <c r="K151" s="389">
        <f t="shared" si="44"/>
        <v>3545.2140434309904</v>
      </c>
      <c r="L151" s="389">
        <f t="shared" si="44"/>
        <v>3637.9941157541502</v>
      </c>
      <c r="M151" s="567">
        <f t="shared" si="44"/>
        <v>3733.2187002376654</v>
      </c>
      <c r="N151" s="362">
        <f t="shared" si="44"/>
        <v>3793.5775275675533</v>
      </c>
      <c r="O151" s="377"/>
    </row>
    <row r="152" spans="2:19" s="102" customFormat="1" ht="15" customHeight="1" outlineLevel="1">
      <c r="B152" s="376" t="s">
        <v>232</v>
      </c>
      <c r="C152" s="230"/>
      <c r="D152" s="230"/>
      <c r="E152" s="230"/>
      <c r="F152" s="126">
        <f t="shared" ref="F152:N152" si="45">F150-F151</f>
        <v>4476</v>
      </c>
      <c r="G152" s="126">
        <f t="shared" si="45"/>
        <v>5051</v>
      </c>
      <c r="H152" s="126">
        <f t="shared" si="45"/>
        <v>5314</v>
      </c>
      <c r="I152" s="126">
        <f t="shared" si="45"/>
        <v>5973.5089433527401</v>
      </c>
      <c r="J152" s="126">
        <f t="shared" si="45"/>
        <v>6078.3363694482268</v>
      </c>
      <c r="K152" s="126">
        <f t="shared" si="45"/>
        <v>6184.7552485873612</v>
      </c>
      <c r="L152" s="126">
        <f t="shared" si="45"/>
        <v>6263.051589715029</v>
      </c>
      <c r="M152" s="567">
        <f t="shared" si="45"/>
        <v>6303.806046849515</v>
      </c>
      <c r="N152" s="362">
        <f t="shared" si="45"/>
        <v>6358.4017112716792</v>
      </c>
      <c r="O152" s="377"/>
    </row>
    <row r="153" spans="2:19" s="102" customFormat="1" ht="15" customHeight="1" outlineLevel="1">
      <c r="B153" s="370"/>
      <c r="C153" s="493"/>
      <c r="D153" s="230"/>
      <c r="E153" s="230"/>
      <c r="F153" s="230"/>
      <c r="G153" s="230"/>
      <c r="H153" s="230"/>
      <c r="I153" s="563"/>
      <c r="J153" s="563"/>
      <c r="K153" s="563"/>
      <c r="L153" s="563"/>
      <c r="M153" s="563"/>
      <c r="N153" s="563"/>
      <c r="O153" s="377"/>
    </row>
    <row r="154" spans="2:19" s="102" customFormat="1" ht="15" customHeight="1" outlineLevel="1">
      <c r="B154" s="370"/>
      <c r="C154" s="493"/>
      <c r="D154" s="230"/>
      <c r="E154" s="230"/>
      <c r="F154" s="230"/>
      <c r="G154" s="230"/>
      <c r="H154" s="230"/>
      <c r="I154" s="563"/>
      <c r="J154" s="563"/>
      <c r="K154" s="563"/>
      <c r="L154" s="563"/>
      <c r="M154" s="563"/>
      <c r="N154" s="563"/>
      <c r="O154" s="377"/>
    </row>
    <row r="155" spans="2:19" s="102" customFormat="1" ht="15" customHeight="1" outlineLevel="1" thickBot="1">
      <c r="B155" s="566" t="s">
        <v>231</v>
      </c>
      <c r="C155" s="493"/>
      <c r="D155" s="493"/>
      <c r="E155" s="493"/>
      <c r="F155" s="493"/>
      <c r="G155" s="565">
        <f t="shared" ref="G155:N155" si="46">F152-G152</f>
        <v>-575</v>
      </c>
      <c r="H155" s="565">
        <f t="shared" si="46"/>
        <v>-263</v>
      </c>
      <c r="I155" s="565">
        <f t="shared" si="46"/>
        <v>-659.50894335274006</v>
      </c>
      <c r="J155" s="565">
        <f t="shared" si="46"/>
        <v>-104.82742609548677</v>
      </c>
      <c r="K155" s="565">
        <f t="shared" si="46"/>
        <v>-106.41887913913433</v>
      </c>
      <c r="L155" s="565">
        <f t="shared" si="46"/>
        <v>-78.296341127667802</v>
      </c>
      <c r="M155" s="565">
        <f t="shared" si="46"/>
        <v>-40.754457134486074</v>
      </c>
      <c r="N155" s="564">
        <f t="shared" si="46"/>
        <v>-54.595664422164191</v>
      </c>
      <c r="O155" s="377"/>
      <c r="S155" s="716" t="str">
        <f>IF(SUM(S137:S140)=3,"COMPLETE","")</f>
        <v>COMPLETE</v>
      </c>
    </row>
    <row r="156" spans="2:19" s="102" customFormat="1" ht="15" customHeight="1" outlineLevel="1">
      <c r="C156" s="493"/>
      <c r="D156" s="493"/>
      <c r="E156" s="493"/>
      <c r="F156" s="493"/>
      <c r="G156" s="464"/>
      <c r="H156" s="464"/>
      <c r="I156" s="464"/>
      <c r="J156" s="464"/>
      <c r="K156" s="464"/>
      <c r="L156" s="464"/>
      <c r="M156" s="464"/>
      <c r="N156" s="464"/>
      <c r="O156" s="377"/>
    </row>
    <row r="157" spans="2:19" s="102" customFormat="1" ht="15" customHeight="1" outlineLevel="1">
      <c r="C157" s="493"/>
      <c r="D157" s="493"/>
      <c r="E157" s="493"/>
      <c r="F157" s="493"/>
      <c r="G157" s="464"/>
      <c r="H157" s="464"/>
      <c r="I157" s="464"/>
      <c r="J157" s="464"/>
      <c r="K157" s="464"/>
      <c r="L157" s="464"/>
      <c r="M157" s="464"/>
      <c r="N157" s="464"/>
      <c r="O157" s="377"/>
    </row>
    <row r="158" spans="2:19" s="131" customFormat="1" ht="15" customHeight="1" outlineLevel="1">
      <c r="C158" s="140"/>
      <c r="D158" s="132"/>
      <c r="E158" s="132"/>
      <c r="F158" s="132"/>
      <c r="G158" s="132"/>
      <c r="H158" s="132"/>
      <c r="I158" s="136"/>
      <c r="J158" s="136"/>
      <c r="K158" s="136"/>
      <c r="N158" s="38" t="s">
        <v>120</v>
      </c>
      <c r="O158" s="98"/>
    </row>
    <row r="159" spans="2:19" s="102" customFormat="1" ht="15" customHeight="1" outlineLevel="1">
      <c r="B159" s="230"/>
      <c r="C159" s="230"/>
      <c r="D159" s="563"/>
      <c r="E159" s="563"/>
      <c r="F159" s="563"/>
      <c r="G159" s="563"/>
      <c r="H159" s="563"/>
      <c r="I159" s="563"/>
      <c r="J159" s="563"/>
      <c r="K159" s="563"/>
      <c r="L159" s="563"/>
      <c r="M159" s="230"/>
      <c r="O159" s="377"/>
    </row>
    <row r="160" spans="2:19" s="102" customFormat="1" ht="15" customHeight="1" outlineLevel="1">
      <c r="B160" s="562"/>
      <c r="C160" s="562"/>
      <c r="D160" s="562"/>
      <c r="E160" s="562"/>
      <c r="F160" s="562"/>
      <c r="G160" s="562"/>
      <c r="H160" s="562"/>
      <c r="I160" s="562"/>
      <c r="J160" s="562"/>
      <c r="K160" s="562"/>
      <c r="L160" s="562"/>
      <c r="M160" s="562"/>
      <c r="N160" s="562"/>
      <c r="O160" s="377"/>
    </row>
    <row r="161" spans="1:19" s="102" customFormat="1" ht="15" customHeight="1">
      <c r="B161" s="104"/>
      <c r="C161" s="108"/>
      <c r="D161" s="561"/>
      <c r="E161" s="230"/>
      <c r="F161" s="252"/>
      <c r="G161" s="252"/>
      <c r="H161" s="252"/>
      <c r="I161" s="252"/>
      <c r="J161" s="252"/>
      <c r="K161" s="252"/>
      <c r="L161" s="252"/>
      <c r="M161" s="252"/>
      <c r="N161" s="252"/>
      <c r="O161" s="98"/>
    </row>
    <row r="162" spans="1:19" s="131" customFormat="1" ht="15" customHeight="1">
      <c r="A162" s="131" t="s">
        <v>0</v>
      </c>
      <c r="B162" s="560" t="s">
        <v>230</v>
      </c>
      <c r="C162" s="143"/>
      <c r="D162" s="429"/>
      <c r="E162" s="429"/>
      <c r="F162" s="141"/>
      <c r="G162" s="141"/>
      <c r="H162" s="141"/>
      <c r="I162" s="428"/>
      <c r="J162" s="427"/>
      <c r="K162" s="427"/>
      <c r="L162" s="427"/>
      <c r="M162" s="427"/>
      <c r="N162" s="447"/>
    </row>
    <row r="163" spans="1:19" s="131" customFormat="1" ht="15" customHeight="1" outlineLevel="1">
      <c r="B163" s="304"/>
      <c r="C163" s="140"/>
      <c r="D163" s="139"/>
      <c r="E163" s="139"/>
      <c r="F163" s="138"/>
      <c r="G163" s="138"/>
      <c r="H163" s="138"/>
      <c r="I163" s="138"/>
      <c r="J163" s="138"/>
      <c r="K163" s="138"/>
      <c r="L163" s="138"/>
      <c r="M163" s="138"/>
    </row>
    <row r="164" spans="1:19" s="131" customFormat="1" ht="15" customHeight="1" outlineLevel="1" thickBot="1">
      <c r="B164" s="122" t="s">
        <v>40</v>
      </c>
      <c r="C164" s="140"/>
      <c r="D164" s="132"/>
      <c r="E164" s="132"/>
      <c r="F164" s="490">
        <f t="shared" ref="F164:M164" si="47">F$5</f>
        <v>2020</v>
      </c>
      <c r="G164" s="490">
        <f t="shared" si="47"/>
        <v>2021</v>
      </c>
      <c r="H164" s="490">
        <f t="shared" si="47"/>
        <v>2022</v>
      </c>
      <c r="I164" s="354">
        <f t="shared" si="47"/>
        <v>2023</v>
      </c>
      <c r="J164" s="354">
        <f t="shared" si="47"/>
        <v>2024</v>
      </c>
      <c r="K164" s="354">
        <f t="shared" si="47"/>
        <v>2025</v>
      </c>
      <c r="L164" s="354">
        <f t="shared" si="47"/>
        <v>2026</v>
      </c>
      <c r="M164" s="354">
        <f t="shared" si="47"/>
        <v>2027</v>
      </c>
    </row>
    <row r="165" spans="1:19" ht="15" customHeight="1" outlineLevel="1">
      <c r="A165" s="102"/>
      <c r="B165" s="122" t="str">
        <f>$B$6</f>
        <v>Model Running: Base Case Drivers</v>
      </c>
      <c r="C165" s="140"/>
      <c r="D165" s="132"/>
      <c r="E165" s="132"/>
      <c r="F165" s="132"/>
      <c r="G165" s="132"/>
      <c r="H165" s="132"/>
      <c r="I165" s="136"/>
      <c r="J165" s="136"/>
      <c r="K165" s="136"/>
      <c r="L165" s="136"/>
      <c r="M165" s="136"/>
      <c r="N165" s="136"/>
    </row>
    <row r="166" spans="1:19" s="131" customFormat="1" ht="15" customHeight="1" outlineLevel="1" thickBot="1">
      <c r="B166" s="122"/>
      <c r="C166" s="140"/>
      <c r="D166" s="132"/>
      <c r="E166" s="132"/>
      <c r="F166" s="132"/>
      <c r="G166" s="132"/>
      <c r="H166" s="559"/>
      <c r="I166" s="559"/>
      <c r="J166" s="559"/>
      <c r="K166" s="559"/>
      <c r="L166" s="559"/>
      <c r="M166" s="559"/>
      <c r="Q166" s="669" t="s">
        <v>277</v>
      </c>
      <c r="R166" s="668" t="s">
        <v>278</v>
      </c>
      <c r="S166" s="671" t="s">
        <v>279</v>
      </c>
    </row>
    <row r="167" spans="1:19" s="131" customFormat="1" ht="15" customHeight="1" outlineLevel="1">
      <c r="B167" s="558" t="s">
        <v>229</v>
      </c>
      <c r="C167" s="140"/>
      <c r="D167" s="132"/>
      <c r="E167" s="132"/>
      <c r="F167" s="557">
        <v>4982</v>
      </c>
      <c r="G167" s="556">
        <v>5199</v>
      </c>
      <c r="H167" s="556">
        <v>4400</v>
      </c>
      <c r="I167" s="444">
        <f>Inputs!G24</f>
        <v>4550</v>
      </c>
      <c r="J167" s="444">
        <f>Inputs!H24</f>
        <v>4700</v>
      </c>
      <c r="K167" s="444">
        <f>Inputs!I24</f>
        <v>4850</v>
      </c>
      <c r="L167" s="444">
        <f>Inputs!J24</f>
        <v>5000</v>
      </c>
      <c r="M167" s="505">
        <f>Inputs!K24</f>
        <v>5125</v>
      </c>
      <c r="Q167" s="701">
        <f>SUM(Model!I167:M167)</f>
        <v>24225</v>
      </c>
      <c r="R167" s="700">
        <f>SUM(Inputs!G24:K24)</f>
        <v>24225</v>
      </c>
      <c r="S167" s="806">
        <f>IF(ISBLANK(Model!I167),0,IF(Q167=R167,1,0))</f>
        <v>1</v>
      </c>
    </row>
    <row r="168" spans="1:19" s="131" customFormat="1" ht="15" customHeight="1" outlineLevel="1">
      <c r="B168" s="555"/>
      <c r="C168" s="140"/>
      <c r="D168" s="132"/>
      <c r="E168" s="132"/>
      <c r="F168" s="391"/>
      <c r="G168" s="391"/>
      <c r="H168" s="391"/>
      <c r="I168" s="126"/>
      <c r="J168" s="126"/>
      <c r="K168" s="126"/>
      <c r="L168" s="126"/>
      <c r="M168" s="126"/>
    </row>
    <row r="169" spans="1:19" s="131" customFormat="1" ht="15" customHeight="1" outlineLevel="1">
      <c r="B169" s="122"/>
      <c r="C169" s="140"/>
      <c r="D169" s="132"/>
      <c r="E169" s="132"/>
      <c r="F169" s="132"/>
      <c r="G169" s="132"/>
      <c r="H169" s="132"/>
      <c r="I169" s="136"/>
      <c r="J169" s="136"/>
      <c r="K169" s="136"/>
      <c r="L169" s="136"/>
      <c r="M169" s="136"/>
    </row>
    <row r="170" spans="1:19" s="131" customFormat="1" ht="15" customHeight="1" outlineLevel="1">
      <c r="B170" s="478" t="s">
        <v>228</v>
      </c>
      <c r="D170" s="544" t="s">
        <v>226</v>
      </c>
      <c r="E170" s="132"/>
      <c r="F170" s="132"/>
      <c r="G170" s="132"/>
      <c r="H170" s="132"/>
      <c r="I170" s="523" t="s">
        <v>225</v>
      </c>
      <c r="J170" s="522"/>
      <c r="K170" s="522"/>
      <c r="L170" s="522"/>
      <c r="M170" s="521"/>
    </row>
    <row r="171" spans="1:19" s="131" customFormat="1" ht="15" customHeight="1" outlineLevel="1">
      <c r="B171" s="419" t="s">
        <v>52</v>
      </c>
      <c r="C171" s="382"/>
      <c r="D171" s="554">
        <f>Inputs!L109</f>
        <v>16</v>
      </c>
      <c r="E171" s="132"/>
      <c r="F171" s="551"/>
      <c r="G171" s="132"/>
      <c r="H171" s="132"/>
      <c r="I171" s="553">
        <v>1</v>
      </c>
      <c r="J171" s="553">
        <f>I171+1</f>
        <v>2</v>
      </c>
      <c r="K171" s="553">
        <f>J171+1</f>
        <v>3</v>
      </c>
      <c r="L171" s="553">
        <f>K171+1</f>
        <v>4</v>
      </c>
      <c r="M171" s="553">
        <f>L171+1</f>
        <v>5</v>
      </c>
    </row>
    <row r="172" spans="1:19" s="131" customFormat="1" ht="15" customHeight="1" outlineLevel="1">
      <c r="B172" s="466" t="str">
        <f>CONCATENATE("PP&amp;E at End of ",H164)</f>
        <v>PP&amp;E at End of 2022</v>
      </c>
      <c r="C172" s="502"/>
      <c r="D172" s="552">
        <f>Inputs!L95</f>
        <v>65014</v>
      </c>
      <c r="E172" s="132"/>
      <c r="F172" s="551"/>
      <c r="G172" s="132"/>
      <c r="H172" s="550"/>
      <c r="I172" s="549">
        <f>MIN($D171-SUM($H172:H172),1)</f>
        <v>1</v>
      </c>
      <c r="J172" s="549">
        <f>MIN($D171-SUM($H172:I172),1)</f>
        <v>1</v>
      </c>
      <c r="K172" s="549">
        <f>MIN($D171-SUM($H172:J172),1)</f>
        <v>1</v>
      </c>
      <c r="L172" s="549">
        <f>MIN($D171-SUM($H172:K172),1)</f>
        <v>1</v>
      </c>
      <c r="M172" s="548">
        <f>MIN($D171-SUM($H172:L172),1)</f>
        <v>1</v>
      </c>
      <c r="O172" s="547"/>
    </row>
    <row r="173" spans="1:19" s="131" customFormat="1" ht="15" customHeight="1" outlineLevel="1">
      <c r="B173" s="274"/>
      <c r="C173" s="546"/>
      <c r="D173" s="545"/>
      <c r="E173" s="132"/>
      <c r="F173" s="132"/>
      <c r="G173" s="132"/>
      <c r="H173" s="132"/>
      <c r="I173" s="537"/>
      <c r="J173" s="537"/>
      <c r="K173" s="537"/>
      <c r="L173" s="537"/>
      <c r="M173" s="537"/>
    </row>
    <row r="174" spans="1:19" s="131" customFormat="1" ht="15" customHeight="1" outlineLevel="1">
      <c r="B174" s="357"/>
      <c r="C174" s="240"/>
      <c r="D174" s="356"/>
      <c r="E174" s="356"/>
      <c r="F174" s="356"/>
      <c r="G174" s="356"/>
      <c r="H174" s="356"/>
      <c r="I174" s="355"/>
      <c r="J174" s="355"/>
      <c r="K174" s="355"/>
      <c r="L174" s="355"/>
      <c r="M174" s="355"/>
    </row>
    <row r="175" spans="1:19" s="131" customFormat="1" ht="15" customHeight="1" outlineLevel="1">
      <c r="B175" s="122"/>
      <c r="C175" s="140"/>
      <c r="D175" s="132"/>
      <c r="E175" s="132"/>
      <c r="F175" s="132"/>
      <c r="G175" s="132"/>
      <c r="H175" s="132"/>
      <c r="I175" s="136"/>
      <c r="J175" s="136"/>
      <c r="K175" s="136"/>
      <c r="L175" s="136"/>
      <c r="M175" s="136"/>
    </row>
    <row r="176" spans="1:19" s="131" customFormat="1" ht="15" customHeight="1" outlineLevel="1">
      <c r="B176" s="478" t="s">
        <v>227</v>
      </c>
      <c r="D176" s="544" t="s">
        <v>226</v>
      </c>
      <c r="E176" s="132"/>
      <c r="F176" s="132"/>
      <c r="G176" s="132"/>
      <c r="H176" s="132"/>
      <c r="I176" s="523" t="s">
        <v>225</v>
      </c>
      <c r="J176" s="522"/>
      <c r="K176" s="522"/>
      <c r="L176" s="522"/>
      <c r="M176" s="521"/>
    </row>
    <row r="177" spans="2:15" s="131" customFormat="1" ht="15" customHeight="1" outlineLevel="1">
      <c r="B177" s="419" t="s">
        <v>50</v>
      </c>
      <c r="C177" s="382"/>
      <c r="D177" s="543">
        <f>Inputs!L110</f>
        <v>20</v>
      </c>
      <c r="E177" s="132"/>
      <c r="F177" s="132"/>
      <c r="G177" s="132"/>
      <c r="H177" s="132"/>
      <c r="I177" s="542">
        <v>1</v>
      </c>
      <c r="J177" s="542">
        <f>I177+1</f>
        <v>2</v>
      </c>
      <c r="K177" s="542">
        <f>J177+1</f>
        <v>3</v>
      </c>
      <c r="L177" s="542">
        <f>K177+1</f>
        <v>4</v>
      </c>
      <c r="M177" s="542">
        <f>L177+1</f>
        <v>5</v>
      </c>
    </row>
    <row r="178" spans="2:15" s="131" customFormat="1" ht="15" customHeight="1" outlineLevel="1">
      <c r="B178" s="466" t="s">
        <v>54</v>
      </c>
      <c r="C178" s="502"/>
      <c r="D178" s="541">
        <f>Inputs!L108</f>
        <v>0.5</v>
      </c>
      <c r="E178" s="132"/>
      <c r="F178" s="132"/>
      <c r="G178" s="132"/>
      <c r="H178" s="132"/>
      <c r="I178" s="540">
        <f>IF(H178="",$D$178,MIN($D177-SUM($H178:H178),1))</f>
        <v>0.5</v>
      </c>
      <c r="J178" s="539">
        <f>IF(I178="",$D$178,MIN($D177-SUM($H178:I178),1))</f>
        <v>1</v>
      </c>
      <c r="K178" s="539">
        <f>IF(J178="",$D$178,MIN($D177-SUM($H178:J178),1))</f>
        <v>1</v>
      </c>
      <c r="L178" s="539">
        <f>IF(K178="",$D$178,MIN($D177-SUM($H178:K178),1))</f>
        <v>1</v>
      </c>
      <c r="M178" s="465">
        <f>IF(L178="",$D$178,MIN($D177-SUM($H178:L178),1))</f>
        <v>1</v>
      </c>
    </row>
    <row r="179" spans="2:15" s="131" customFormat="1" ht="15" customHeight="1" outlineLevel="1">
      <c r="B179" s="274"/>
      <c r="D179" s="538"/>
      <c r="E179" s="132"/>
      <c r="F179" s="132"/>
      <c r="G179" s="132"/>
      <c r="H179" s="132"/>
      <c r="I179" s="537"/>
      <c r="J179" s="537"/>
      <c r="K179" s="537"/>
      <c r="L179" s="537"/>
      <c r="M179" s="537"/>
    </row>
    <row r="180" spans="2:15" s="131" customFormat="1" ht="15" customHeight="1" outlineLevel="1">
      <c r="B180" s="122"/>
      <c r="C180" s="140"/>
      <c r="D180" s="132"/>
      <c r="E180" s="132"/>
      <c r="F180" s="132"/>
      <c r="G180" s="132"/>
      <c r="H180" s="132"/>
      <c r="I180" s="523" t="s">
        <v>225</v>
      </c>
      <c r="J180" s="522"/>
      <c r="K180" s="522"/>
      <c r="L180" s="522"/>
      <c r="M180" s="521"/>
      <c r="O180" s="536"/>
    </row>
    <row r="181" spans="2:15" s="131" customFormat="1" ht="15" customHeight="1" outlineLevel="1">
      <c r="D181" s="370"/>
      <c r="F181" s="370" t="s">
        <v>222</v>
      </c>
      <c r="G181" s="370" t="s">
        <v>224</v>
      </c>
      <c r="H181" s="132"/>
      <c r="I181" s="520">
        <f>I$164</f>
        <v>2023</v>
      </c>
      <c r="J181" s="520">
        <f>J$164</f>
        <v>2024</v>
      </c>
      <c r="K181" s="520">
        <f>K$164</f>
        <v>2025</v>
      </c>
      <c r="L181" s="520">
        <f>L$164</f>
        <v>2026</v>
      </c>
      <c r="M181" s="520">
        <f>M$164</f>
        <v>2027</v>
      </c>
    </row>
    <row r="182" spans="2:15" s="131" customFormat="1" ht="15" customHeight="1" outlineLevel="1">
      <c r="B182" s="122"/>
      <c r="D182" s="370"/>
      <c r="F182" s="519">
        <f>I164</f>
        <v>2023</v>
      </c>
      <c r="G182" s="535">
        <f>$D$177</f>
        <v>20</v>
      </c>
      <c r="H182" s="534"/>
      <c r="I182" s="533">
        <f>I178</f>
        <v>0.5</v>
      </c>
      <c r="J182" s="533">
        <f>J178</f>
        <v>1</v>
      </c>
      <c r="K182" s="533">
        <f>K178</f>
        <v>1</v>
      </c>
      <c r="L182" s="533">
        <f>L178</f>
        <v>1</v>
      </c>
      <c r="M182" s="532">
        <f>M178</f>
        <v>1</v>
      </c>
    </row>
    <row r="183" spans="2:15" s="131" customFormat="1" ht="15" customHeight="1" outlineLevel="1">
      <c r="B183" s="122"/>
      <c r="D183" s="370"/>
      <c r="F183" s="514">
        <f>F182+1</f>
        <v>2024</v>
      </c>
      <c r="G183" s="531">
        <f>$D$177</f>
        <v>20</v>
      </c>
      <c r="H183" s="530"/>
      <c r="I183" s="529">
        <f t="shared" ref="I183:M186" si="48">H182</f>
        <v>0</v>
      </c>
      <c r="J183" s="529">
        <f t="shared" si="48"/>
        <v>0.5</v>
      </c>
      <c r="K183" s="529">
        <f t="shared" si="48"/>
        <v>1</v>
      </c>
      <c r="L183" s="529">
        <f t="shared" si="48"/>
        <v>1</v>
      </c>
      <c r="M183" s="528">
        <f t="shared" si="48"/>
        <v>1</v>
      </c>
    </row>
    <row r="184" spans="2:15" s="131" customFormat="1" ht="15" customHeight="1" outlineLevel="1">
      <c r="B184" s="122"/>
      <c r="D184" s="370"/>
      <c r="F184" s="514">
        <f>F183+1</f>
        <v>2025</v>
      </c>
      <c r="G184" s="531">
        <f>$D$177</f>
        <v>20</v>
      </c>
      <c r="H184" s="530"/>
      <c r="I184" s="529">
        <f t="shared" si="48"/>
        <v>0</v>
      </c>
      <c r="J184" s="529">
        <f t="shared" si="48"/>
        <v>0</v>
      </c>
      <c r="K184" s="529">
        <f t="shared" si="48"/>
        <v>0.5</v>
      </c>
      <c r="L184" s="529">
        <f t="shared" si="48"/>
        <v>1</v>
      </c>
      <c r="M184" s="528">
        <f t="shared" si="48"/>
        <v>1</v>
      </c>
    </row>
    <row r="185" spans="2:15" s="131" customFormat="1" ht="15" customHeight="1" outlineLevel="1">
      <c r="B185" s="122"/>
      <c r="D185" s="370"/>
      <c r="F185" s="514">
        <f>F184+1</f>
        <v>2026</v>
      </c>
      <c r="G185" s="531">
        <f>$D$177</f>
        <v>20</v>
      </c>
      <c r="H185" s="530"/>
      <c r="I185" s="529">
        <f t="shared" si="48"/>
        <v>0</v>
      </c>
      <c r="J185" s="529">
        <f t="shared" si="48"/>
        <v>0</v>
      </c>
      <c r="K185" s="529">
        <f t="shared" si="48"/>
        <v>0</v>
      </c>
      <c r="L185" s="529">
        <f t="shared" si="48"/>
        <v>0.5</v>
      </c>
      <c r="M185" s="528">
        <f t="shared" si="48"/>
        <v>1</v>
      </c>
    </row>
    <row r="186" spans="2:15" s="131" customFormat="1" ht="15" customHeight="1" outlineLevel="1">
      <c r="B186" s="122"/>
      <c r="D186" s="370"/>
      <c r="F186" s="510">
        <f>F185+1</f>
        <v>2027</v>
      </c>
      <c r="G186" s="527">
        <f>$D$177</f>
        <v>20</v>
      </c>
      <c r="H186" s="526"/>
      <c r="I186" s="525">
        <f t="shared" si="48"/>
        <v>0</v>
      </c>
      <c r="J186" s="525">
        <f t="shared" si="48"/>
        <v>0</v>
      </c>
      <c r="K186" s="525">
        <f t="shared" si="48"/>
        <v>0</v>
      </c>
      <c r="L186" s="525">
        <f t="shared" si="48"/>
        <v>0</v>
      </c>
      <c r="M186" s="524">
        <f t="shared" si="48"/>
        <v>0.5</v>
      </c>
    </row>
    <row r="187" spans="2:15" s="131" customFormat="1" ht="15" customHeight="1" outlineLevel="1">
      <c r="B187" s="122"/>
      <c r="C187" s="140"/>
      <c r="D187" s="370"/>
      <c r="E187" s="132"/>
      <c r="F187" s="132"/>
      <c r="G187" s="132"/>
      <c r="H187" s="132"/>
      <c r="I187" s="136"/>
      <c r="J187" s="136"/>
      <c r="K187" s="136"/>
      <c r="L187" s="136"/>
      <c r="M187" s="136"/>
      <c r="O187" s="377"/>
    </row>
    <row r="188" spans="2:15" s="131" customFormat="1" ht="15" customHeight="1" outlineLevel="1">
      <c r="B188" s="122"/>
      <c r="C188" s="140"/>
      <c r="D188" s="132"/>
      <c r="E188" s="132"/>
      <c r="F188" s="132"/>
      <c r="G188" s="132"/>
      <c r="H188" s="132"/>
      <c r="I188" s="523" t="s">
        <v>223</v>
      </c>
      <c r="J188" s="522"/>
      <c r="K188" s="522"/>
      <c r="L188" s="522"/>
      <c r="M188" s="521"/>
      <c r="O188" s="377"/>
    </row>
    <row r="189" spans="2:15" s="131" customFormat="1" ht="15" customHeight="1" outlineLevel="1">
      <c r="E189" s="132"/>
      <c r="F189" s="370" t="s">
        <v>222</v>
      </c>
      <c r="G189" s="370" t="s">
        <v>221</v>
      </c>
      <c r="H189" s="370" t="s">
        <v>220</v>
      </c>
      <c r="I189" s="520">
        <f>I$164</f>
        <v>2023</v>
      </c>
      <c r="J189" s="520">
        <f>J$164</f>
        <v>2024</v>
      </c>
      <c r="K189" s="520">
        <f>K$164</f>
        <v>2025</v>
      </c>
      <c r="L189" s="520">
        <f>L$164</f>
        <v>2026</v>
      </c>
      <c r="M189" s="520">
        <f>M$164</f>
        <v>2027</v>
      </c>
      <c r="O189" s="377"/>
    </row>
    <row r="190" spans="2:15" s="131" customFormat="1" ht="15" customHeight="1" outlineLevel="1">
      <c r="B190" s="122"/>
      <c r="E190" s="132"/>
      <c r="F190" s="519">
        <f>F182</f>
        <v>2023</v>
      </c>
      <c r="G190" s="518">
        <f>SUMIF($I$164:$M$164,F190,$I$167:$M$167)</f>
        <v>4550</v>
      </c>
      <c r="H190" s="517">
        <f>G190/G182</f>
        <v>227.5</v>
      </c>
      <c r="I190" s="516">
        <f t="shared" ref="I190:M194" si="49">$H190*I182</f>
        <v>113.75</v>
      </c>
      <c r="J190" s="516">
        <f t="shared" si="49"/>
        <v>227.5</v>
      </c>
      <c r="K190" s="516">
        <f t="shared" si="49"/>
        <v>227.5</v>
      </c>
      <c r="L190" s="516">
        <f t="shared" si="49"/>
        <v>227.5</v>
      </c>
      <c r="M190" s="515">
        <f t="shared" si="49"/>
        <v>227.5</v>
      </c>
    </row>
    <row r="191" spans="2:15" s="131" customFormat="1" ht="15" customHeight="1" outlineLevel="1">
      <c r="B191" s="122"/>
      <c r="E191" s="132"/>
      <c r="F191" s="514">
        <f>F183</f>
        <v>2024</v>
      </c>
      <c r="G191" s="513">
        <f>SUMIF($I$164:$M$164,F191,$I$167:$M$167)</f>
        <v>4700</v>
      </c>
      <c r="H191" s="512">
        <f>G191/G183</f>
        <v>235</v>
      </c>
      <c r="I191" s="385">
        <f t="shared" si="49"/>
        <v>0</v>
      </c>
      <c r="J191" s="385">
        <f t="shared" si="49"/>
        <v>117.5</v>
      </c>
      <c r="K191" s="385">
        <f t="shared" si="49"/>
        <v>235</v>
      </c>
      <c r="L191" s="385">
        <f t="shared" si="49"/>
        <v>235</v>
      </c>
      <c r="M191" s="511">
        <f t="shared" si="49"/>
        <v>235</v>
      </c>
    </row>
    <row r="192" spans="2:15" s="131" customFormat="1" ht="15" customHeight="1" outlineLevel="1">
      <c r="B192" s="122"/>
      <c r="E192" s="132"/>
      <c r="F192" s="514">
        <f>F184</f>
        <v>2025</v>
      </c>
      <c r="G192" s="513">
        <f>SUMIF($I$164:$M$164,F192,$I$167:$M$167)</f>
        <v>4850</v>
      </c>
      <c r="H192" s="512">
        <f>G192/G184</f>
        <v>242.5</v>
      </c>
      <c r="I192" s="385">
        <f t="shared" si="49"/>
        <v>0</v>
      </c>
      <c r="J192" s="385">
        <f t="shared" si="49"/>
        <v>0</v>
      </c>
      <c r="K192" s="385">
        <f t="shared" si="49"/>
        <v>121.25</v>
      </c>
      <c r="L192" s="385">
        <f t="shared" si="49"/>
        <v>242.5</v>
      </c>
      <c r="M192" s="511">
        <f t="shared" si="49"/>
        <v>242.5</v>
      </c>
    </row>
    <row r="193" spans="1:19" s="131" customFormat="1" ht="15" customHeight="1" outlineLevel="1">
      <c r="B193" s="122"/>
      <c r="E193" s="132"/>
      <c r="F193" s="514">
        <f>F185</f>
        <v>2026</v>
      </c>
      <c r="G193" s="513">
        <f>SUMIF($I$164:$M$164,F193,$I$167:$M$167)</f>
        <v>5000</v>
      </c>
      <c r="H193" s="512">
        <f>G193/G185</f>
        <v>250</v>
      </c>
      <c r="I193" s="385">
        <f t="shared" si="49"/>
        <v>0</v>
      </c>
      <c r="J193" s="385">
        <f t="shared" si="49"/>
        <v>0</v>
      </c>
      <c r="K193" s="385">
        <f t="shared" si="49"/>
        <v>0</v>
      </c>
      <c r="L193" s="385">
        <f t="shared" si="49"/>
        <v>125</v>
      </c>
      <c r="M193" s="511">
        <f t="shared" si="49"/>
        <v>250</v>
      </c>
    </row>
    <row r="194" spans="1:19" s="131" customFormat="1" ht="15" customHeight="1" outlineLevel="1">
      <c r="B194" s="122"/>
      <c r="E194" s="132"/>
      <c r="F194" s="510">
        <f>F186</f>
        <v>2027</v>
      </c>
      <c r="G194" s="509">
        <f>SUMIF($I$164:$M$164,F194,$I$167:$M$167)</f>
        <v>5125</v>
      </c>
      <c r="H194" s="508">
        <f>G194/G186</f>
        <v>256.25</v>
      </c>
      <c r="I194" s="393">
        <f t="shared" si="49"/>
        <v>0</v>
      </c>
      <c r="J194" s="393">
        <f t="shared" si="49"/>
        <v>0</v>
      </c>
      <c r="K194" s="393">
        <f t="shared" si="49"/>
        <v>0</v>
      </c>
      <c r="L194" s="393">
        <f t="shared" si="49"/>
        <v>0</v>
      </c>
      <c r="M194" s="507">
        <f t="shared" si="49"/>
        <v>128.125</v>
      </c>
    </row>
    <row r="195" spans="1:19" s="131" customFormat="1" ht="15" customHeight="1" outlineLevel="1">
      <c r="B195" s="357"/>
      <c r="C195" s="240"/>
      <c r="D195" s="356"/>
      <c r="E195" s="356"/>
      <c r="F195" s="356"/>
      <c r="G195" s="356"/>
      <c r="H195" s="356"/>
      <c r="I195" s="355"/>
      <c r="J195" s="355"/>
      <c r="K195" s="355"/>
      <c r="L195" s="355"/>
      <c r="M195" s="355"/>
      <c r="O195" s="377"/>
    </row>
    <row r="196" spans="1:19" s="131" customFormat="1" ht="15" customHeight="1" outlineLevel="1">
      <c r="B196" s="122"/>
      <c r="C196" s="140"/>
      <c r="D196" s="132"/>
      <c r="E196" s="132"/>
      <c r="F196" s="132"/>
      <c r="G196" s="132"/>
      <c r="H196" s="132"/>
      <c r="I196" s="136"/>
      <c r="J196" s="136"/>
      <c r="K196" s="136"/>
      <c r="L196" s="136"/>
      <c r="M196" s="136"/>
      <c r="O196" s="377"/>
    </row>
    <row r="197" spans="1:19" s="131" customFormat="1" ht="15" customHeight="1" outlineLevel="1">
      <c r="B197" s="478" t="s">
        <v>219</v>
      </c>
      <c r="C197" s="140"/>
      <c r="D197" s="132"/>
      <c r="E197" s="132"/>
      <c r="F197" s="132"/>
      <c r="G197" s="132"/>
      <c r="H197" s="132"/>
      <c r="I197" s="136"/>
      <c r="J197" s="136"/>
      <c r="K197" s="136"/>
      <c r="L197" s="136"/>
      <c r="M197" s="136"/>
      <c r="O197" s="377"/>
    </row>
    <row r="198" spans="1:19" s="131" customFormat="1" ht="15" customHeight="1" outlineLevel="1">
      <c r="B198" s="376" t="s">
        <v>218</v>
      </c>
      <c r="C198" s="140"/>
      <c r="D198" s="132"/>
      <c r="E198" s="132"/>
      <c r="F198" s="252"/>
      <c r="G198" s="252"/>
      <c r="H198" s="252"/>
      <c r="I198" s="126">
        <f>($D$172/$D$171)*I172</f>
        <v>4063.375</v>
      </c>
      <c r="J198" s="126">
        <f>($D$172/$D$171)*J172</f>
        <v>4063.375</v>
      </c>
      <c r="K198" s="126">
        <f>($D$172/$D$171)*K172</f>
        <v>4063.375</v>
      </c>
      <c r="L198" s="126">
        <f>($D$172/$D$171)*L172</f>
        <v>4063.375</v>
      </c>
      <c r="M198" s="126">
        <f>($D$172/$D$171)*M172</f>
        <v>4063.375</v>
      </c>
      <c r="O198" s="98"/>
    </row>
    <row r="199" spans="1:19" s="131" customFormat="1" ht="15" customHeight="1" outlineLevel="1">
      <c r="B199" s="376" t="s">
        <v>217</v>
      </c>
      <c r="C199" s="140"/>
      <c r="D199" s="132"/>
      <c r="E199" s="132"/>
      <c r="F199" s="132"/>
      <c r="G199" s="132"/>
      <c r="H199" s="132"/>
      <c r="I199" s="126">
        <f>SUM(I190:I194)</f>
        <v>113.75</v>
      </c>
      <c r="J199" s="126">
        <f>SUM(J190:J194)</f>
        <v>345</v>
      </c>
      <c r="K199" s="126">
        <f>SUM(K190:K194)</f>
        <v>583.75</v>
      </c>
      <c r="L199" s="126">
        <f>SUM(L190:L194)</f>
        <v>830</v>
      </c>
      <c r="M199" s="126">
        <f>SUM(M190:M194)</f>
        <v>1083.125</v>
      </c>
      <c r="O199" s="98"/>
    </row>
    <row r="200" spans="1:19" s="131" customFormat="1" ht="15" customHeight="1" outlineLevel="1" thickBot="1">
      <c r="B200" s="376" t="s">
        <v>216</v>
      </c>
      <c r="C200" s="140"/>
      <c r="D200" s="132"/>
      <c r="E200" s="132"/>
      <c r="F200" s="132"/>
      <c r="G200" s="132"/>
      <c r="H200" s="132"/>
      <c r="I200" s="472">
        <f>SUM(I198:I199)</f>
        <v>4177.125</v>
      </c>
      <c r="J200" s="472">
        <f>SUM(J198:J199)</f>
        <v>4408.375</v>
      </c>
      <c r="K200" s="472">
        <f>SUM(K198:K199)</f>
        <v>4647.125</v>
      </c>
      <c r="L200" s="472">
        <f>SUM(L198:L199)</f>
        <v>4893.375</v>
      </c>
      <c r="M200" s="472">
        <f>SUM(M198:M199)</f>
        <v>5146.5</v>
      </c>
      <c r="O200" s="377"/>
      <c r="S200" s="716" t="str">
        <f>IF(SUM(S166:S167)=1,"COMPLETE","")</f>
        <v>COMPLETE</v>
      </c>
    </row>
    <row r="201" spans="1:19" s="131" customFormat="1" ht="15" customHeight="1" outlineLevel="1">
      <c r="B201" s="122"/>
      <c r="C201" s="140"/>
      <c r="D201" s="132"/>
      <c r="E201" s="132"/>
      <c r="F201" s="132"/>
      <c r="G201" s="132"/>
      <c r="H201" s="132"/>
      <c r="I201" s="252"/>
      <c r="J201" s="252"/>
      <c r="K201" s="252"/>
      <c r="L201" s="252"/>
      <c r="M201" s="252"/>
      <c r="O201" s="377"/>
    </row>
    <row r="202" spans="1:19" s="131" customFormat="1" ht="15" customHeight="1" outlineLevel="1">
      <c r="B202" s="122"/>
      <c r="C202" s="140"/>
      <c r="D202" s="132"/>
      <c r="E202" s="132"/>
      <c r="F202" s="132"/>
      <c r="G202" s="132"/>
      <c r="H202" s="132"/>
      <c r="I202" s="252"/>
      <c r="J202" s="252"/>
      <c r="K202" s="252"/>
      <c r="L202" s="252"/>
      <c r="M202" s="252"/>
      <c r="O202" s="377"/>
    </row>
    <row r="203" spans="1:19" s="131" customFormat="1" ht="15" customHeight="1" outlineLevel="1">
      <c r="C203" s="140"/>
      <c r="D203" s="132"/>
      <c r="E203" s="132"/>
      <c r="F203" s="132"/>
      <c r="G203" s="132"/>
      <c r="H203" s="132"/>
      <c r="I203" s="136"/>
      <c r="J203" s="136"/>
      <c r="K203" s="136"/>
      <c r="L203" s="136"/>
      <c r="M203" s="38" t="s">
        <v>215</v>
      </c>
      <c r="O203" s="98"/>
    </row>
    <row r="204" spans="1:19" s="131" customFormat="1" ht="15" customHeight="1" outlineLevel="1">
      <c r="C204" s="140"/>
      <c r="D204" s="132"/>
      <c r="E204" s="132"/>
      <c r="F204" s="132"/>
      <c r="G204" s="132"/>
      <c r="H204" s="132"/>
      <c r="I204" s="136"/>
      <c r="J204" s="136"/>
      <c r="K204" s="136"/>
      <c r="L204" s="136"/>
      <c r="M204" s="358" t="s">
        <v>214</v>
      </c>
      <c r="O204" s="98"/>
    </row>
    <row r="205" spans="1:19" s="131" customFormat="1" ht="15" customHeight="1" outlineLevel="1">
      <c r="C205" s="140"/>
      <c r="D205" s="132"/>
      <c r="E205" s="132"/>
      <c r="F205" s="132"/>
      <c r="G205" s="132"/>
      <c r="H205" s="132"/>
      <c r="I205" s="136"/>
      <c r="J205" s="136"/>
      <c r="K205" s="136"/>
      <c r="L205" s="136"/>
      <c r="M205" s="430"/>
      <c r="O205" s="98"/>
    </row>
    <row r="206" spans="1:19" s="131" customFormat="1" ht="15" customHeight="1" outlineLevel="1">
      <c r="B206" s="357"/>
      <c r="C206" s="240"/>
      <c r="D206" s="356"/>
      <c r="E206" s="356"/>
      <c r="F206" s="356"/>
      <c r="G206" s="356"/>
      <c r="H206" s="356"/>
      <c r="I206" s="355"/>
      <c r="J206" s="355"/>
      <c r="K206" s="355"/>
      <c r="L206" s="355"/>
      <c r="M206" s="355"/>
      <c r="N206" s="355"/>
      <c r="O206" s="377"/>
    </row>
    <row r="207" spans="1:19" s="131" customFormat="1" ht="15" customHeight="1">
      <c r="B207" s="122"/>
      <c r="C207" s="140"/>
      <c r="D207" s="132"/>
      <c r="E207" s="132"/>
      <c r="F207" s="132"/>
      <c r="G207" s="132"/>
      <c r="H207" s="132"/>
      <c r="I207" s="136"/>
      <c r="J207" s="136"/>
      <c r="K207" s="136"/>
      <c r="L207" s="136"/>
      <c r="M207" s="136"/>
      <c r="N207" s="136"/>
      <c r="O207" s="377"/>
    </row>
    <row r="208" spans="1:19" s="131" customFormat="1" ht="15" customHeight="1">
      <c r="A208" s="131" t="s">
        <v>0</v>
      </c>
      <c r="B208" s="144" t="s">
        <v>213</v>
      </c>
      <c r="C208" s="143"/>
      <c r="D208" s="429"/>
      <c r="E208" s="429"/>
      <c r="F208" s="141"/>
      <c r="G208" s="141"/>
      <c r="H208" s="141"/>
      <c r="I208" s="428"/>
      <c r="J208" s="427"/>
      <c r="K208" s="427"/>
      <c r="L208" s="427"/>
      <c r="M208" s="427"/>
      <c r="N208" s="447"/>
      <c r="O208" s="377"/>
    </row>
    <row r="209" spans="1:19" s="131" customFormat="1" ht="15" customHeight="1" outlineLevel="1">
      <c r="B209" s="304"/>
      <c r="C209" s="140"/>
      <c r="D209" s="139"/>
      <c r="E209" s="139"/>
      <c r="F209" s="138"/>
      <c r="G209" s="138"/>
      <c r="H209" s="138"/>
      <c r="I209" s="138"/>
      <c r="J209" s="138"/>
      <c r="K209" s="138"/>
      <c r="L209" s="138"/>
      <c r="M209" s="138"/>
      <c r="O209" s="377"/>
    </row>
    <row r="210" spans="1:19" s="131" customFormat="1" ht="15" customHeight="1" outlineLevel="1" thickBot="1">
      <c r="B210" s="122" t="s">
        <v>40</v>
      </c>
      <c r="C210" s="140"/>
      <c r="D210" s="132"/>
      <c r="E210" s="132"/>
      <c r="F210" s="138"/>
      <c r="G210" s="132"/>
      <c r="H210" s="490">
        <f t="shared" ref="H210:M210" si="50">H$5</f>
        <v>2022</v>
      </c>
      <c r="I210" s="354">
        <f t="shared" si="50"/>
        <v>2023</v>
      </c>
      <c r="J210" s="354">
        <f t="shared" si="50"/>
        <v>2024</v>
      </c>
      <c r="K210" s="354">
        <f t="shared" si="50"/>
        <v>2025</v>
      </c>
      <c r="L210" s="354">
        <f t="shared" si="50"/>
        <v>2026</v>
      </c>
      <c r="M210" s="354">
        <f t="shared" si="50"/>
        <v>2027</v>
      </c>
      <c r="N210" s="136"/>
      <c r="O210" s="98"/>
    </row>
    <row r="211" spans="1:19" ht="15" customHeight="1" outlineLevel="1">
      <c r="A211" s="102"/>
      <c r="B211" s="122" t="str">
        <f>$B$6</f>
        <v>Model Running: Base Case Drivers</v>
      </c>
      <c r="C211" s="140"/>
      <c r="D211" s="132"/>
      <c r="E211" s="132"/>
      <c r="F211" s="132"/>
      <c r="G211" s="132"/>
      <c r="H211" s="132"/>
      <c r="I211" s="136"/>
      <c r="J211" s="136"/>
      <c r="K211" s="136"/>
      <c r="L211" s="136"/>
      <c r="M211" s="136"/>
      <c r="N211" s="136"/>
    </row>
    <row r="212" spans="1:19" s="131" customFormat="1" ht="15" customHeight="1" outlineLevel="1" thickBot="1">
      <c r="B212" s="122"/>
      <c r="C212" s="140"/>
      <c r="D212" s="132"/>
      <c r="E212" s="132"/>
      <c r="F212" s="132"/>
      <c r="G212" s="132"/>
      <c r="H212" s="132"/>
      <c r="I212" s="136"/>
      <c r="J212" s="136"/>
      <c r="K212" s="136"/>
      <c r="L212" s="136"/>
      <c r="M212" s="136"/>
      <c r="O212" s="377"/>
      <c r="Q212" s="669" t="s">
        <v>277</v>
      </c>
      <c r="R212" s="668" t="s">
        <v>278</v>
      </c>
      <c r="S212" s="671" t="s">
        <v>279</v>
      </c>
    </row>
    <row r="213" spans="1:19" s="131" customFormat="1" ht="15" customHeight="1" outlineLevel="1">
      <c r="B213" s="274" t="s">
        <v>127</v>
      </c>
      <c r="C213" s="140"/>
      <c r="D213" s="132"/>
      <c r="E213" s="132"/>
      <c r="F213" s="132"/>
      <c r="G213" s="126"/>
      <c r="H213" s="126"/>
      <c r="I213" s="506">
        <f>Inputs!G24</f>
        <v>4550</v>
      </c>
      <c r="J213" s="444">
        <f>Inputs!H24</f>
        <v>4700</v>
      </c>
      <c r="K213" s="444">
        <f>Inputs!I24</f>
        <v>4850</v>
      </c>
      <c r="L213" s="444">
        <f>Inputs!J24</f>
        <v>5000</v>
      </c>
      <c r="M213" s="505">
        <f>Inputs!K24</f>
        <v>5125</v>
      </c>
      <c r="N213" s="126"/>
      <c r="Q213" s="701">
        <f>SUM(Model!I213:N213)</f>
        <v>24225</v>
      </c>
      <c r="R213" s="700">
        <f>SUM(I213:N213)</f>
        <v>24225</v>
      </c>
      <c r="S213" s="806">
        <f>IF(ISBLANK(Model!I213),0,IF(Q213=R213,1,0))</f>
        <v>1</v>
      </c>
    </row>
    <row r="214" spans="1:19" s="131" customFormat="1" ht="15" customHeight="1" outlineLevel="1">
      <c r="B214" s="122"/>
      <c r="C214" s="140"/>
      <c r="D214" s="132"/>
      <c r="E214" s="132"/>
      <c r="F214" s="132"/>
      <c r="G214" s="132"/>
      <c r="H214" s="132"/>
      <c r="I214" s="136"/>
      <c r="J214" s="136"/>
      <c r="K214" s="136"/>
      <c r="L214" s="136"/>
      <c r="M214" s="136"/>
    </row>
    <row r="215" spans="1:19" s="131" customFormat="1" ht="15" customHeight="1" outlineLevel="1">
      <c r="B215" s="468" t="s">
        <v>57</v>
      </c>
      <c r="C215" s="504"/>
      <c r="D215" s="503">
        <f>Inputs!L106</f>
        <v>0.5</v>
      </c>
      <c r="E215" s="132"/>
      <c r="F215" s="132"/>
      <c r="G215" s="132"/>
      <c r="H215" s="132"/>
      <c r="I215" s="136"/>
      <c r="J215" s="136"/>
      <c r="K215" s="136"/>
      <c r="L215" s="136"/>
      <c r="M215" s="136"/>
    </row>
    <row r="216" spans="1:19" s="131" customFormat="1" ht="15" customHeight="1" outlineLevel="1">
      <c r="B216" s="416" t="s">
        <v>56</v>
      </c>
      <c r="C216" s="502"/>
      <c r="D216" s="501">
        <f>Inputs!L107</f>
        <v>0.15</v>
      </c>
      <c r="E216" s="132"/>
      <c r="F216" s="132"/>
      <c r="G216" s="132"/>
      <c r="H216" s="132"/>
      <c r="J216" s="136"/>
      <c r="K216" s="136"/>
      <c r="L216" s="136"/>
      <c r="M216" s="136"/>
    </row>
    <row r="217" spans="1:19" s="131" customFormat="1" ht="15" customHeight="1" outlineLevel="1">
      <c r="B217" s="104"/>
      <c r="C217" s="405"/>
      <c r="D217" s="500"/>
      <c r="E217" s="132"/>
      <c r="F217" s="132"/>
      <c r="G217" s="132"/>
      <c r="H217" s="132"/>
      <c r="I217" s="499"/>
      <c r="J217" s="499"/>
      <c r="K217" s="499"/>
      <c r="L217" s="499"/>
      <c r="M217" s="499"/>
    </row>
    <row r="218" spans="1:19" s="131" customFormat="1" ht="15" customHeight="1" outlineLevel="1">
      <c r="B218" s="104"/>
      <c r="C218" s="405"/>
      <c r="D218" s="500"/>
      <c r="E218" s="132"/>
      <c r="F218" s="132"/>
      <c r="G218" s="132"/>
      <c r="H218" s="132"/>
      <c r="I218" s="499"/>
      <c r="J218" s="499"/>
      <c r="K218" s="499"/>
      <c r="L218" s="499"/>
      <c r="M218" s="499"/>
    </row>
    <row r="219" spans="1:19" s="131" customFormat="1" ht="15" customHeight="1" outlineLevel="1">
      <c r="B219" s="478" t="s">
        <v>212</v>
      </c>
      <c r="C219" s="140"/>
      <c r="D219" s="132"/>
      <c r="E219" s="132"/>
      <c r="F219" s="132"/>
      <c r="G219" s="132"/>
      <c r="H219" s="132"/>
      <c r="I219" s="136"/>
      <c r="J219" s="136"/>
      <c r="K219" s="136"/>
      <c r="L219" s="136"/>
      <c r="M219" s="136"/>
    </row>
    <row r="220" spans="1:19" s="131" customFormat="1" ht="15" customHeight="1" outlineLevel="1">
      <c r="B220" s="376" t="s">
        <v>192</v>
      </c>
      <c r="C220" s="140"/>
      <c r="D220" s="132"/>
      <c r="E220" s="132"/>
      <c r="F220" s="132"/>
      <c r="G220" s="252"/>
      <c r="H220" s="126"/>
      <c r="I220" s="126">
        <f>H223</f>
        <v>65014</v>
      </c>
      <c r="J220" s="126">
        <f>I223</f>
        <v>65386.875</v>
      </c>
      <c r="K220" s="126">
        <f>J223</f>
        <v>65678.5</v>
      </c>
      <c r="L220" s="126">
        <f>K223</f>
        <v>65881.375</v>
      </c>
      <c r="M220" s="126">
        <f>L223</f>
        <v>65988</v>
      </c>
      <c r="N220" s="126"/>
    </row>
    <row r="221" spans="1:19" s="131" customFormat="1" ht="15" customHeight="1" outlineLevel="1" thickBot="1">
      <c r="B221" s="376" t="s">
        <v>127</v>
      </c>
      <c r="C221" s="140"/>
      <c r="D221" s="132"/>
      <c r="E221" s="132"/>
      <c r="F221" s="132"/>
      <c r="G221" s="252"/>
      <c r="H221" s="498"/>
      <c r="I221" s="126">
        <f>I213</f>
        <v>4550</v>
      </c>
      <c r="J221" s="126">
        <f>J213</f>
        <v>4700</v>
      </c>
      <c r="K221" s="126">
        <f>K213</f>
        <v>4850</v>
      </c>
      <c r="L221" s="126">
        <f>L213</f>
        <v>5000</v>
      </c>
      <c r="M221" s="126">
        <f>M213</f>
        <v>5125</v>
      </c>
      <c r="N221" s="126"/>
      <c r="Q221" s="669" t="s">
        <v>277</v>
      </c>
      <c r="R221" s="668" t="s">
        <v>278</v>
      </c>
      <c r="S221" s="671" t="s">
        <v>279</v>
      </c>
    </row>
    <row r="222" spans="1:19" s="131" customFormat="1" ht="15" customHeight="1" outlineLevel="1">
      <c r="B222" s="376" t="s">
        <v>211</v>
      </c>
      <c r="C222" s="140"/>
      <c r="D222" s="132"/>
      <c r="E222" s="132"/>
      <c r="F222" s="132"/>
      <c r="G222" s="252"/>
      <c r="H222" s="389"/>
      <c r="I222" s="479">
        <f>-Model!I200</f>
        <v>-4177.125</v>
      </c>
      <c r="J222" s="479">
        <f>-Model!J200</f>
        <v>-4408.375</v>
      </c>
      <c r="K222" s="479">
        <f>-Model!K200</f>
        <v>-4647.125</v>
      </c>
      <c r="L222" s="479">
        <f>-Model!L200</f>
        <v>-4893.375</v>
      </c>
      <c r="M222" s="479">
        <f>-Model!M200</f>
        <v>-5146.5</v>
      </c>
      <c r="N222" s="126"/>
      <c r="Q222" s="701">
        <f>SUM(Model!I222:M222)</f>
        <v>-23272.5</v>
      </c>
      <c r="R222" s="700">
        <f>SUM(I222:M222)</f>
        <v>-23272.5</v>
      </c>
      <c r="S222" s="806">
        <f>IF(ISBLANK(Model!I222),0,IF(Q222=R222,1,0))</f>
        <v>1</v>
      </c>
    </row>
    <row r="223" spans="1:19" s="131" customFormat="1" ht="15" customHeight="1" outlineLevel="1">
      <c r="B223" s="376" t="s">
        <v>189</v>
      </c>
      <c r="C223" s="140"/>
      <c r="D223" s="132"/>
      <c r="E223" s="132"/>
      <c r="F223" s="497"/>
      <c r="G223" s="252"/>
      <c r="H223" s="494">
        <f>$D$172</f>
        <v>65014</v>
      </c>
      <c r="I223" s="126">
        <f>SUM(I220:I222)</f>
        <v>65386.875</v>
      </c>
      <c r="J223" s="126">
        <f>SUM(J220:J222)</f>
        <v>65678.5</v>
      </c>
      <c r="K223" s="126">
        <f>SUM(K220:K222)</f>
        <v>65881.375</v>
      </c>
      <c r="L223" s="126">
        <f>SUM(L220:L222)</f>
        <v>65988</v>
      </c>
      <c r="M223" s="126">
        <f>SUM(M220:M222)</f>
        <v>65966.5</v>
      </c>
      <c r="N223" s="126"/>
    </row>
    <row r="224" spans="1:19" s="131" customFormat="1" ht="15" customHeight="1" outlineLevel="1">
      <c r="B224" s="122"/>
      <c r="C224" s="140"/>
      <c r="D224" s="132"/>
      <c r="E224" s="132"/>
      <c r="F224" s="132"/>
      <c r="G224" s="132"/>
      <c r="H224" s="469"/>
      <c r="I224" s="469"/>
      <c r="J224" s="469"/>
      <c r="K224" s="469"/>
      <c r="L224" s="469"/>
      <c r="M224" s="469"/>
      <c r="N224" s="469"/>
      <c r="O224" s="136"/>
    </row>
    <row r="225" spans="1:19" s="131" customFormat="1" ht="15" customHeight="1" outlineLevel="1">
      <c r="B225" s="122"/>
      <c r="C225" s="140"/>
      <c r="D225" s="132"/>
      <c r="E225" s="132"/>
      <c r="F225" s="132"/>
      <c r="G225" s="132"/>
      <c r="H225" s="469"/>
      <c r="I225" s="469"/>
      <c r="J225" s="469"/>
      <c r="K225" s="469"/>
      <c r="L225" s="469"/>
      <c r="M225" s="469"/>
      <c r="N225" s="469"/>
      <c r="O225" s="136"/>
    </row>
    <row r="226" spans="1:19" s="131" customFormat="1" ht="15" customHeight="1" outlineLevel="1">
      <c r="B226" s="478" t="s">
        <v>210</v>
      </c>
      <c r="C226" s="140"/>
      <c r="D226" s="132"/>
      <c r="E226" s="132"/>
      <c r="F226" s="132"/>
      <c r="G226" s="132"/>
      <c r="H226" s="469"/>
      <c r="I226" s="469"/>
      <c r="J226" s="469"/>
      <c r="K226" s="469"/>
      <c r="L226" s="469"/>
      <c r="M226" s="469"/>
      <c r="N226" s="469"/>
      <c r="O226" s="136"/>
    </row>
    <row r="227" spans="1:19" s="131" customFormat="1" ht="15" customHeight="1" outlineLevel="1">
      <c r="B227" s="376" t="s">
        <v>192</v>
      </c>
      <c r="C227" s="140"/>
      <c r="D227" s="132"/>
      <c r="E227" s="132"/>
      <c r="F227" s="132"/>
      <c r="G227" s="252"/>
      <c r="H227" s="126"/>
      <c r="I227" s="126">
        <f>H230</f>
        <v>39211</v>
      </c>
      <c r="J227" s="126">
        <f>I230</f>
        <v>37538.1</v>
      </c>
      <c r="K227" s="126">
        <f>J230</f>
        <v>36254.885000000002</v>
      </c>
      <c r="L227" s="126">
        <f>K230</f>
        <v>35302.902249999999</v>
      </c>
      <c r="M227" s="126">
        <f>L230</f>
        <v>34632.4669125</v>
      </c>
      <c r="N227" s="126"/>
      <c r="O227" s="136"/>
    </row>
    <row r="228" spans="1:19" s="131" customFormat="1" ht="15" customHeight="1" outlineLevel="1">
      <c r="B228" s="376" t="s">
        <v>127</v>
      </c>
      <c r="C228" s="140"/>
      <c r="D228" s="132"/>
      <c r="E228" s="132"/>
      <c r="F228" s="132"/>
      <c r="G228" s="252"/>
      <c r="H228" s="126"/>
      <c r="I228" s="126">
        <f>I221</f>
        <v>4550</v>
      </c>
      <c r="J228" s="126">
        <f>J221</f>
        <v>4700</v>
      </c>
      <c r="K228" s="126">
        <f>K221</f>
        <v>4850</v>
      </c>
      <c r="L228" s="126">
        <f>L221</f>
        <v>5000</v>
      </c>
      <c r="M228" s="126">
        <f>M221</f>
        <v>5125</v>
      </c>
      <c r="N228" s="126"/>
      <c r="O228" s="136"/>
    </row>
    <row r="229" spans="1:19" s="131" customFormat="1" ht="15" customHeight="1" outlineLevel="1">
      <c r="B229" s="376" t="s">
        <v>209</v>
      </c>
      <c r="H229" s="496"/>
      <c r="I229" s="389">
        <f>-(I227+I228*$D$215)*$D$216</f>
        <v>-6222.9</v>
      </c>
      <c r="J229" s="389">
        <f>-(J227+J228*$D$215)*$D$216</f>
        <v>-5983.2149999999992</v>
      </c>
      <c r="K229" s="389">
        <f>-(K227+K228*$D$215)*$D$216</f>
        <v>-5801.9827500000001</v>
      </c>
      <c r="L229" s="389">
        <f>-(L227+L228*$D$215)*$D$216</f>
        <v>-5670.4353375000001</v>
      </c>
      <c r="M229" s="389">
        <f>-(M227+M228*$D$215)*$D$216</f>
        <v>-5579.2450368749996</v>
      </c>
      <c r="N229" s="126"/>
    </row>
    <row r="230" spans="1:19" s="131" customFormat="1" ht="15" customHeight="1" outlineLevel="1">
      <c r="B230" s="376" t="s">
        <v>189</v>
      </c>
      <c r="C230" s="140"/>
      <c r="D230" s="132"/>
      <c r="E230" s="132"/>
      <c r="F230" s="384"/>
      <c r="G230" s="252"/>
      <c r="H230" s="494">
        <f>Inputs!L96</f>
        <v>39211</v>
      </c>
      <c r="I230" s="126">
        <f>SUM(I227:I229)</f>
        <v>37538.1</v>
      </c>
      <c r="J230" s="126">
        <f>SUM(J227:J229)</f>
        <v>36254.885000000002</v>
      </c>
      <c r="K230" s="126">
        <f>SUM(K227:K229)</f>
        <v>35302.902249999999</v>
      </c>
      <c r="L230" s="126">
        <f>SUM(L227:L229)</f>
        <v>34632.4669125</v>
      </c>
      <c r="M230" s="126">
        <f>SUM(M227:M229)</f>
        <v>34178.221875625</v>
      </c>
      <c r="N230" s="126"/>
      <c r="S230" s="716" t="str">
        <f>IF(SUM(S212:S222)=2,"COMPLETE","")</f>
        <v>COMPLETE</v>
      </c>
    </row>
    <row r="231" spans="1:19" s="131" customFormat="1" ht="15" customHeight="1" outlineLevel="1">
      <c r="B231" s="122"/>
      <c r="C231" s="140"/>
      <c r="D231" s="132"/>
      <c r="E231" s="132"/>
      <c r="F231" s="132"/>
      <c r="G231" s="132"/>
      <c r="H231" s="132"/>
      <c r="I231" s="136"/>
      <c r="J231" s="136"/>
      <c r="K231" s="136"/>
      <c r="L231" s="136"/>
      <c r="M231" s="136"/>
    </row>
    <row r="232" spans="1:19" s="131" customFormat="1" ht="15" customHeight="1" outlineLevel="1">
      <c r="B232" s="122"/>
      <c r="C232" s="140"/>
      <c r="D232" s="132"/>
      <c r="E232" s="132"/>
      <c r="F232" s="132"/>
      <c r="G232" s="132"/>
      <c r="H232" s="132"/>
      <c r="I232" s="136"/>
      <c r="J232" s="136"/>
      <c r="K232" s="136"/>
      <c r="L232" s="136"/>
      <c r="M232" s="136"/>
      <c r="O232" s="377"/>
    </row>
    <row r="233" spans="1:19" s="131" customFormat="1" ht="15" customHeight="1" outlineLevel="1">
      <c r="B233" s="122"/>
      <c r="C233" s="140"/>
      <c r="D233" s="132"/>
      <c r="E233" s="132"/>
      <c r="F233" s="132"/>
      <c r="G233" s="132"/>
      <c r="H233" s="132"/>
      <c r="I233" s="136"/>
      <c r="J233" s="136"/>
      <c r="K233" s="136"/>
      <c r="L233" s="136"/>
      <c r="M233" s="38" t="s">
        <v>208</v>
      </c>
      <c r="O233" s="98"/>
    </row>
    <row r="234" spans="1:19" s="131" customFormat="1" ht="15" customHeight="1" outlineLevel="1">
      <c r="B234" s="122"/>
      <c r="C234" s="140"/>
      <c r="D234" s="132"/>
      <c r="E234" s="132"/>
      <c r="F234" s="132"/>
      <c r="G234" s="132"/>
      <c r="H234" s="132"/>
      <c r="I234" s="136"/>
      <c r="J234" s="136"/>
      <c r="K234" s="136"/>
      <c r="L234" s="136"/>
      <c r="M234" s="430"/>
      <c r="O234" s="98"/>
    </row>
    <row r="235" spans="1:19" s="131" customFormat="1" ht="15" customHeight="1" outlineLevel="1">
      <c r="B235" s="357"/>
      <c r="C235" s="240"/>
      <c r="D235" s="356"/>
      <c r="E235" s="356"/>
      <c r="F235" s="356"/>
      <c r="G235" s="356"/>
      <c r="H235" s="356"/>
      <c r="I235" s="355"/>
      <c r="J235" s="355"/>
      <c r="K235" s="355"/>
      <c r="L235" s="355"/>
      <c r="M235" s="355"/>
      <c r="N235" s="355"/>
      <c r="O235" s="401"/>
    </row>
    <row r="236" spans="1:19" s="131" customFormat="1" ht="15" customHeight="1">
      <c r="B236" s="122"/>
      <c r="C236" s="140"/>
      <c r="D236" s="132"/>
      <c r="E236" s="132"/>
      <c r="F236" s="132"/>
      <c r="G236" s="132"/>
      <c r="H236" s="132"/>
      <c r="I236" s="136"/>
      <c r="J236" s="136"/>
      <c r="K236" s="136"/>
      <c r="L236" s="136"/>
      <c r="M236" s="136"/>
      <c r="N236" s="136"/>
      <c r="O236" s="401"/>
    </row>
    <row r="237" spans="1:19" s="131" customFormat="1" ht="15" customHeight="1">
      <c r="A237" s="131" t="s">
        <v>0</v>
      </c>
      <c r="B237" s="144" t="s">
        <v>207</v>
      </c>
      <c r="C237" s="143"/>
      <c r="D237" s="429"/>
      <c r="E237" s="429"/>
      <c r="F237" s="141"/>
      <c r="G237" s="141"/>
      <c r="H237" s="141"/>
      <c r="I237" s="428"/>
      <c r="J237" s="427"/>
      <c r="K237" s="427"/>
      <c r="L237" s="427"/>
      <c r="M237" s="427"/>
      <c r="N237" s="447"/>
      <c r="O237" s="401"/>
    </row>
    <row r="238" spans="1:19" s="131" customFormat="1" ht="15" customHeight="1" outlineLevel="1">
      <c r="B238" s="304"/>
      <c r="C238" s="140"/>
      <c r="D238" s="139"/>
      <c r="E238" s="139"/>
      <c r="F238" s="138"/>
      <c r="G238" s="138"/>
      <c r="H238" s="138"/>
      <c r="I238" s="138"/>
      <c r="J238" s="138"/>
      <c r="K238" s="138"/>
      <c r="L238" s="138"/>
      <c r="M238" s="138"/>
      <c r="O238" s="401"/>
    </row>
    <row r="239" spans="1:19" s="131" customFormat="1" ht="15" customHeight="1" outlineLevel="1" thickBot="1">
      <c r="B239" s="122" t="s">
        <v>40</v>
      </c>
      <c r="C239" s="140"/>
      <c r="D239" s="132"/>
      <c r="E239" s="132"/>
      <c r="F239" s="132"/>
      <c r="G239" s="132"/>
      <c r="H239" s="490">
        <f t="shared" ref="H239:M239" si="51">H$5</f>
        <v>2022</v>
      </c>
      <c r="I239" s="354">
        <f t="shared" si="51"/>
        <v>2023</v>
      </c>
      <c r="J239" s="354">
        <f t="shared" si="51"/>
        <v>2024</v>
      </c>
      <c r="K239" s="354">
        <f t="shared" si="51"/>
        <v>2025</v>
      </c>
      <c r="L239" s="354">
        <f t="shared" si="51"/>
        <v>2026</v>
      </c>
      <c r="M239" s="354">
        <f t="shared" si="51"/>
        <v>2027</v>
      </c>
      <c r="N239" s="136"/>
      <c r="O239" s="401"/>
    </row>
    <row r="240" spans="1:19" ht="15" customHeight="1" outlineLevel="1">
      <c r="A240" s="102"/>
      <c r="B240" s="122" t="str">
        <f>$B$6</f>
        <v>Model Running: Base Case Drivers</v>
      </c>
      <c r="C240" s="140"/>
      <c r="D240" s="132"/>
      <c r="E240" s="132"/>
      <c r="F240" s="132"/>
      <c r="G240" s="132"/>
      <c r="H240" s="132"/>
      <c r="I240" s="136"/>
      <c r="J240" s="136"/>
      <c r="K240" s="136"/>
      <c r="L240" s="136"/>
      <c r="M240" s="136"/>
      <c r="N240" s="136"/>
    </row>
    <row r="241" spans="1:19" s="131" customFormat="1" ht="15" customHeight="1" outlineLevel="1" thickBot="1">
      <c r="B241" s="122"/>
      <c r="C241" s="140"/>
      <c r="D241" s="132"/>
      <c r="E241" s="132"/>
      <c r="F241" s="132"/>
      <c r="G241" s="132"/>
      <c r="H241" s="132"/>
      <c r="I241" s="136"/>
      <c r="J241" s="136"/>
      <c r="K241" s="136"/>
      <c r="L241" s="136"/>
      <c r="M241" s="136"/>
      <c r="O241" s="377"/>
      <c r="Q241" s="669" t="s">
        <v>277</v>
      </c>
      <c r="R241" s="668" t="s">
        <v>278</v>
      </c>
      <c r="S241" s="671" t="s">
        <v>279</v>
      </c>
    </row>
    <row r="242" spans="1:19" s="131" customFormat="1" ht="15" customHeight="1" outlineLevel="1">
      <c r="B242" s="274" t="s">
        <v>206</v>
      </c>
      <c r="C242" s="140"/>
      <c r="D242" s="132"/>
      <c r="E242" s="132"/>
      <c r="G242" s="252"/>
      <c r="H242" s="126"/>
      <c r="I242" s="489">
        <f>Model!I117</f>
        <v>13061.502962850012</v>
      </c>
      <c r="J242" s="436">
        <f>Model!J117</f>
        <v>12772.844957366317</v>
      </c>
      <c r="K242" s="436">
        <f>Model!K117</f>
        <v>12460.475897114535</v>
      </c>
      <c r="L242" s="436">
        <f>Model!L117</f>
        <v>12060.61117908694</v>
      </c>
      <c r="M242" s="381">
        <f>Model!M117</f>
        <v>11328.887463014515</v>
      </c>
      <c r="N242" s="126"/>
      <c r="O242" s="98"/>
      <c r="Q242" s="701">
        <f>SUM(Model!I242:N242)</f>
        <v>61684.322459432318</v>
      </c>
      <c r="R242" s="700">
        <f>SUM(I242:N242)</f>
        <v>61684.322459432318</v>
      </c>
      <c r="S242" s="806">
        <f>IF(ISBLANK(Model!I242),0,IF(Q242=R242,1,0))</f>
        <v>1</v>
      </c>
    </row>
    <row r="243" spans="1:19" s="131" customFormat="1" ht="15" customHeight="1" outlineLevel="1">
      <c r="B243" s="274" t="s">
        <v>202</v>
      </c>
      <c r="C243" s="140"/>
      <c r="D243" s="132"/>
      <c r="E243" s="132"/>
      <c r="F243" s="132"/>
      <c r="G243" s="132"/>
      <c r="H243" s="132"/>
      <c r="I243" s="488">
        <f>IF(I253&gt;0,1,0)</f>
        <v>1</v>
      </c>
      <c r="J243" s="487">
        <f>IF(J253&gt;0,1,0)</f>
        <v>1</v>
      </c>
      <c r="K243" s="487">
        <f>IF(K253&gt;0,1,0)</f>
        <v>1</v>
      </c>
      <c r="L243" s="487">
        <f>IF(L253&gt;0,1,0)</f>
        <v>1</v>
      </c>
      <c r="M243" s="486">
        <f>IF(M253&gt;0,1,0)</f>
        <v>1</v>
      </c>
      <c r="N243" s="485"/>
      <c r="O243" s="98"/>
    </row>
    <row r="244" spans="1:19" s="131" customFormat="1" ht="15" customHeight="1" outlineLevel="1">
      <c r="B244" s="122"/>
      <c r="C244" s="140"/>
      <c r="D244" s="132"/>
      <c r="E244" s="132"/>
      <c r="F244" s="132"/>
      <c r="G244" s="132"/>
      <c r="H244" s="132"/>
      <c r="I244" s="136"/>
      <c r="J244" s="136"/>
      <c r="K244" s="136"/>
      <c r="L244" s="136"/>
      <c r="M244" s="136"/>
      <c r="O244" s="98"/>
    </row>
    <row r="245" spans="1:19" s="131" customFormat="1" ht="15" customHeight="1" outlineLevel="1">
      <c r="B245" s="468" t="s">
        <v>87</v>
      </c>
      <c r="C245" s="484"/>
      <c r="D245" s="483">
        <f>$C$101</f>
        <v>0.3</v>
      </c>
      <c r="E245" s="132"/>
      <c r="F245" s="132"/>
      <c r="G245" s="132"/>
      <c r="H245" s="132"/>
      <c r="I245" s="136"/>
      <c r="J245" s="136"/>
      <c r="K245" s="136"/>
      <c r="L245" s="136"/>
      <c r="M245" s="136"/>
      <c r="O245" s="98"/>
    </row>
    <row r="246" spans="1:19" ht="15" customHeight="1" outlineLevel="1">
      <c r="A246" s="131"/>
      <c r="B246" s="482" t="s">
        <v>201</v>
      </c>
      <c r="C246" s="240"/>
      <c r="D246" s="481">
        <f>IF(M264=0,0,1)</f>
        <v>0</v>
      </c>
      <c r="E246" s="132"/>
      <c r="F246" s="126"/>
      <c r="G246" s="495"/>
      <c r="H246" s="126"/>
      <c r="I246" s="126"/>
      <c r="J246" s="126"/>
      <c r="K246" s="126"/>
      <c r="L246" s="126"/>
      <c r="O246" s="98"/>
    </row>
    <row r="247" spans="1:19" s="131" customFormat="1" ht="15" customHeight="1" outlineLevel="1">
      <c r="B247" s="122"/>
      <c r="C247" s="140"/>
      <c r="D247" s="480"/>
      <c r="E247" s="132"/>
      <c r="F247" s="132"/>
      <c r="G247" s="132"/>
      <c r="H247" s="132"/>
      <c r="I247" s="136"/>
      <c r="J247" s="136"/>
      <c r="K247" s="136"/>
      <c r="L247" s="136"/>
      <c r="M247" s="136"/>
    </row>
    <row r="248" spans="1:19" s="131" customFormat="1" ht="15" customHeight="1" outlineLevel="1">
      <c r="B248" s="122"/>
      <c r="C248" s="140"/>
      <c r="D248" s="480"/>
      <c r="E248" s="132"/>
      <c r="F248" s="132"/>
      <c r="G248" s="132"/>
      <c r="H248" s="132"/>
      <c r="I248" s="136"/>
      <c r="J248" s="136"/>
      <c r="K248" s="136"/>
      <c r="L248" s="136"/>
      <c r="M248" s="136"/>
    </row>
    <row r="249" spans="1:19" s="131" customFormat="1" ht="15" customHeight="1" outlineLevel="1">
      <c r="B249" s="370" t="s">
        <v>200</v>
      </c>
      <c r="C249" s="140"/>
      <c r="D249" s="132"/>
      <c r="E249" s="132"/>
      <c r="F249" s="132"/>
      <c r="G249" s="132"/>
      <c r="H249" s="132"/>
      <c r="I249" s="136"/>
      <c r="J249" s="136"/>
      <c r="K249" s="136"/>
      <c r="L249" s="136"/>
      <c r="M249" s="136"/>
      <c r="O249" s="377"/>
    </row>
    <row r="250" spans="1:19" s="131" customFormat="1" ht="15" customHeight="1" outlineLevel="1" thickBot="1">
      <c r="B250" s="376" t="s">
        <v>177</v>
      </c>
      <c r="C250" s="140"/>
      <c r="D250" s="132"/>
      <c r="E250" s="132"/>
      <c r="F250" s="132"/>
      <c r="G250" s="132"/>
      <c r="H250" s="126"/>
      <c r="I250" s="126">
        <f>I242</f>
        <v>13061.502962850012</v>
      </c>
      <c r="J250" s="126">
        <f>J242</f>
        <v>12772.844957366317</v>
      </c>
      <c r="K250" s="126">
        <f>K242</f>
        <v>12460.475897114535</v>
      </c>
      <c r="L250" s="126">
        <f>L242</f>
        <v>12060.61117908694</v>
      </c>
      <c r="M250" s="126">
        <f>M242</f>
        <v>11328.887463014515</v>
      </c>
      <c r="N250" s="126"/>
      <c r="O250" s="377"/>
      <c r="Q250" s="662" t="s">
        <v>277</v>
      </c>
      <c r="R250" s="663" t="s">
        <v>278</v>
      </c>
      <c r="S250" s="664" t="s">
        <v>279</v>
      </c>
    </row>
    <row r="251" spans="1:19" s="131" customFormat="1" ht="15" customHeight="1" outlineLevel="1">
      <c r="B251" s="376" t="s">
        <v>199</v>
      </c>
      <c r="C251" s="140"/>
      <c r="D251" s="132"/>
      <c r="E251" s="132"/>
      <c r="F251" s="132"/>
      <c r="G251" s="132"/>
      <c r="H251" s="469"/>
      <c r="I251" s="461">
        <f>Model!I200</f>
        <v>4177.125</v>
      </c>
      <c r="J251" s="461">
        <f>Model!J200</f>
        <v>4408.375</v>
      </c>
      <c r="K251" s="461">
        <f>Model!K200</f>
        <v>4647.125</v>
      </c>
      <c r="L251" s="461">
        <f>Model!L200</f>
        <v>4893.375</v>
      </c>
      <c r="M251" s="461">
        <f>Model!M200</f>
        <v>5146.5</v>
      </c>
      <c r="N251" s="126"/>
      <c r="O251" s="98"/>
      <c r="Q251" s="704">
        <f>SUM(Model!I251:M251)</f>
        <v>23272.5</v>
      </c>
      <c r="R251" s="702">
        <f>SUM(I251:M251)</f>
        <v>23272.5</v>
      </c>
      <c r="S251" s="808">
        <f>IF(ISBLANK(Model!I251),0,IF(Q251=R251,1,0))</f>
        <v>1</v>
      </c>
    </row>
    <row r="252" spans="1:19" s="131" customFormat="1" ht="15" customHeight="1" outlineLevel="1">
      <c r="B252" s="376" t="s">
        <v>198</v>
      </c>
      <c r="C252" s="140"/>
      <c r="D252" s="132"/>
      <c r="E252" s="132"/>
      <c r="F252" s="132"/>
      <c r="G252" s="132"/>
      <c r="H252" s="469"/>
      <c r="I252" s="479">
        <f>Model!I$229</f>
        <v>-6222.9</v>
      </c>
      <c r="J252" s="479">
        <f>Model!J$229</f>
        <v>-5983.2149999999992</v>
      </c>
      <c r="K252" s="479">
        <f>Model!K$229</f>
        <v>-5801.9827500000001</v>
      </c>
      <c r="L252" s="479">
        <f>Model!L$229</f>
        <v>-5670.4353375000001</v>
      </c>
      <c r="M252" s="479">
        <f>Model!M$229</f>
        <v>-5579.2450368749996</v>
      </c>
      <c r="N252" s="126"/>
      <c r="O252" s="98"/>
      <c r="Q252" s="705">
        <f>SUM(Model!I252:N252)</f>
        <v>-29257.778124374996</v>
      </c>
      <c r="R252" s="703">
        <f>SUM(I252:N252)</f>
        <v>-29257.778124374996</v>
      </c>
      <c r="S252" s="809">
        <f>IF(ISBLANK(Model!I252),0,IF(Q252=R252,1,0))</f>
        <v>1</v>
      </c>
    </row>
    <row r="253" spans="1:19" s="131" customFormat="1" ht="15" customHeight="1" outlineLevel="1">
      <c r="B253" s="376" t="s">
        <v>205</v>
      </c>
      <c r="C253" s="140"/>
      <c r="D253" s="132"/>
      <c r="E253" s="132"/>
      <c r="F253" s="132"/>
      <c r="G253" s="132"/>
      <c r="H253" s="126"/>
      <c r="I253" s="126">
        <f>SUM(I250:I252)</f>
        <v>11015.727962850013</v>
      </c>
      <c r="J253" s="126">
        <f>SUM(J250:J252)</f>
        <v>11198.004957366316</v>
      </c>
      <c r="K253" s="126">
        <f>SUM(K250:K252)</f>
        <v>11305.618147114536</v>
      </c>
      <c r="L253" s="126">
        <f>SUM(L250:L252)</f>
        <v>11283.550841586941</v>
      </c>
      <c r="M253" s="126">
        <f>SUM(M250:M252)</f>
        <v>10896.142426139515</v>
      </c>
      <c r="N253" s="126"/>
      <c r="O253" s="377"/>
    </row>
    <row r="254" spans="1:19" s="131" customFormat="1" ht="15" customHeight="1" outlineLevel="1">
      <c r="B254" s="122"/>
      <c r="C254" s="140"/>
      <c r="D254" s="132"/>
      <c r="E254" s="132"/>
      <c r="F254" s="132"/>
      <c r="G254" s="132"/>
      <c r="H254" s="469"/>
      <c r="I254" s="126"/>
      <c r="J254" s="126"/>
      <c r="K254" s="126"/>
      <c r="L254" s="126"/>
      <c r="M254" s="126"/>
      <c r="N254" s="126"/>
      <c r="O254" s="98"/>
    </row>
    <row r="255" spans="1:19" s="131" customFormat="1" ht="15" customHeight="1" outlineLevel="1">
      <c r="B255" s="478" t="s">
        <v>197</v>
      </c>
      <c r="C255" s="140"/>
      <c r="D255" s="132"/>
      <c r="E255" s="132"/>
      <c r="F255" s="132"/>
      <c r="G255" s="132"/>
      <c r="H255" s="469"/>
      <c r="I255" s="126"/>
      <c r="J255" s="126"/>
      <c r="K255" s="126"/>
      <c r="L255" s="126"/>
      <c r="M255" s="126"/>
      <c r="N255" s="126"/>
      <c r="O255" s="98"/>
    </row>
    <row r="256" spans="1:19" s="131" customFormat="1" ht="15" customHeight="1" outlineLevel="1">
      <c r="B256" s="376" t="s">
        <v>205</v>
      </c>
      <c r="C256" s="140"/>
      <c r="D256" s="132"/>
      <c r="E256" s="132"/>
      <c r="F256" s="132"/>
      <c r="G256" s="132"/>
      <c r="H256" s="126"/>
      <c r="I256" s="126">
        <f>I253</f>
        <v>11015.727962850013</v>
      </c>
      <c r="J256" s="126">
        <f>J253</f>
        <v>11198.004957366316</v>
      </c>
      <c r="K256" s="126">
        <f>K253</f>
        <v>11305.618147114536</v>
      </c>
      <c r="L256" s="126">
        <f>L253</f>
        <v>11283.550841586941</v>
      </c>
      <c r="M256" s="126">
        <f>M253</f>
        <v>10896.142426139515</v>
      </c>
      <c r="N256" s="126"/>
      <c r="O256" s="98"/>
    </row>
    <row r="257" spans="2:19" s="131" customFormat="1" ht="15" customHeight="1" outlineLevel="1">
      <c r="B257" s="477" t="s">
        <v>195</v>
      </c>
      <c r="C257" s="140"/>
      <c r="D257" s="132"/>
      <c r="E257" s="132"/>
      <c r="F257" s="132"/>
      <c r="G257" s="132"/>
      <c r="H257" s="469"/>
      <c r="I257" s="389">
        <f>I263</f>
        <v>-11015.727962850013</v>
      </c>
      <c r="J257" s="389">
        <f>J263</f>
        <v>-11198.004957366316</v>
      </c>
      <c r="K257" s="389">
        <f>K263</f>
        <v>-1914.2670797836709</v>
      </c>
      <c r="L257" s="389">
        <f>L263</f>
        <v>0</v>
      </c>
      <c r="M257" s="389">
        <f>M263</f>
        <v>0</v>
      </c>
      <c r="N257" s="126"/>
      <c r="O257" s="98"/>
    </row>
    <row r="258" spans="2:19" s="131" customFormat="1" ht="15" customHeight="1" outlineLevel="1">
      <c r="B258" s="376" t="s">
        <v>194</v>
      </c>
      <c r="C258" s="140"/>
      <c r="D258" s="132"/>
      <c r="E258" s="132"/>
      <c r="F258" s="132"/>
      <c r="G258" s="132"/>
      <c r="H258" s="469"/>
      <c r="I258" s="126">
        <f xml:space="preserve"> MAX(SUM(I256:I257),0)</f>
        <v>0</v>
      </c>
      <c r="J258" s="126">
        <f xml:space="preserve"> MAX(SUM(J256:J257),0)</f>
        <v>0</v>
      </c>
      <c r="K258" s="126">
        <f xml:space="preserve"> MAX(SUM(K256:K257),0)</f>
        <v>9391.3510673308647</v>
      </c>
      <c r="L258" s="126">
        <f xml:space="preserve"> MAX(SUM(L256:L257),0)</f>
        <v>11283.550841586941</v>
      </c>
      <c r="M258" s="126">
        <f xml:space="preserve"> MAX(SUM(M256:M257),0)</f>
        <v>10896.142426139515</v>
      </c>
      <c r="N258" s="126"/>
      <c r="O258" s="377"/>
    </row>
    <row r="259" spans="2:19" s="131" customFormat="1" ht="15" customHeight="1" outlineLevel="1">
      <c r="B259" s="122"/>
      <c r="C259" s="140"/>
      <c r="D259" s="132"/>
      <c r="E259" s="132"/>
      <c r="F259" s="132"/>
      <c r="G259" s="132"/>
      <c r="H259" s="469"/>
      <c r="I259" s="469"/>
      <c r="J259" s="469"/>
      <c r="K259" s="469"/>
      <c r="L259" s="469"/>
      <c r="M259" s="469"/>
      <c r="N259" s="469"/>
      <c r="O259" s="377"/>
    </row>
    <row r="260" spans="2:19" s="131" customFormat="1" ht="15" customHeight="1" outlineLevel="1">
      <c r="B260" s="478" t="s">
        <v>193</v>
      </c>
      <c r="C260" s="140"/>
      <c r="D260" s="132"/>
      <c r="E260" s="132"/>
      <c r="F260" s="132"/>
      <c r="G260" s="132"/>
      <c r="H260" s="469"/>
      <c r="I260" s="469"/>
      <c r="J260" s="469"/>
      <c r="K260" s="469"/>
      <c r="L260" s="469"/>
      <c r="M260" s="469"/>
      <c r="N260" s="469"/>
      <c r="O260" s="377"/>
    </row>
    <row r="261" spans="2:19" s="131" customFormat="1" ht="15" customHeight="1" outlineLevel="1">
      <c r="B261" s="376" t="s">
        <v>192</v>
      </c>
      <c r="C261" s="140"/>
      <c r="D261" s="132"/>
      <c r="E261" s="132"/>
      <c r="F261" s="132"/>
      <c r="G261" s="132"/>
      <c r="H261" s="469"/>
      <c r="I261" s="126">
        <f>H264</f>
        <v>24128</v>
      </c>
      <c r="J261" s="126">
        <f>I264</f>
        <v>13112.272037149987</v>
      </c>
      <c r="K261" s="126">
        <f>J264</f>
        <v>1914.2670797836709</v>
      </c>
      <c r="L261" s="126">
        <f>K264</f>
        <v>0</v>
      </c>
      <c r="M261" s="126">
        <f>L264</f>
        <v>0</v>
      </c>
      <c r="N261" s="126"/>
      <c r="O261" s="377"/>
    </row>
    <row r="262" spans="2:19" s="131" customFormat="1" ht="15" customHeight="1" outlineLevel="1">
      <c r="B262" s="376" t="s">
        <v>191</v>
      </c>
      <c r="C262" s="140"/>
      <c r="D262" s="132"/>
      <c r="E262" s="132"/>
      <c r="F262" s="132"/>
      <c r="G262" s="132"/>
      <c r="H262" s="469"/>
      <c r="I262" s="126">
        <f>-MIN(I250,0)</f>
        <v>0</v>
      </c>
      <c r="J262" s="126">
        <f>-MIN(J250,0)</f>
        <v>0</v>
      </c>
      <c r="K262" s="126">
        <f>-MIN(K250,0)</f>
        <v>0</v>
      </c>
      <c r="L262" s="126">
        <f>-MIN(L250,0)</f>
        <v>0</v>
      </c>
      <c r="M262" s="126">
        <f>-MIN(M250,0)</f>
        <v>0</v>
      </c>
      <c r="N262" s="126"/>
      <c r="O262" s="377"/>
    </row>
    <row r="263" spans="2:19" s="131" customFormat="1" ht="15" customHeight="1" outlineLevel="1">
      <c r="B263" s="477" t="s">
        <v>190</v>
      </c>
      <c r="C263" s="140"/>
      <c r="D263" s="132"/>
      <c r="E263" s="132"/>
      <c r="F263" s="132"/>
      <c r="G263" s="132"/>
      <c r="H263" s="476"/>
      <c r="I263" s="389">
        <f>-MIN(I261,I256)*I243</f>
        <v>-11015.727962850013</v>
      </c>
      <c r="J263" s="389">
        <f>-MIN(J261,J256)*J243</f>
        <v>-11198.004957366316</v>
      </c>
      <c r="K263" s="389">
        <f>-MIN(K261,K256)*K243</f>
        <v>-1914.2670797836709</v>
      </c>
      <c r="L263" s="389">
        <f>-MIN(L261,L256)*L243</f>
        <v>0</v>
      </c>
      <c r="M263" s="389">
        <f>-MIN(M261,M256)*M243</f>
        <v>0</v>
      </c>
      <c r="N263" s="126"/>
      <c r="O263" s="377"/>
    </row>
    <row r="264" spans="2:19" s="131" customFormat="1" ht="15" customHeight="1" outlineLevel="1">
      <c r="B264" s="376" t="s">
        <v>189</v>
      </c>
      <c r="C264" s="140"/>
      <c r="D264" s="132"/>
      <c r="E264" s="132"/>
      <c r="F264" s="132"/>
      <c r="G264" s="132"/>
      <c r="H264" s="494">
        <f>Inputs!L97</f>
        <v>24128</v>
      </c>
      <c r="I264" s="126">
        <f>SUM(I261:I263)</f>
        <v>13112.272037149987</v>
      </c>
      <c r="J264" s="126">
        <f>SUM(J261:J263)</f>
        <v>1914.2670797836709</v>
      </c>
      <c r="K264" s="126">
        <f>SUM(K261:K263)</f>
        <v>0</v>
      </c>
      <c r="L264" s="126">
        <f>SUM(L261:L263)</f>
        <v>0</v>
      </c>
      <c r="M264" s="126">
        <f>SUM(M261:M263)</f>
        <v>0</v>
      </c>
      <c r="N264" s="126"/>
      <c r="O264" s="98"/>
    </row>
    <row r="265" spans="2:19" s="131" customFormat="1" ht="15" customHeight="1" outlineLevel="1">
      <c r="B265" s="122"/>
      <c r="C265" s="140"/>
      <c r="D265" s="132"/>
      <c r="E265" s="132"/>
      <c r="F265" s="132"/>
      <c r="G265" s="132"/>
      <c r="H265" s="469"/>
      <c r="I265" s="469"/>
      <c r="J265" s="469"/>
      <c r="K265" s="469"/>
      <c r="L265" s="469"/>
      <c r="M265" s="469"/>
      <c r="N265" s="469"/>
      <c r="O265" s="377"/>
    </row>
    <row r="266" spans="2:19" s="131" customFormat="1" ht="15" customHeight="1" outlineLevel="1">
      <c r="B266" s="475"/>
      <c r="C266" s="474"/>
      <c r="D266" s="473"/>
      <c r="E266" s="473"/>
      <c r="F266" s="473"/>
      <c r="G266" s="473"/>
      <c r="H266" s="251"/>
      <c r="I266" s="251"/>
      <c r="J266" s="251"/>
      <c r="K266" s="251"/>
      <c r="L266" s="251"/>
      <c r="M266" s="251"/>
      <c r="N266" s="295"/>
      <c r="O266" s="377"/>
    </row>
    <row r="267" spans="2:19" s="131" customFormat="1" ht="15" customHeight="1" outlineLevel="1">
      <c r="B267" s="122"/>
      <c r="C267" s="140"/>
      <c r="D267" s="132"/>
      <c r="E267" s="132"/>
      <c r="F267" s="132"/>
      <c r="G267" s="132"/>
      <c r="H267" s="469"/>
      <c r="I267" s="469"/>
      <c r="J267" s="469"/>
      <c r="K267" s="469"/>
      <c r="L267" s="469"/>
      <c r="M267" s="469"/>
      <c r="N267" s="469"/>
      <c r="O267" s="377"/>
    </row>
    <row r="268" spans="2:19" s="131" customFormat="1" ht="15" customHeight="1" outlineLevel="1">
      <c r="B268" s="370" t="s">
        <v>188</v>
      </c>
      <c r="C268" s="140"/>
      <c r="D268" s="132"/>
      <c r="E268" s="132"/>
      <c r="F268" s="132"/>
      <c r="G268" s="132"/>
      <c r="H268" s="469"/>
      <c r="I268" s="469"/>
      <c r="J268" s="469"/>
      <c r="K268" s="469"/>
      <c r="L268" s="469"/>
      <c r="M268" s="469"/>
      <c r="N268" s="469"/>
      <c r="O268" s="377"/>
    </row>
    <row r="269" spans="2:19" s="131" customFormat="1" ht="15" customHeight="1" outlineLevel="1">
      <c r="B269" s="376" t="s">
        <v>174</v>
      </c>
      <c r="C269" s="140"/>
      <c r="D269" s="132"/>
      <c r="E269" s="132"/>
      <c r="F269" s="252"/>
      <c r="G269" s="252"/>
      <c r="H269" s="126"/>
      <c r="I269" s="126">
        <f>$D$245*I258</f>
        <v>0</v>
      </c>
      <c r="J269" s="126">
        <f>$D$245*J258</f>
        <v>0</v>
      </c>
      <c r="K269" s="126">
        <f>$D$245*K258</f>
        <v>2817.4053201992592</v>
      </c>
      <c r="L269" s="126">
        <f>$D$245*L258</f>
        <v>3385.0652524760822</v>
      </c>
      <c r="M269" s="126">
        <f>$D$245*M258</f>
        <v>3268.8427278418544</v>
      </c>
      <c r="N269" s="126"/>
    </row>
    <row r="270" spans="2:19" s="131" customFormat="1" ht="15" customHeight="1" outlineLevel="1">
      <c r="B270" s="376" t="s">
        <v>187</v>
      </c>
      <c r="C270" s="140"/>
      <c r="D270" s="132"/>
      <c r="E270" s="132"/>
      <c r="F270" s="132"/>
      <c r="G270" s="132"/>
      <c r="H270" s="469"/>
      <c r="I270" s="126">
        <f>I271-I269</f>
        <v>3918.4508888550035</v>
      </c>
      <c r="J270" s="126">
        <f>J271-J269</f>
        <v>3831.8534872098949</v>
      </c>
      <c r="K270" s="126">
        <f>K271-K269</f>
        <v>920.73744893510093</v>
      </c>
      <c r="L270" s="126">
        <f>L271-L269</f>
        <v>233.11810124999965</v>
      </c>
      <c r="M270" s="126">
        <f>M271-M269</f>
        <v>129.82351106250007</v>
      </c>
      <c r="N270" s="126"/>
    </row>
    <row r="271" spans="2:19" s="131" customFormat="1" ht="15" customHeight="1" outlineLevel="1" thickBot="1">
      <c r="B271" s="376" t="s">
        <v>186</v>
      </c>
      <c r="C271" s="140"/>
      <c r="D271" s="132"/>
      <c r="E271" s="132"/>
      <c r="F271" s="132"/>
      <c r="G271" s="132"/>
      <c r="H271" s="469"/>
      <c r="I271" s="472">
        <f>MAX($D$245*I250,0)</f>
        <v>3918.4508888550035</v>
      </c>
      <c r="J271" s="472">
        <f>MAX($D$245*J250,0)</f>
        <v>3831.8534872098949</v>
      </c>
      <c r="K271" s="472">
        <f>MAX($D$245*K250,0)</f>
        <v>3738.1427691343602</v>
      </c>
      <c r="L271" s="472">
        <f>MAX($D$245*L250,0)</f>
        <v>3618.1833537260818</v>
      </c>
      <c r="M271" s="472">
        <f>MAX($D$245*M250,0)</f>
        <v>3398.6662389043545</v>
      </c>
      <c r="N271" s="126"/>
      <c r="S271" s="716" t="str">
        <f>IF(SUM(S241:S252)=3,"COMPLETE","")</f>
        <v>COMPLETE</v>
      </c>
    </row>
    <row r="272" spans="2:19" s="131" customFormat="1" ht="15" customHeight="1" outlineLevel="1">
      <c r="B272" s="122"/>
      <c r="C272" s="140"/>
      <c r="D272" s="132"/>
      <c r="E272" s="132"/>
      <c r="F272" s="132"/>
      <c r="G272" s="132"/>
      <c r="H272" s="132"/>
      <c r="I272" s="136"/>
      <c r="J272" s="136"/>
      <c r="K272" s="136"/>
      <c r="L272" s="136"/>
      <c r="M272" s="136"/>
      <c r="O272" s="98"/>
    </row>
    <row r="273" spans="1:19" s="102" customFormat="1" ht="15" customHeight="1" outlineLevel="1">
      <c r="B273" s="493"/>
      <c r="C273" s="493"/>
      <c r="D273" s="230"/>
      <c r="E273" s="230"/>
      <c r="F273" s="377"/>
      <c r="G273" s="377"/>
      <c r="H273" s="377"/>
      <c r="I273" s="492"/>
      <c r="J273" s="492"/>
      <c r="K273" s="492"/>
      <c r="L273" s="492"/>
      <c r="M273" s="491"/>
      <c r="N273" s="491"/>
      <c r="O273" s="37"/>
    </row>
    <row r="274" spans="1:19" s="131" customFormat="1" ht="15" customHeight="1" outlineLevel="1">
      <c r="C274" s="140"/>
      <c r="D274" s="132"/>
      <c r="E274" s="132"/>
      <c r="F274" s="132"/>
      <c r="G274" s="132"/>
      <c r="H274" s="132"/>
      <c r="I274" s="136"/>
      <c r="J274" s="136"/>
      <c r="K274" s="136"/>
      <c r="L274" s="136"/>
      <c r="M274" s="38" t="s">
        <v>185</v>
      </c>
      <c r="O274" s="98"/>
    </row>
    <row r="275" spans="1:19" s="131" customFormat="1" ht="15" customHeight="1" outlineLevel="1">
      <c r="C275" s="140"/>
      <c r="D275" s="132"/>
      <c r="E275" s="132"/>
      <c r="F275" s="132"/>
      <c r="G275" s="132"/>
      <c r="H275" s="132"/>
      <c r="I275" s="136"/>
      <c r="J275" s="136"/>
      <c r="K275" s="136"/>
      <c r="L275" s="136"/>
      <c r="M275" s="358" t="s">
        <v>184</v>
      </c>
      <c r="O275" s="98"/>
    </row>
    <row r="276" spans="1:19" s="131" customFormat="1" ht="15" customHeight="1" outlineLevel="1">
      <c r="C276" s="140"/>
      <c r="D276" s="132"/>
      <c r="E276" s="132"/>
      <c r="F276" s="132"/>
      <c r="G276" s="132"/>
      <c r="H276" s="132"/>
      <c r="I276" s="136"/>
      <c r="J276" s="136"/>
      <c r="K276" s="136"/>
      <c r="L276" s="136"/>
      <c r="M276" s="471"/>
      <c r="O276" s="98"/>
    </row>
    <row r="277" spans="1:19" s="131" customFormat="1" ht="15" customHeight="1" outlineLevel="1">
      <c r="B277" s="357"/>
      <c r="C277" s="240"/>
      <c r="D277" s="356"/>
      <c r="E277" s="356"/>
      <c r="F277" s="356"/>
      <c r="G277" s="356"/>
      <c r="H277" s="356"/>
      <c r="I277" s="355"/>
      <c r="J277" s="355"/>
      <c r="K277" s="355"/>
      <c r="L277" s="355"/>
      <c r="M277" s="355"/>
      <c r="N277" s="355"/>
      <c r="O277" s="377"/>
    </row>
    <row r="278" spans="1:19" s="131" customFormat="1" ht="15" customHeight="1">
      <c r="B278" s="122"/>
      <c r="C278" s="140"/>
      <c r="D278" s="132"/>
      <c r="E278" s="132"/>
      <c r="F278" s="132"/>
      <c r="G278" s="132"/>
      <c r="H278" s="132"/>
      <c r="I278" s="136"/>
      <c r="J278" s="136"/>
      <c r="K278" s="136"/>
      <c r="L278" s="136"/>
      <c r="M278" s="136"/>
      <c r="N278" s="136"/>
      <c r="O278" s="377"/>
    </row>
    <row r="279" spans="1:19" s="131" customFormat="1" ht="15" customHeight="1">
      <c r="A279" s="131" t="s">
        <v>0</v>
      </c>
      <c r="B279" s="144" t="s">
        <v>204</v>
      </c>
      <c r="C279" s="143"/>
      <c r="D279" s="429"/>
      <c r="E279" s="429"/>
      <c r="F279" s="141"/>
      <c r="G279" s="141"/>
      <c r="H279" s="141"/>
      <c r="I279" s="428"/>
      <c r="J279" s="427"/>
      <c r="K279" s="427"/>
      <c r="L279" s="427"/>
      <c r="M279" s="427"/>
      <c r="N279" s="447"/>
      <c r="O279" s="377"/>
    </row>
    <row r="280" spans="1:19" s="131" customFormat="1" ht="15" customHeight="1" outlineLevel="1">
      <c r="B280" s="304"/>
      <c r="C280" s="140"/>
      <c r="D280" s="139"/>
      <c r="E280" s="139"/>
      <c r="F280" s="138"/>
      <c r="G280" s="138"/>
      <c r="H280" s="138"/>
      <c r="I280" s="138"/>
      <c r="J280" s="138"/>
      <c r="K280" s="138"/>
      <c r="L280" s="138"/>
      <c r="M280" s="138"/>
      <c r="O280" s="401"/>
    </row>
    <row r="281" spans="1:19" s="131" customFormat="1" ht="15" customHeight="1" outlineLevel="1" thickBot="1">
      <c r="B281" s="122" t="s">
        <v>40</v>
      </c>
      <c r="C281" s="140"/>
      <c r="D281" s="132"/>
      <c r="E281" s="132"/>
      <c r="F281" s="132"/>
      <c r="G281" s="132"/>
      <c r="H281" s="490">
        <f t="shared" ref="H281:M281" si="52">H$5</f>
        <v>2022</v>
      </c>
      <c r="I281" s="354">
        <f t="shared" si="52"/>
        <v>2023</v>
      </c>
      <c r="J281" s="354">
        <f t="shared" si="52"/>
        <v>2024</v>
      </c>
      <c r="K281" s="354">
        <f t="shared" si="52"/>
        <v>2025</v>
      </c>
      <c r="L281" s="354">
        <f t="shared" si="52"/>
        <v>2026</v>
      </c>
      <c r="M281" s="354">
        <f t="shared" si="52"/>
        <v>2027</v>
      </c>
      <c r="N281" s="136"/>
      <c r="O281" s="377"/>
    </row>
    <row r="282" spans="1:19" ht="15" customHeight="1" outlineLevel="1">
      <c r="A282" s="102"/>
      <c r="B282" s="122" t="str">
        <f>$B$6</f>
        <v>Model Running: Base Case Drivers</v>
      </c>
      <c r="C282" s="140"/>
      <c r="D282" s="132"/>
      <c r="E282" s="132"/>
      <c r="F282" s="132"/>
      <c r="G282" s="132"/>
      <c r="H282" s="132"/>
      <c r="I282" s="136"/>
      <c r="J282" s="136"/>
      <c r="K282" s="136"/>
      <c r="L282" s="136"/>
      <c r="M282" s="136"/>
      <c r="N282" s="136"/>
    </row>
    <row r="283" spans="1:19" s="131" customFormat="1" ht="15" customHeight="1" outlineLevel="1" thickBot="1">
      <c r="B283" s="122"/>
      <c r="C283" s="140"/>
      <c r="D283" s="132"/>
      <c r="E283" s="132"/>
      <c r="F283" s="132"/>
      <c r="G283" s="132"/>
      <c r="H283" s="132"/>
      <c r="I283" s="136"/>
      <c r="J283" s="136"/>
      <c r="K283" s="136"/>
      <c r="L283" s="136"/>
      <c r="M283" s="136"/>
      <c r="O283" s="377"/>
      <c r="Q283" s="669" t="s">
        <v>277</v>
      </c>
      <c r="R283" s="668" t="s">
        <v>278</v>
      </c>
      <c r="S283" s="671" t="s">
        <v>279</v>
      </c>
    </row>
    <row r="284" spans="1:19" s="131" customFormat="1" ht="15" customHeight="1" outlineLevel="1">
      <c r="B284" s="274" t="s">
        <v>203</v>
      </c>
      <c r="C284" s="140"/>
      <c r="D284" s="132"/>
      <c r="E284" s="132"/>
      <c r="F284" s="252"/>
      <c r="G284" s="252"/>
      <c r="H284" s="126"/>
      <c r="I284" s="489">
        <f>Model!I114</f>
        <v>15581.502962850012</v>
      </c>
      <c r="J284" s="436">
        <f>Model!J114</f>
        <v>15292.844957366317</v>
      </c>
      <c r="K284" s="436">
        <f>Model!K114</f>
        <v>14980.475897114535</v>
      </c>
      <c r="L284" s="436">
        <f>Model!L114</f>
        <v>14580.61117908694</v>
      </c>
      <c r="M284" s="381">
        <f>Model!M114</f>
        <v>13848.887463014515</v>
      </c>
      <c r="N284" s="126"/>
      <c r="O284" s="98"/>
      <c r="Q284" s="701">
        <f>SUM(Model!I284:N284)</f>
        <v>74284.322459432326</v>
      </c>
      <c r="R284" s="700">
        <f>SUM(I284:N284)</f>
        <v>74284.322459432326</v>
      </c>
      <c r="S284" s="806">
        <f>IF(ISBLANK(Model!I284),0,IF(Q284=R284,1,0))</f>
        <v>1</v>
      </c>
    </row>
    <row r="285" spans="1:19" s="131" customFormat="1" ht="15" customHeight="1" outlineLevel="1">
      <c r="B285" s="274" t="s">
        <v>202</v>
      </c>
      <c r="C285" s="140"/>
      <c r="D285" s="132"/>
      <c r="E285" s="132"/>
      <c r="F285" s="132"/>
      <c r="G285" s="132"/>
      <c r="H285" s="132"/>
      <c r="I285" s="488">
        <f>IF(I295&gt;0,1,0)</f>
        <v>1</v>
      </c>
      <c r="J285" s="487">
        <f>IF(J295&gt;0,1,0)</f>
        <v>1</v>
      </c>
      <c r="K285" s="487">
        <f>IF(K295&gt;0,1,0)</f>
        <v>1</v>
      </c>
      <c r="L285" s="487">
        <f>IF(L295&gt;0,1,0)</f>
        <v>1</v>
      </c>
      <c r="M285" s="486">
        <f>IF(M295&gt;0,1,0)</f>
        <v>1</v>
      </c>
      <c r="N285" s="485"/>
      <c r="O285" s="98"/>
    </row>
    <row r="286" spans="1:19" s="131" customFormat="1" ht="15" customHeight="1" outlineLevel="1">
      <c r="B286" s="122"/>
      <c r="C286" s="140"/>
      <c r="D286" s="132"/>
      <c r="E286" s="132"/>
      <c r="F286" s="132"/>
      <c r="G286" s="132"/>
      <c r="H286" s="132"/>
      <c r="I286" s="136"/>
      <c r="J286" s="136"/>
      <c r="K286" s="136"/>
      <c r="L286" s="136"/>
      <c r="M286" s="136"/>
      <c r="O286" s="98"/>
    </row>
    <row r="287" spans="1:19" s="131" customFormat="1" ht="15" customHeight="1" outlineLevel="1">
      <c r="B287" s="468" t="s">
        <v>87</v>
      </c>
      <c r="C287" s="484"/>
      <c r="D287" s="483">
        <f>$C$101</f>
        <v>0.3</v>
      </c>
      <c r="E287" s="132"/>
      <c r="F287" s="132"/>
      <c r="G287" s="132"/>
      <c r="H287" s="132"/>
      <c r="I287" s="136"/>
      <c r="J287" s="136"/>
      <c r="K287" s="136"/>
      <c r="L287" s="136"/>
      <c r="M287" s="136"/>
      <c r="O287" s="98"/>
    </row>
    <row r="288" spans="1:19" ht="15" customHeight="1" outlineLevel="1">
      <c r="A288" s="131"/>
      <c r="B288" s="482" t="s">
        <v>201</v>
      </c>
      <c r="C288" s="240"/>
      <c r="D288" s="481">
        <f>IF(M306=0,0,1)</f>
        <v>0</v>
      </c>
      <c r="E288" s="132"/>
      <c r="F288" s="126"/>
      <c r="G288" s="126"/>
      <c r="H288" s="126"/>
      <c r="I288" s="126"/>
      <c r="J288" s="126"/>
      <c r="K288" s="126"/>
      <c r="L288" s="126"/>
      <c r="O288" s="98"/>
    </row>
    <row r="289" spans="2:19" s="131" customFormat="1" ht="15" customHeight="1" outlineLevel="1">
      <c r="B289" s="122"/>
      <c r="C289" s="140"/>
      <c r="D289" s="480"/>
      <c r="E289" s="132"/>
      <c r="F289" s="132"/>
      <c r="G289" s="132"/>
      <c r="H289" s="132"/>
      <c r="I289" s="136"/>
      <c r="J289" s="136"/>
      <c r="K289" s="136"/>
      <c r="L289" s="136"/>
      <c r="M289" s="136"/>
    </row>
    <row r="290" spans="2:19" s="131" customFormat="1" ht="15" customHeight="1" outlineLevel="1">
      <c r="B290" s="122"/>
      <c r="C290" s="140"/>
      <c r="D290" s="480"/>
      <c r="E290" s="132"/>
      <c r="F290" s="132"/>
      <c r="G290" s="132"/>
      <c r="H290" s="132"/>
      <c r="I290" s="136"/>
      <c r="J290" s="136"/>
      <c r="K290" s="136"/>
      <c r="L290" s="136"/>
      <c r="M290" s="136"/>
    </row>
    <row r="291" spans="2:19" s="131" customFormat="1" ht="15" customHeight="1" outlineLevel="1">
      <c r="B291" s="370" t="s">
        <v>200</v>
      </c>
      <c r="C291" s="140"/>
      <c r="D291" s="132"/>
      <c r="E291" s="132"/>
      <c r="F291" s="132"/>
      <c r="G291" s="132"/>
      <c r="H291" s="469"/>
      <c r="I291" s="469"/>
      <c r="J291" s="469"/>
      <c r="K291" s="469"/>
      <c r="L291" s="469"/>
      <c r="M291" s="469"/>
      <c r="O291" s="377"/>
    </row>
    <row r="292" spans="2:19" s="131" customFormat="1" ht="15" customHeight="1" outlineLevel="1" thickBot="1">
      <c r="B292" s="376" t="s">
        <v>179</v>
      </c>
      <c r="C292" s="140"/>
      <c r="D292" s="132"/>
      <c r="E292" s="132"/>
      <c r="F292" s="252"/>
      <c r="G292" s="252"/>
      <c r="H292" s="126"/>
      <c r="I292" s="126">
        <f>I284</f>
        <v>15581.502962850012</v>
      </c>
      <c r="J292" s="126">
        <f>J284</f>
        <v>15292.844957366317</v>
      </c>
      <c r="K292" s="126">
        <f>K284</f>
        <v>14980.475897114535</v>
      </c>
      <c r="L292" s="126">
        <f>L284</f>
        <v>14580.61117908694</v>
      </c>
      <c r="M292" s="126">
        <f>M284</f>
        <v>13848.887463014515</v>
      </c>
      <c r="N292" s="126"/>
      <c r="O292" s="377"/>
      <c r="Q292" s="662" t="s">
        <v>277</v>
      </c>
      <c r="R292" s="663" t="s">
        <v>278</v>
      </c>
      <c r="S292" s="664" t="s">
        <v>279</v>
      </c>
    </row>
    <row r="293" spans="2:19" s="131" customFormat="1" ht="15" customHeight="1" outlineLevel="1">
      <c r="B293" s="376" t="s">
        <v>199</v>
      </c>
      <c r="C293" s="140"/>
      <c r="D293" s="132"/>
      <c r="E293" s="132"/>
      <c r="F293" s="132"/>
      <c r="G293" s="132"/>
      <c r="H293" s="469"/>
      <c r="I293" s="461">
        <f>Model!I200</f>
        <v>4177.125</v>
      </c>
      <c r="J293" s="461">
        <f>Model!J200</f>
        <v>4408.375</v>
      </c>
      <c r="K293" s="461">
        <f>Model!K200</f>
        <v>4647.125</v>
      </c>
      <c r="L293" s="461">
        <f>Model!L200</f>
        <v>4893.375</v>
      </c>
      <c r="M293" s="461">
        <f>Model!M200</f>
        <v>5146.5</v>
      </c>
      <c r="N293" s="126"/>
      <c r="O293" s="98"/>
      <c r="Q293" s="704">
        <f>SUM(Model!I293:M293)</f>
        <v>23272.5</v>
      </c>
      <c r="R293" s="702">
        <f>SUM(I293:M293)</f>
        <v>23272.5</v>
      </c>
      <c r="S293" s="808">
        <f>IF(ISBLANK(Model!I293),0,IF(Q293=R293,1,0))</f>
        <v>1</v>
      </c>
    </row>
    <row r="294" spans="2:19" s="131" customFormat="1" ht="15" customHeight="1" outlineLevel="1">
      <c r="B294" s="376" t="s">
        <v>198</v>
      </c>
      <c r="C294" s="140"/>
      <c r="D294" s="132"/>
      <c r="E294" s="132"/>
      <c r="F294" s="132"/>
      <c r="G294" s="132"/>
      <c r="H294" s="469"/>
      <c r="I294" s="479">
        <f>Model!I$229</f>
        <v>-6222.9</v>
      </c>
      <c r="J294" s="479">
        <f>Model!J$229</f>
        <v>-5983.2149999999992</v>
      </c>
      <c r="K294" s="479">
        <f>Model!K$229</f>
        <v>-5801.9827500000001</v>
      </c>
      <c r="L294" s="479">
        <f>Model!L$229</f>
        <v>-5670.4353375000001</v>
      </c>
      <c r="M294" s="479">
        <f>Model!M$229</f>
        <v>-5579.2450368749996</v>
      </c>
      <c r="N294" s="126"/>
      <c r="O294" s="98"/>
      <c r="Q294" s="705">
        <f>SUM(Model!I294:N294)</f>
        <v>-29257.778124374996</v>
      </c>
      <c r="R294" s="703">
        <f>SUM(I294:N294)</f>
        <v>-29257.778124374996</v>
      </c>
      <c r="S294" s="809">
        <f>IF(ISBLANK(Model!I294),0,IF(Q294=R294,1,0))</f>
        <v>1</v>
      </c>
    </row>
    <row r="295" spans="2:19" s="131" customFormat="1" ht="15" customHeight="1" outlineLevel="1">
      <c r="B295" s="376" t="s">
        <v>196</v>
      </c>
      <c r="C295" s="140"/>
      <c r="D295" s="132"/>
      <c r="E295" s="132"/>
      <c r="F295" s="252"/>
      <c r="G295" s="252"/>
      <c r="H295" s="126"/>
      <c r="I295" s="126">
        <f>SUM(I292:I294)</f>
        <v>13535.727962850013</v>
      </c>
      <c r="J295" s="126">
        <f>SUM(J292:J294)</f>
        <v>13718.004957366316</v>
      </c>
      <c r="K295" s="126">
        <f>SUM(K292:K294)</f>
        <v>13825.618147114536</v>
      </c>
      <c r="L295" s="126">
        <f>SUM(L292:L294)</f>
        <v>13803.550841586941</v>
      </c>
      <c r="M295" s="126">
        <f>SUM(M292:M294)</f>
        <v>13416.142426139515</v>
      </c>
      <c r="N295" s="126"/>
      <c r="O295" s="377"/>
    </row>
    <row r="296" spans="2:19" s="131" customFormat="1" ht="15" customHeight="1" outlineLevel="1">
      <c r="B296" s="122"/>
      <c r="C296" s="140"/>
      <c r="D296" s="132"/>
      <c r="E296" s="132"/>
      <c r="F296" s="132"/>
      <c r="G296" s="132"/>
      <c r="H296" s="469"/>
      <c r="I296" s="126"/>
      <c r="J296" s="126"/>
      <c r="K296" s="126"/>
      <c r="L296" s="126"/>
      <c r="M296" s="126"/>
      <c r="N296" s="126"/>
      <c r="O296" s="98"/>
    </row>
    <row r="297" spans="2:19" s="131" customFormat="1" ht="15" customHeight="1" outlineLevel="1">
      <c r="B297" s="478" t="s">
        <v>197</v>
      </c>
      <c r="C297" s="140"/>
      <c r="D297" s="132"/>
      <c r="E297" s="132"/>
      <c r="F297" s="132"/>
      <c r="G297" s="132"/>
      <c r="H297" s="469"/>
      <c r="I297" s="126"/>
      <c r="J297" s="126"/>
      <c r="K297" s="126"/>
      <c r="L297" s="126"/>
      <c r="M297" s="126"/>
      <c r="N297" s="126"/>
      <c r="O297" s="98"/>
    </row>
    <row r="298" spans="2:19" s="131" customFormat="1" ht="15" customHeight="1" outlineLevel="1">
      <c r="B298" s="376" t="s">
        <v>196</v>
      </c>
      <c r="C298" s="140"/>
      <c r="D298" s="132"/>
      <c r="E298" s="132"/>
      <c r="F298" s="252"/>
      <c r="G298" s="252"/>
      <c r="H298" s="126"/>
      <c r="I298" s="126">
        <f>I295</f>
        <v>13535.727962850013</v>
      </c>
      <c r="J298" s="126">
        <f>J295</f>
        <v>13718.004957366316</v>
      </c>
      <c r="K298" s="126">
        <f>K295</f>
        <v>13825.618147114536</v>
      </c>
      <c r="L298" s="126">
        <f>L295</f>
        <v>13803.550841586941</v>
      </c>
      <c r="M298" s="126">
        <f>M295</f>
        <v>13416.142426139515</v>
      </c>
      <c r="N298" s="126"/>
      <c r="O298" s="98"/>
    </row>
    <row r="299" spans="2:19" s="131" customFormat="1" ht="15" customHeight="1" outlineLevel="1">
      <c r="B299" s="477" t="s">
        <v>195</v>
      </c>
      <c r="C299" s="140"/>
      <c r="D299" s="132"/>
      <c r="E299" s="132"/>
      <c r="F299" s="132"/>
      <c r="G299" s="132"/>
      <c r="H299" s="469"/>
      <c r="I299" s="389">
        <f>I305</f>
        <v>-13535.727962850013</v>
      </c>
      <c r="J299" s="389">
        <f>J305</f>
        <v>-10592.272037149987</v>
      </c>
      <c r="K299" s="389">
        <f>K305</f>
        <v>0</v>
      </c>
      <c r="L299" s="389">
        <f>L305</f>
        <v>0</v>
      </c>
      <c r="M299" s="389">
        <f>M305</f>
        <v>0</v>
      </c>
      <c r="N299" s="126"/>
      <c r="O299" s="98"/>
    </row>
    <row r="300" spans="2:19" s="131" customFormat="1" ht="15" customHeight="1" outlineLevel="1">
      <c r="B300" s="376" t="s">
        <v>194</v>
      </c>
      <c r="C300" s="140"/>
      <c r="D300" s="132"/>
      <c r="E300" s="132"/>
      <c r="F300" s="132"/>
      <c r="G300" s="132"/>
      <c r="H300" s="469"/>
      <c r="I300" s="126">
        <f xml:space="preserve"> MAX(SUM(I298:I299),0)</f>
        <v>0</v>
      </c>
      <c r="J300" s="126">
        <f xml:space="preserve"> MAX(SUM(J298:J299),0)</f>
        <v>3125.7329202163291</v>
      </c>
      <c r="K300" s="126">
        <f xml:space="preserve"> MAX(SUM(K298:K299),0)</f>
        <v>13825.618147114536</v>
      </c>
      <c r="L300" s="126">
        <f xml:space="preserve"> MAX(SUM(L298:L299),0)</f>
        <v>13803.550841586941</v>
      </c>
      <c r="M300" s="126">
        <f xml:space="preserve"> MAX(SUM(M298:M299),0)</f>
        <v>13416.142426139515</v>
      </c>
      <c r="N300" s="126"/>
      <c r="O300" s="377"/>
    </row>
    <row r="301" spans="2:19" s="131" customFormat="1" ht="15" customHeight="1" outlineLevel="1">
      <c r="B301" s="122"/>
      <c r="C301" s="140"/>
      <c r="D301" s="132"/>
      <c r="E301" s="132"/>
      <c r="F301" s="132"/>
      <c r="G301" s="132"/>
      <c r="H301" s="469"/>
      <c r="I301" s="469"/>
      <c r="J301" s="469"/>
      <c r="K301" s="469"/>
      <c r="L301" s="469"/>
      <c r="M301" s="469"/>
      <c r="N301" s="469"/>
      <c r="O301" s="377"/>
    </row>
    <row r="302" spans="2:19" s="131" customFormat="1" ht="15" customHeight="1" outlineLevel="1">
      <c r="B302" s="370" t="s">
        <v>193</v>
      </c>
      <c r="C302" s="140"/>
      <c r="D302" s="132"/>
      <c r="E302" s="132"/>
      <c r="F302" s="132"/>
      <c r="G302" s="132"/>
      <c r="H302" s="469"/>
      <c r="I302" s="469"/>
      <c r="J302" s="469"/>
      <c r="K302" s="469"/>
      <c r="L302" s="469"/>
      <c r="M302" s="469"/>
      <c r="N302" s="469"/>
      <c r="O302" s="377"/>
    </row>
    <row r="303" spans="2:19" s="131" customFormat="1" ht="15" customHeight="1" outlineLevel="1">
      <c r="B303" s="376" t="s">
        <v>192</v>
      </c>
      <c r="C303" s="140"/>
      <c r="D303" s="132"/>
      <c r="E303" s="132"/>
      <c r="F303" s="132"/>
      <c r="G303" s="132"/>
      <c r="H303" s="469"/>
      <c r="I303" s="126">
        <f>H306</f>
        <v>24128</v>
      </c>
      <c r="J303" s="126">
        <f>I306</f>
        <v>10592.272037149987</v>
      </c>
      <c r="K303" s="126">
        <f>J306</f>
        <v>0</v>
      </c>
      <c r="L303" s="126">
        <f>K306</f>
        <v>0</v>
      </c>
      <c r="M303" s="126">
        <f>L306</f>
        <v>0</v>
      </c>
      <c r="N303" s="126"/>
      <c r="O303" s="377"/>
    </row>
    <row r="304" spans="2:19" s="131" customFormat="1" ht="15" customHeight="1" outlineLevel="1">
      <c r="B304" s="376" t="s">
        <v>191</v>
      </c>
      <c r="C304" s="140"/>
      <c r="D304" s="132"/>
      <c r="E304" s="132"/>
      <c r="F304" s="132"/>
      <c r="G304" s="132"/>
      <c r="H304" s="469"/>
      <c r="I304" s="126">
        <f>-MIN(I292,0)</f>
        <v>0</v>
      </c>
      <c r="J304" s="126">
        <f>-MIN(J292,0)</f>
        <v>0</v>
      </c>
      <c r="K304" s="126">
        <f>-MIN(K292,0)</f>
        <v>0</v>
      </c>
      <c r="L304" s="126">
        <f>-MIN(L292,0)</f>
        <v>0</v>
      </c>
      <c r="M304" s="126">
        <f>-MIN(M292,0)</f>
        <v>0</v>
      </c>
      <c r="N304" s="126"/>
      <c r="O304" s="377"/>
    </row>
    <row r="305" spans="2:19" s="131" customFormat="1" ht="15" customHeight="1" outlineLevel="1">
      <c r="B305" s="376" t="s">
        <v>190</v>
      </c>
      <c r="C305" s="140"/>
      <c r="D305" s="132"/>
      <c r="E305" s="132"/>
      <c r="F305" s="132"/>
      <c r="G305" s="132"/>
      <c r="H305" s="476"/>
      <c r="I305" s="389">
        <f>-MIN(I303,I298)*I285</f>
        <v>-13535.727962850013</v>
      </c>
      <c r="J305" s="389">
        <f>-MIN(J303,J298)*J285</f>
        <v>-10592.272037149987</v>
      </c>
      <c r="K305" s="389">
        <f>-MIN(K303,K298)*K285</f>
        <v>0</v>
      </c>
      <c r="L305" s="389">
        <f>-MIN(L303,L298)*L285</f>
        <v>0</v>
      </c>
      <c r="M305" s="389">
        <f>-MIN(M303,M298)*M285</f>
        <v>0</v>
      </c>
      <c r="N305" s="126"/>
      <c r="O305" s="377"/>
    </row>
    <row r="306" spans="2:19" s="131" customFormat="1" ht="15" customHeight="1" outlineLevel="1">
      <c r="B306" s="376" t="s">
        <v>189</v>
      </c>
      <c r="C306" s="140"/>
      <c r="D306" s="132"/>
      <c r="E306" s="132"/>
      <c r="F306" s="132"/>
      <c r="G306" s="132"/>
      <c r="H306" s="126">
        <f>H264</f>
        <v>24128</v>
      </c>
      <c r="I306" s="126">
        <f>SUM(I303:I305)</f>
        <v>10592.272037149987</v>
      </c>
      <c r="J306" s="126">
        <f>SUM(J303:J305)</f>
        <v>0</v>
      </c>
      <c r="K306" s="126">
        <f>SUM(K303:K305)</f>
        <v>0</v>
      </c>
      <c r="L306" s="126">
        <f>SUM(L303:L305)</f>
        <v>0</v>
      </c>
      <c r="M306" s="126">
        <f>SUM(M303:M305)</f>
        <v>0</v>
      </c>
      <c r="N306" s="126"/>
      <c r="O306" s="98"/>
    </row>
    <row r="307" spans="2:19" s="131" customFormat="1" ht="15" customHeight="1" outlineLevel="1">
      <c r="B307" s="122"/>
      <c r="C307" s="140"/>
      <c r="D307" s="132"/>
      <c r="E307" s="132"/>
      <c r="F307" s="132"/>
      <c r="G307" s="132"/>
      <c r="H307" s="469"/>
      <c r="I307" s="469"/>
      <c r="J307" s="469"/>
      <c r="K307" s="469"/>
      <c r="L307" s="469"/>
      <c r="M307" s="469"/>
      <c r="N307" s="469"/>
      <c r="O307" s="377"/>
    </row>
    <row r="308" spans="2:19" s="131" customFormat="1" ht="15" customHeight="1" outlineLevel="1">
      <c r="B308" s="475"/>
      <c r="C308" s="474"/>
      <c r="D308" s="473"/>
      <c r="E308" s="473"/>
      <c r="F308" s="473"/>
      <c r="G308" s="473"/>
      <c r="H308" s="251"/>
      <c r="I308" s="251"/>
      <c r="J308" s="251"/>
      <c r="K308" s="251"/>
      <c r="L308" s="251"/>
      <c r="M308" s="251"/>
      <c r="N308" s="295"/>
      <c r="O308" s="377"/>
    </row>
    <row r="309" spans="2:19" s="131" customFormat="1" ht="15" customHeight="1" outlineLevel="1">
      <c r="B309" s="122"/>
      <c r="C309" s="140"/>
      <c r="D309" s="132"/>
      <c r="E309" s="132"/>
      <c r="F309" s="132"/>
      <c r="G309" s="132"/>
      <c r="H309" s="469"/>
      <c r="I309" s="469"/>
      <c r="J309" s="469"/>
      <c r="K309" s="469"/>
      <c r="L309" s="469"/>
      <c r="M309" s="469"/>
      <c r="N309" s="469"/>
      <c r="O309" s="377"/>
    </row>
    <row r="310" spans="2:19" s="131" customFormat="1" ht="15" customHeight="1" outlineLevel="1">
      <c r="B310" s="370" t="s">
        <v>188</v>
      </c>
      <c r="C310" s="140"/>
      <c r="D310" s="132"/>
      <c r="E310" s="132"/>
      <c r="F310" s="132"/>
      <c r="G310" s="132"/>
      <c r="H310" s="469"/>
      <c r="I310" s="469"/>
      <c r="J310" s="469"/>
      <c r="K310" s="469"/>
      <c r="L310" s="469"/>
      <c r="M310" s="469"/>
      <c r="N310" s="469"/>
      <c r="O310" s="377"/>
    </row>
    <row r="311" spans="2:19" s="131" customFormat="1" ht="15" customHeight="1" outlineLevel="1">
      <c r="B311" s="376" t="s">
        <v>174</v>
      </c>
      <c r="C311" s="140"/>
      <c r="D311" s="132"/>
      <c r="E311" s="132"/>
      <c r="F311" s="252"/>
      <c r="G311" s="252"/>
      <c r="H311" s="126"/>
      <c r="I311" s="126">
        <f>$D$287*I300</f>
        <v>0</v>
      </c>
      <c r="J311" s="126">
        <f>$D$287*J300</f>
        <v>937.7198760648987</v>
      </c>
      <c r="K311" s="126">
        <f>$D$287*K300</f>
        <v>4147.6854441343603</v>
      </c>
      <c r="L311" s="126">
        <f>$D$287*L300</f>
        <v>4141.0652524760817</v>
      </c>
      <c r="M311" s="126">
        <f>$D$287*M300</f>
        <v>4024.8427278418544</v>
      </c>
      <c r="N311" s="126"/>
      <c r="O311" s="98"/>
    </row>
    <row r="312" spans="2:19" s="131" customFormat="1" ht="15" customHeight="1" outlineLevel="1">
      <c r="B312" s="376" t="s">
        <v>187</v>
      </c>
      <c r="C312" s="140"/>
      <c r="D312" s="132"/>
      <c r="E312" s="132"/>
      <c r="F312" s="132"/>
      <c r="G312" s="132"/>
      <c r="H312" s="469"/>
      <c r="I312" s="126">
        <f>I313-I311</f>
        <v>4674.4508888550035</v>
      </c>
      <c r="J312" s="126">
        <f>J313-J311</f>
        <v>3650.1336111449955</v>
      </c>
      <c r="K312" s="126">
        <f>K313-K311</f>
        <v>346.45732500000031</v>
      </c>
      <c r="L312" s="126">
        <f>L313-L311</f>
        <v>233.11810125000011</v>
      </c>
      <c r="M312" s="126">
        <f>M313-M311</f>
        <v>129.82351106249962</v>
      </c>
      <c r="N312" s="126"/>
      <c r="O312" s="98"/>
    </row>
    <row r="313" spans="2:19" s="131" customFormat="1" ht="15" customHeight="1" outlineLevel="1" thickBot="1">
      <c r="B313" s="376" t="s">
        <v>186</v>
      </c>
      <c r="C313" s="140"/>
      <c r="D313" s="132"/>
      <c r="E313" s="132"/>
      <c r="F313" s="132"/>
      <c r="G313" s="132"/>
      <c r="H313" s="469"/>
      <c r="I313" s="472">
        <f>MAX($D$287*I292,0)</f>
        <v>4674.4508888550035</v>
      </c>
      <c r="J313" s="472">
        <f>MAX($D$287*J292,0)</f>
        <v>4587.8534872098944</v>
      </c>
      <c r="K313" s="472">
        <f>MAX($D$287*K292,0)</f>
        <v>4494.1427691343606</v>
      </c>
      <c r="L313" s="472">
        <f>MAX($D$287*L292,0)</f>
        <v>4374.1833537260818</v>
      </c>
      <c r="M313" s="472">
        <f>MAX($D$287*M292,0)</f>
        <v>4154.666238904354</v>
      </c>
      <c r="N313" s="126"/>
      <c r="O313" s="98"/>
      <c r="S313" s="716" t="str">
        <f>IF(SUM(S283:S294)=3,"COMPLETE","")</f>
        <v>COMPLETE</v>
      </c>
    </row>
    <row r="314" spans="2:19" s="131" customFormat="1" ht="15" customHeight="1" outlineLevel="1">
      <c r="B314" s="122"/>
      <c r="C314" s="140"/>
      <c r="D314" s="132"/>
      <c r="E314" s="132"/>
      <c r="F314" s="132"/>
      <c r="G314" s="132"/>
      <c r="H314" s="132"/>
      <c r="I314" s="136"/>
      <c r="J314" s="136"/>
      <c r="K314" s="136"/>
      <c r="L314" s="136"/>
      <c r="M314" s="136"/>
      <c r="O314" s="98"/>
    </row>
    <row r="315" spans="2:19" s="131" customFormat="1" ht="15" customHeight="1" outlineLevel="1">
      <c r="B315" s="122"/>
      <c r="C315" s="140"/>
      <c r="D315" s="132"/>
      <c r="E315" s="132"/>
      <c r="F315" s="132"/>
      <c r="G315" s="132"/>
      <c r="H315" s="132"/>
      <c r="I315" s="136"/>
      <c r="J315" s="136"/>
      <c r="K315" s="136"/>
      <c r="L315" s="136"/>
      <c r="M315" s="136"/>
      <c r="O315" s="98"/>
    </row>
    <row r="316" spans="2:19" s="131" customFormat="1" ht="15" customHeight="1" outlineLevel="1">
      <c r="C316" s="140"/>
      <c r="D316" s="132"/>
      <c r="E316" s="132"/>
      <c r="F316" s="132"/>
      <c r="G316" s="132"/>
      <c r="H316" s="132"/>
      <c r="I316" s="136"/>
      <c r="J316" s="136"/>
      <c r="K316" s="136"/>
      <c r="L316" s="136"/>
      <c r="M316" s="38" t="s">
        <v>185</v>
      </c>
      <c r="O316" s="98"/>
    </row>
    <row r="317" spans="2:19" s="131" customFormat="1" ht="15" customHeight="1" outlineLevel="1">
      <c r="C317" s="140"/>
      <c r="D317" s="132"/>
      <c r="E317" s="132"/>
      <c r="F317" s="132"/>
      <c r="G317" s="132"/>
      <c r="H317" s="132"/>
      <c r="I317" s="136"/>
      <c r="J317" s="136"/>
      <c r="K317" s="136"/>
      <c r="L317" s="136"/>
      <c r="M317" s="358" t="s">
        <v>184</v>
      </c>
      <c r="O317" s="98"/>
    </row>
    <row r="318" spans="2:19" s="131" customFormat="1" ht="15" customHeight="1" outlineLevel="1">
      <c r="C318" s="140"/>
      <c r="D318" s="132"/>
      <c r="E318" s="132"/>
      <c r="F318" s="132"/>
      <c r="G318" s="132"/>
      <c r="H318" s="132"/>
      <c r="I318" s="136"/>
      <c r="J318" s="136"/>
      <c r="K318" s="136"/>
      <c r="L318" s="136"/>
      <c r="M318" s="471"/>
      <c r="O318" s="98"/>
    </row>
    <row r="319" spans="2:19" s="131" customFormat="1" ht="15" customHeight="1" outlineLevel="1">
      <c r="B319" s="357"/>
      <c r="C319" s="240"/>
      <c r="D319" s="356"/>
      <c r="E319" s="356"/>
      <c r="F319" s="356"/>
      <c r="G319" s="356"/>
      <c r="H319" s="356"/>
      <c r="I319" s="355"/>
      <c r="J319" s="355"/>
      <c r="K319" s="355"/>
      <c r="L319" s="355"/>
      <c r="M319" s="355"/>
      <c r="N319" s="355"/>
      <c r="O319" s="377"/>
    </row>
    <row r="320" spans="2:19" s="131" customFormat="1" ht="15" customHeight="1">
      <c r="B320" s="122"/>
      <c r="C320" s="140"/>
      <c r="D320" s="132"/>
      <c r="E320" s="132"/>
      <c r="F320" s="132"/>
      <c r="G320" s="132"/>
      <c r="H320" s="132"/>
      <c r="I320" s="136"/>
      <c r="J320" s="136"/>
      <c r="K320" s="136"/>
      <c r="L320" s="136"/>
      <c r="M320" s="136"/>
      <c r="N320" s="136"/>
      <c r="O320" s="377"/>
    </row>
    <row r="321" spans="1:19" s="131" customFormat="1" ht="15" customHeight="1">
      <c r="A321" s="131" t="s">
        <v>0</v>
      </c>
      <c r="B321" s="144" t="s">
        <v>183</v>
      </c>
      <c r="C321" s="143"/>
      <c r="D321" s="429"/>
      <c r="E321" s="429"/>
      <c r="F321" s="141"/>
      <c r="G321" s="141"/>
      <c r="H321" s="141"/>
      <c r="I321" s="428"/>
      <c r="J321" s="427"/>
      <c r="K321" s="427"/>
      <c r="L321" s="427"/>
      <c r="M321" s="427"/>
      <c r="N321" s="447"/>
      <c r="O321" s="98"/>
    </row>
    <row r="322" spans="1:19" s="131" customFormat="1" ht="15" customHeight="1" outlineLevel="1">
      <c r="B322" s="304"/>
      <c r="C322" s="140"/>
      <c r="D322" s="139"/>
      <c r="E322" s="139"/>
      <c r="F322" s="138"/>
      <c r="G322" s="138"/>
      <c r="H322" s="138"/>
      <c r="I322" s="138"/>
      <c r="J322" s="138"/>
      <c r="K322" s="138"/>
      <c r="L322" s="138"/>
      <c r="M322" s="138"/>
      <c r="N322" s="138"/>
      <c r="O322" s="401"/>
    </row>
    <row r="323" spans="1:19" s="131" customFormat="1" ht="15" customHeight="1" outlineLevel="1" thickBot="1">
      <c r="B323" s="122" t="s">
        <v>40</v>
      </c>
      <c r="C323" s="140"/>
      <c r="D323" s="132"/>
      <c r="E323" s="132"/>
      <c r="F323" s="138"/>
      <c r="G323" s="138"/>
      <c r="H323" s="138"/>
      <c r="I323" s="354">
        <f t="shared" ref="I323:N323" si="53">I$5</f>
        <v>2023</v>
      </c>
      <c r="J323" s="354">
        <f t="shared" si="53"/>
        <v>2024</v>
      </c>
      <c r="K323" s="354">
        <f t="shared" si="53"/>
        <v>2025</v>
      </c>
      <c r="L323" s="354">
        <f t="shared" si="53"/>
        <v>2026</v>
      </c>
      <c r="M323" s="354">
        <f t="shared" si="53"/>
        <v>2027</v>
      </c>
      <c r="N323" s="354" t="str">
        <f t="shared" si="53"/>
        <v>Term</v>
      </c>
    </row>
    <row r="324" spans="1:19" ht="15" customHeight="1" outlineLevel="1">
      <c r="A324" s="102"/>
      <c r="B324" s="122" t="str">
        <f>$B$6</f>
        <v>Model Running: Base Case Drivers</v>
      </c>
      <c r="C324" s="140"/>
      <c r="D324" s="132"/>
      <c r="E324" s="132"/>
      <c r="F324" s="132"/>
      <c r="G324" s="132"/>
      <c r="H324" s="132"/>
      <c r="I324" s="136"/>
      <c r="J324" s="136"/>
      <c r="K324" s="136"/>
      <c r="L324" s="136"/>
      <c r="M324" s="136"/>
      <c r="N324" s="136"/>
    </row>
    <row r="325" spans="1:19" s="131" customFormat="1" ht="15" customHeight="1" outlineLevel="1">
      <c r="B325" s="122"/>
      <c r="C325" s="140"/>
      <c r="D325" s="132"/>
      <c r="E325" s="132"/>
      <c r="F325" s="132"/>
      <c r="G325" s="132"/>
      <c r="H325" s="132"/>
      <c r="I325" s="470"/>
      <c r="J325" s="470"/>
      <c r="K325" s="470"/>
      <c r="L325" s="470"/>
      <c r="M325" s="470"/>
      <c r="N325" s="470"/>
    </row>
    <row r="326" spans="1:19" s="131" customFormat="1" ht="15" customHeight="1" outlineLevel="1" thickBot="1">
      <c r="B326" s="370" t="s">
        <v>182</v>
      </c>
      <c r="C326" s="140"/>
      <c r="D326" s="132"/>
      <c r="E326" s="370"/>
      <c r="F326" s="370" t="s">
        <v>181</v>
      </c>
      <c r="G326" s="469" t="s">
        <v>131</v>
      </c>
      <c r="H326" s="132"/>
      <c r="I326" s="136"/>
      <c r="J326" s="136"/>
      <c r="K326" s="136"/>
      <c r="L326" s="136"/>
      <c r="M326" s="136"/>
      <c r="N326" s="136"/>
      <c r="Q326" s="662" t="s">
        <v>277</v>
      </c>
      <c r="R326" s="663" t="s">
        <v>278</v>
      </c>
      <c r="S326" s="664" t="s">
        <v>279</v>
      </c>
    </row>
    <row r="327" spans="1:19" s="131" customFormat="1" ht="15" customHeight="1" outlineLevel="1">
      <c r="B327" s="376" t="s">
        <v>180</v>
      </c>
      <c r="C327" s="140"/>
      <c r="D327" s="132"/>
      <c r="E327" s="132"/>
      <c r="F327" s="468" t="s">
        <v>179</v>
      </c>
      <c r="G327" s="367">
        <f>Model!N114</f>
        <v>13629.660046379347</v>
      </c>
      <c r="H327" s="252"/>
      <c r="I327" s="461">
        <f>Model!I311</f>
        <v>0</v>
      </c>
      <c r="J327" s="461">
        <f>Model!J311</f>
        <v>937.7198760648987</v>
      </c>
      <c r="K327" s="461">
        <f>Model!K311</f>
        <v>4147.6854441343603</v>
      </c>
      <c r="L327" s="461">
        <f>Model!L311</f>
        <v>4141.0652524760817</v>
      </c>
      <c r="M327" s="461">
        <f>Model!M311</f>
        <v>4024.8427278418544</v>
      </c>
      <c r="N327" s="462">
        <f>G327*$G$329</f>
        <v>4088.8980139138039</v>
      </c>
      <c r="Q327" s="704">
        <f>SUM(Model!I327:N327)</f>
        <v>17340.211314430999</v>
      </c>
      <c r="R327" s="702">
        <f>SUM(I327:N327)</f>
        <v>17340.211314430999</v>
      </c>
      <c r="S327" s="808">
        <f>IF(ISBLANK(Model!I327),0,IF(Q327=R327,1,0))</f>
        <v>1</v>
      </c>
    </row>
    <row r="328" spans="1:19" s="131" customFormat="1" ht="15" customHeight="1" outlineLevel="1">
      <c r="B328" s="376" t="s">
        <v>178</v>
      </c>
      <c r="C328" s="140"/>
      <c r="D328" s="132"/>
      <c r="E328" s="132"/>
      <c r="F328" s="467" t="s">
        <v>177</v>
      </c>
      <c r="G328" s="437">
        <f>Model!N117</f>
        <v>11109.660046379347</v>
      </c>
      <c r="H328" s="252"/>
      <c r="I328" s="461">
        <f>Model!I269</f>
        <v>0</v>
      </c>
      <c r="J328" s="461">
        <f>Model!J269</f>
        <v>0</v>
      </c>
      <c r="K328" s="461">
        <f>Model!K269</f>
        <v>2817.4053201992592</v>
      </c>
      <c r="L328" s="461">
        <f>Model!L269</f>
        <v>3385.0652524760822</v>
      </c>
      <c r="M328" s="461">
        <f>Model!M269</f>
        <v>3268.8427278418544</v>
      </c>
      <c r="N328" s="460">
        <f>G328*$G$329</f>
        <v>3332.8980139138043</v>
      </c>
      <c r="Q328" s="704">
        <f>SUM(Model!I328:N328)</f>
        <v>12804.211314431001</v>
      </c>
      <c r="R328" s="702">
        <f>SUM(I328:N328)</f>
        <v>12804.211314431001</v>
      </c>
      <c r="S328" s="808">
        <f>IF(ISBLANK(Model!I328),0,IF(Q328=R328,1,0))</f>
        <v>1</v>
      </c>
    </row>
    <row r="329" spans="1:19" s="131" customFormat="1" ht="15" customHeight="1" outlineLevel="1">
      <c r="B329" s="376" t="s">
        <v>176</v>
      </c>
      <c r="C329" s="139"/>
      <c r="D329" s="375"/>
      <c r="E329" s="375"/>
      <c r="F329" s="466" t="s">
        <v>87</v>
      </c>
      <c r="G329" s="465">
        <f>$C$101</f>
        <v>0.3</v>
      </c>
      <c r="H329" s="252"/>
      <c r="I329" s="436">
        <f>Model!I327-Model!I328</f>
        <v>0</v>
      </c>
      <c r="J329" s="436">
        <f>Model!J327-Model!J328</f>
        <v>937.7198760648987</v>
      </c>
      <c r="K329" s="436">
        <f>Model!K327-Model!K328</f>
        <v>1330.2801239351011</v>
      </c>
      <c r="L329" s="436">
        <f>Model!L327-Model!L328</f>
        <v>755.99999999999955</v>
      </c>
      <c r="M329" s="436">
        <f>Model!M327-Model!M328</f>
        <v>756</v>
      </c>
      <c r="N329" s="443">
        <f>Model!N327-Model!N328</f>
        <v>755.99999999999955</v>
      </c>
      <c r="Q329" s="705">
        <f>SUM(Model!I329:N329)</f>
        <v>4535.9999999999991</v>
      </c>
      <c r="R329" s="703">
        <f>SUM(I329:N329)</f>
        <v>4535.9999999999991</v>
      </c>
      <c r="S329" s="809">
        <f>IF(ISBLANK(Model!I329),0,IF(Q329=R329,1,0))</f>
        <v>1</v>
      </c>
    </row>
    <row r="330" spans="1:19" s="131" customFormat="1" ht="15" customHeight="1" outlineLevel="1">
      <c r="B330" s="122"/>
      <c r="C330" s="140"/>
      <c r="D330" s="132"/>
      <c r="E330" s="132"/>
      <c r="F330" s="388"/>
      <c r="G330" s="388"/>
      <c r="H330" s="388"/>
      <c r="I330" s="464"/>
      <c r="J330" s="464"/>
      <c r="K330" s="464"/>
      <c r="L330" s="464"/>
      <c r="M330" s="464"/>
      <c r="N330" s="464"/>
    </row>
    <row r="331" spans="1:19" s="131" customFormat="1" ht="15" customHeight="1" outlineLevel="1">
      <c r="B331" s="122"/>
      <c r="C331" s="140"/>
      <c r="D331" s="132"/>
      <c r="E331" s="132"/>
      <c r="F331" s="132"/>
      <c r="G331" s="132"/>
      <c r="H331" s="132"/>
      <c r="I331" s="136"/>
      <c r="J331" s="136"/>
      <c r="K331" s="136"/>
      <c r="L331" s="136"/>
      <c r="M331" s="136"/>
      <c r="N331" s="136"/>
    </row>
    <row r="332" spans="1:19" s="131" customFormat="1" ht="15" customHeight="1" outlineLevel="1">
      <c r="B332" s="357"/>
      <c r="C332" s="240"/>
      <c r="D332" s="356"/>
      <c r="E332" s="356"/>
      <c r="F332" s="356"/>
      <c r="G332" s="356"/>
      <c r="H332" s="356"/>
      <c r="I332" s="355"/>
      <c r="J332" s="355"/>
      <c r="K332" s="355"/>
      <c r="L332" s="355"/>
      <c r="M332" s="355"/>
      <c r="N332" s="355"/>
    </row>
    <row r="333" spans="1:19" s="131" customFormat="1" ht="15" customHeight="1" outlineLevel="1">
      <c r="B333" s="122"/>
      <c r="C333" s="140"/>
      <c r="D333" s="132"/>
      <c r="E333" s="132"/>
      <c r="F333" s="132"/>
      <c r="G333" s="132"/>
      <c r="H333" s="132"/>
      <c r="I333" s="136"/>
      <c r="J333" s="136"/>
      <c r="K333" s="136"/>
      <c r="L333" s="136"/>
      <c r="M333" s="136"/>
      <c r="N333" s="136"/>
    </row>
    <row r="334" spans="1:19" s="131" customFormat="1" ht="15" customHeight="1" outlineLevel="1" thickBot="1">
      <c r="B334" s="370" t="s">
        <v>175</v>
      </c>
      <c r="D334" s="463"/>
      <c r="E334" s="132"/>
      <c r="F334" s="132"/>
      <c r="G334" s="132"/>
      <c r="H334" s="132"/>
      <c r="Q334" s="662" t="s">
        <v>277</v>
      </c>
      <c r="R334" s="663" t="s">
        <v>278</v>
      </c>
      <c r="S334" s="664" t="s">
        <v>279</v>
      </c>
    </row>
    <row r="335" spans="1:19" s="131" customFormat="1" ht="15" customHeight="1" outlineLevel="1">
      <c r="B335" s="376" t="s">
        <v>156</v>
      </c>
      <c r="C335" s="140"/>
      <c r="D335" s="132"/>
      <c r="E335" s="132"/>
      <c r="F335" s="34"/>
      <c r="G335" s="252"/>
      <c r="H335" s="252"/>
      <c r="I335" s="461">
        <f>Model!I110</f>
        <v>19758.627962850012</v>
      </c>
      <c r="J335" s="461">
        <f>Model!J110</f>
        <v>19701.219957366317</v>
      </c>
      <c r="K335" s="461">
        <f>Model!K110</f>
        <v>19627.600897114535</v>
      </c>
      <c r="L335" s="461">
        <f>Model!L110</f>
        <v>19473.98617908694</v>
      </c>
      <c r="M335" s="461">
        <f>Model!M110</f>
        <v>18995.387463014515</v>
      </c>
      <c r="N335" s="462">
        <f>Model!N110</f>
        <v>18929.660046379347</v>
      </c>
      <c r="Q335" s="704">
        <f>SUM(Model!I335:N335)</f>
        <v>116486.48250581167</v>
      </c>
      <c r="R335" s="702">
        <f>SUM(I335:N335)</f>
        <v>116486.48250581167</v>
      </c>
      <c r="S335" s="808">
        <f>IF(ISBLANK(Model!I335),0,IF(Q335=R335,1,0))</f>
        <v>1</v>
      </c>
    </row>
    <row r="336" spans="1:19" s="131" customFormat="1" ht="15" customHeight="1" outlineLevel="1">
      <c r="B336" s="376" t="s">
        <v>174</v>
      </c>
      <c r="C336" s="140"/>
      <c r="D336" s="132"/>
      <c r="E336" s="132"/>
      <c r="F336" s="34"/>
      <c r="G336" s="252"/>
      <c r="H336" s="252"/>
      <c r="I336" s="461">
        <f>-Model!I327</f>
        <v>0</v>
      </c>
      <c r="J336" s="461">
        <f>-Model!J327</f>
        <v>-937.7198760648987</v>
      </c>
      <c r="K336" s="461">
        <f>-Model!K327</f>
        <v>-4147.6854441343603</v>
      </c>
      <c r="L336" s="461">
        <f>-Model!L327</f>
        <v>-4141.0652524760817</v>
      </c>
      <c r="M336" s="461">
        <f>-Model!M327</f>
        <v>-4024.8427278418544</v>
      </c>
      <c r="N336" s="460">
        <f>-Model!N327</f>
        <v>-4088.8980139138039</v>
      </c>
      <c r="Q336" s="704">
        <f>SUM(Model!I336:N336)</f>
        <v>-17340.211314430999</v>
      </c>
      <c r="R336" s="702">
        <f>SUM(I336:N336)</f>
        <v>-17340.211314430999</v>
      </c>
      <c r="S336" s="808">
        <f>IF(ISBLANK(Model!I336),0,IF(Q336=R336,1,0))</f>
        <v>1</v>
      </c>
    </row>
    <row r="337" spans="2:19" s="131" customFormat="1" ht="15" customHeight="1" outlineLevel="1">
      <c r="B337" s="376" t="s">
        <v>127</v>
      </c>
      <c r="C337" s="140"/>
      <c r="D337" s="132"/>
      <c r="E337" s="132"/>
      <c r="F337" s="252"/>
      <c r="G337" s="252"/>
      <c r="H337" s="252"/>
      <c r="I337" s="461">
        <f>-Inputs!G24</f>
        <v>-4550</v>
      </c>
      <c r="J337" s="461">
        <f>-Inputs!H24</f>
        <v>-4700</v>
      </c>
      <c r="K337" s="461">
        <f>-Inputs!I24</f>
        <v>-4850</v>
      </c>
      <c r="L337" s="461">
        <f>-Inputs!J24</f>
        <v>-5000</v>
      </c>
      <c r="M337" s="461">
        <f>-Inputs!K24</f>
        <v>-5125</v>
      </c>
      <c r="N337" s="460">
        <f>-Inputs!L24</f>
        <v>-5300</v>
      </c>
      <c r="Q337" s="704">
        <f>SUM(Model!I337:N337)</f>
        <v>-29525</v>
      </c>
      <c r="R337" s="702">
        <f t="shared" ref="R337:R339" si="54">SUM(I337:N337)</f>
        <v>-29525</v>
      </c>
      <c r="S337" s="808">
        <f>IF(ISBLANK(Model!I337),0,IF(Q337=R337,1,0))</f>
        <v>1</v>
      </c>
    </row>
    <row r="338" spans="2:19" s="131" customFormat="1" ht="15" customHeight="1" outlineLevel="1">
      <c r="B338" s="376" t="s">
        <v>167</v>
      </c>
      <c r="C338" s="140"/>
      <c r="D338" s="132"/>
      <c r="E338" s="132"/>
      <c r="F338" s="252"/>
      <c r="G338" s="252"/>
      <c r="H338" s="252"/>
      <c r="I338" s="461">
        <f>Model!I155</f>
        <v>-659.50894335274006</v>
      </c>
      <c r="J338" s="461">
        <f>Model!J155</f>
        <v>-104.82742609548677</v>
      </c>
      <c r="K338" s="461">
        <f>Model!K155</f>
        <v>-106.41887913913433</v>
      </c>
      <c r="L338" s="461">
        <f>Model!L155</f>
        <v>-78.296341127667802</v>
      </c>
      <c r="M338" s="461">
        <f>Model!M155</f>
        <v>-40.754457134486074</v>
      </c>
      <c r="N338" s="460">
        <f>Model!N155</f>
        <v>-54.595664422164191</v>
      </c>
      <c r="Q338" s="704">
        <f>SUM(Model!I338:N338)</f>
        <v>-1044.4017112716792</v>
      </c>
      <c r="R338" s="702">
        <f t="shared" si="54"/>
        <v>-1044.4017112716792</v>
      </c>
      <c r="S338" s="808">
        <f>IF(ISBLANK(Model!I338),0,IF(Q338=R338,1,0))</f>
        <v>1</v>
      </c>
    </row>
    <row r="339" spans="2:19" ht="15" customHeight="1" outlineLevel="1" thickBot="1">
      <c r="B339" s="376" t="s">
        <v>157</v>
      </c>
      <c r="C339" s="139"/>
      <c r="D339" s="375"/>
      <c r="E339" s="375"/>
      <c r="F339" s="252"/>
      <c r="G339" s="252"/>
      <c r="H339" s="252"/>
      <c r="I339" s="459">
        <f>SUM(Model!I335:I338)</f>
        <v>14549.119019497273</v>
      </c>
      <c r="J339" s="459">
        <f>SUM(Model!J335:J338)</f>
        <v>13958.672655205934</v>
      </c>
      <c r="K339" s="459">
        <f>SUM(Model!K335:K338)</f>
        <v>10523.496573841039</v>
      </c>
      <c r="L339" s="459">
        <f>SUM(Model!L335:L338)</f>
        <v>10254.62458548319</v>
      </c>
      <c r="M339" s="459">
        <f>SUM(Model!M335:M338)</f>
        <v>9804.7902780381737</v>
      </c>
      <c r="N339" s="458">
        <f>SUM(Model!N335:N338)</f>
        <v>9486.1663680433794</v>
      </c>
      <c r="Q339" s="705">
        <f>SUM(Model!I339:N339)</f>
        <v>68576.869480108988</v>
      </c>
      <c r="R339" s="703">
        <f t="shared" si="54"/>
        <v>68576.869480108988</v>
      </c>
      <c r="S339" s="809">
        <f>IF(ISBLANK(Model!I339),0,IF(Q339=R339,1,0))</f>
        <v>1</v>
      </c>
    </row>
    <row r="340" spans="2:19" ht="15" customHeight="1" outlineLevel="1">
      <c r="N340" s="37"/>
    </row>
    <row r="341" spans="2:19" ht="15" customHeight="1" outlineLevel="1"/>
    <row r="342" spans="2:19" s="131" customFormat="1" ht="15" customHeight="1" outlineLevel="1" thickBot="1">
      <c r="B342" s="370" t="s">
        <v>173</v>
      </c>
      <c r="D342" s="463"/>
      <c r="E342" s="132"/>
      <c r="F342" s="132"/>
      <c r="G342" s="132"/>
      <c r="H342" s="132"/>
      <c r="N342" s="405"/>
      <c r="Q342" s="662" t="s">
        <v>277</v>
      </c>
      <c r="R342" s="663" t="s">
        <v>278</v>
      </c>
      <c r="S342" s="664" t="s">
        <v>279</v>
      </c>
    </row>
    <row r="343" spans="2:19" s="131" customFormat="1" ht="15" customHeight="1" outlineLevel="1">
      <c r="B343" s="376" t="s">
        <v>172</v>
      </c>
      <c r="C343" s="140"/>
      <c r="D343" s="132"/>
      <c r="E343" s="132"/>
      <c r="F343" s="252"/>
      <c r="G343" s="252"/>
      <c r="H343" s="252"/>
      <c r="I343" s="461">
        <f>Model!I123</f>
        <v>9143.052073995008</v>
      </c>
      <c r="J343" s="461">
        <f>Model!J123</f>
        <v>8940.9914701564212</v>
      </c>
      <c r="K343" s="461">
        <f>Model!K123</f>
        <v>8722.333127980175</v>
      </c>
      <c r="L343" s="461">
        <f>Model!L123</f>
        <v>8442.4278253608572</v>
      </c>
      <c r="M343" s="461">
        <f>Model!M123</f>
        <v>7930.2212241101606</v>
      </c>
      <c r="N343" s="462">
        <f>Model!N123</f>
        <v>7776.7620324655436</v>
      </c>
      <c r="Q343" s="704">
        <f>SUM(Model!I343:N343)</f>
        <v>50955.787754068158</v>
      </c>
      <c r="R343" s="702">
        <f>SUM(I343:N343)</f>
        <v>50955.787754068158</v>
      </c>
      <c r="S343" s="808">
        <f>IF(ISBLANK(Model!I343),0,IF(Q343=R343,1,0))</f>
        <v>1</v>
      </c>
    </row>
    <row r="344" spans="2:19" s="131" customFormat="1" ht="15" customHeight="1" outlineLevel="1">
      <c r="B344" s="376" t="s">
        <v>171</v>
      </c>
      <c r="C344" s="140"/>
      <c r="D344" s="132"/>
      <c r="E344" s="132"/>
      <c r="F344" s="252"/>
      <c r="G344" s="252"/>
      <c r="H344" s="252"/>
      <c r="I344" s="461">
        <f>Model!I113</f>
        <v>4177.125</v>
      </c>
      <c r="J344" s="461">
        <f>Model!J113</f>
        <v>4408.375</v>
      </c>
      <c r="K344" s="461">
        <f>Model!K113</f>
        <v>4647.125</v>
      </c>
      <c r="L344" s="461">
        <f>Model!L113</f>
        <v>4893.375</v>
      </c>
      <c r="M344" s="461">
        <f>Model!M113</f>
        <v>5146.5</v>
      </c>
      <c r="N344" s="460">
        <f>Model!N113</f>
        <v>5300</v>
      </c>
      <c r="Q344" s="704">
        <f>SUM(Model!I344:N344)</f>
        <v>28572.5</v>
      </c>
      <c r="R344" s="702">
        <f>SUM(I344:N344)</f>
        <v>28572.5</v>
      </c>
      <c r="S344" s="808">
        <f>IF(ISBLANK(Model!I344),0,IF(Q344=R344,1,0))</f>
        <v>1</v>
      </c>
    </row>
    <row r="345" spans="2:19" s="131" customFormat="1" ht="15" customHeight="1" outlineLevel="1">
      <c r="B345" s="376" t="s">
        <v>170</v>
      </c>
      <c r="C345" s="140"/>
      <c r="D345" s="132"/>
      <c r="E345" s="132"/>
      <c r="F345" s="252"/>
      <c r="G345" s="252"/>
      <c r="H345" s="252"/>
      <c r="I345" s="461">
        <f>Model!I120</f>
        <v>3918.4508888550035</v>
      </c>
      <c r="J345" s="461">
        <f>Model!J120</f>
        <v>3831.8534872098949</v>
      </c>
      <c r="K345" s="461">
        <f>Model!K120</f>
        <v>920.73744893510093</v>
      </c>
      <c r="L345" s="461">
        <f>Model!L120</f>
        <v>233.11810124999965</v>
      </c>
      <c r="M345" s="461">
        <f>Model!M120</f>
        <v>129.82351106250007</v>
      </c>
      <c r="N345" s="460">
        <f>Model!N120</f>
        <v>0</v>
      </c>
      <c r="Q345" s="704">
        <f>SUM(Model!I345:N345)</f>
        <v>9033.9834373124977</v>
      </c>
      <c r="R345" s="702">
        <f t="shared" ref="R345" si="55">SUM(I345:N345)</f>
        <v>9033.9834373124977</v>
      </c>
      <c r="S345" s="808">
        <f>IF(ISBLANK(Model!I345),0,IF(Q345=R345,1,0))</f>
        <v>1</v>
      </c>
    </row>
    <row r="346" spans="2:19" s="131" customFormat="1" ht="15" customHeight="1" outlineLevel="1">
      <c r="B346" s="376" t="s">
        <v>169</v>
      </c>
      <c r="C346" s="140"/>
      <c r="D346" s="132"/>
      <c r="E346" s="132"/>
      <c r="F346" s="252"/>
      <c r="G346" s="252"/>
      <c r="H346" s="252"/>
      <c r="I346" s="461">
        <f>Model!I116</f>
        <v>2520</v>
      </c>
      <c r="J346" s="461">
        <f>Model!J116</f>
        <v>2520</v>
      </c>
      <c r="K346" s="461">
        <f>Model!K116</f>
        <v>2520</v>
      </c>
      <c r="L346" s="461">
        <f>Model!L116</f>
        <v>2520</v>
      </c>
      <c r="M346" s="461">
        <f>Model!M116</f>
        <v>2520</v>
      </c>
      <c r="N346" s="460">
        <f>Model!N116</f>
        <v>2520</v>
      </c>
      <c r="Q346" s="704">
        <f>SUM(Model!I346:N346)</f>
        <v>15120</v>
      </c>
      <c r="R346" s="702">
        <f t="shared" ref="R346:R350" si="56">SUM(I346:N346)</f>
        <v>15120</v>
      </c>
      <c r="S346" s="808">
        <f>IF(ISBLANK(Model!I346),0,IF(Q346=R346,1,0))</f>
        <v>1</v>
      </c>
    </row>
    <row r="347" spans="2:19" s="131" customFormat="1" ht="15" customHeight="1" outlineLevel="1">
      <c r="B347" s="376" t="s">
        <v>168</v>
      </c>
      <c r="C347" s="140"/>
      <c r="D347" s="132"/>
      <c r="E347" s="132"/>
      <c r="F347" s="252"/>
      <c r="G347" s="252"/>
      <c r="H347" s="252"/>
      <c r="I347" s="461">
        <f>-Model!I329</f>
        <v>0</v>
      </c>
      <c r="J347" s="461">
        <f>-Model!J329</f>
        <v>-937.7198760648987</v>
      </c>
      <c r="K347" s="461">
        <f>-Model!K329</f>
        <v>-1330.2801239351011</v>
      </c>
      <c r="L347" s="461">
        <f>-Model!L329</f>
        <v>-755.99999999999955</v>
      </c>
      <c r="M347" s="461">
        <f>-Model!M329</f>
        <v>-756</v>
      </c>
      <c r="N347" s="460">
        <f>-Model!N329</f>
        <v>-755.99999999999955</v>
      </c>
      <c r="Q347" s="704">
        <f>SUM(Model!I347:N347)</f>
        <v>-4535.9999999999991</v>
      </c>
      <c r="R347" s="702">
        <f t="shared" si="56"/>
        <v>-4535.9999999999991</v>
      </c>
      <c r="S347" s="808">
        <f>IF(ISBLANK(Model!I348),0,IF(Q347=R347,1,0))</f>
        <v>1</v>
      </c>
    </row>
    <row r="348" spans="2:19" s="131" customFormat="1" ht="15" customHeight="1" outlineLevel="1">
      <c r="B348" s="376" t="s">
        <v>127</v>
      </c>
      <c r="C348" s="140"/>
      <c r="D348" s="132"/>
      <c r="E348" s="132"/>
      <c r="F348" s="252"/>
      <c r="G348" s="252"/>
      <c r="H348" s="252"/>
      <c r="I348" s="461">
        <f>Model!I337</f>
        <v>-4550</v>
      </c>
      <c r="J348" s="461">
        <f>Model!J337</f>
        <v>-4700</v>
      </c>
      <c r="K348" s="461">
        <f>Model!K337</f>
        <v>-4850</v>
      </c>
      <c r="L348" s="461">
        <f>Model!L337</f>
        <v>-5000</v>
      </c>
      <c r="M348" s="461">
        <f>Model!M337</f>
        <v>-5125</v>
      </c>
      <c r="N348" s="460">
        <f>Model!N337</f>
        <v>-5300</v>
      </c>
      <c r="Q348" s="704">
        <f>SUM(Model!I348:N348)</f>
        <v>-29525</v>
      </c>
      <c r="R348" s="702">
        <f t="shared" si="56"/>
        <v>-29525</v>
      </c>
      <c r="S348" s="808">
        <f>IF(ISBLANK(Model!I349),0,IF(Q348=R348,1,0))</f>
        <v>1</v>
      </c>
    </row>
    <row r="349" spans="2:19" s="131" customFormat="1" ht="15" customHeight="1" outlineLevel="1">
      <c r="B349" s="376" t="s">
        <v>167</v>
      </c>
      <c r="C349" s="140"/>
      <c r="D349" s="132"/>
      <c r="E349" s="132"/>
      <c r="F349" s="252"/>
      <c r="G349" s="252"/>
      <c r="H349" s="252"/>
      <c r="I349" s="461">
        <f>Model!I338</f>
        <v>-659.50894335274006</v>
      </c>
      <c r="J349" s="461">
        <f>Model!J338</f>
        <v>-104.82742609548677</v>
      </c>
      <c r="K349" s="461">
        <f>Model!K338</f>
        <v>-106.41887913913433</v>
      </c>
      <c r="L349" s="461">
        <f>Model!L338</f>
        <v>-78.296341127667802</v>
      </c>
      <c r="M349" s="461">
        <f>Model!M338</f>
        <v>-40.754457134486074</v>
      </c>
      <c r="N349" s="460">
        <f>Model!N338</f>
        <v>-54.595664422164191</v>
      </c>
      <c r="Q349" s="704">
        <f>SUM(Model!I349:N349)</f>
        <v>-1044.4017112716792</v>
      </c>
      <c r="R349" s="702">
        <f t="shared" si="56"/>
        <v>-1044.4017112716792</v>
      </c>
      <c r="S349" s="808">
        <f>IF(ISBLANK(Model!#REF!),0,IF(Q349=R349,1,0))</f>
        <v>1</v>
      </c>
    </row>
    <row r="350" spans="2:19" ht="15" customHeight="1" outlineLevel="1" thickBot="1">
      <c r="B350" s="376" t="s">
        <v>157</v>
      </c>
      <c r="C350" s="139"/>
      <c r="D350" s="375"/>
      <c r="E350" s="375"/>
      <c r="F350" s="252"/>
      <c r="G350" s="252"/>
      <c r="H350" s="252"/>
      <c r="I350" s="459">
        <f>SUM(Model!I343:I349)</f>
        <v>14549.119019497273</v>
      </c>
      <c r="J350" s="459">
        <f>SUM(Model!J343:J349)</f>
        <v>13958.672655205934</v>
      </c>
      <c r="K350" s="459">
        <f>SUM(Model!K343:K349)</f>
        <v>10523.496573841043</v>
      </c>
      <c r="L350" s="459">
        <f>SUM(Model!L343:L349)</f>
        <v>10254.62458548319</v>
      </c>
      <c r="M350" s="459">
        <f>SUM(Model!M343:M349)</f>
        <v>9804.7902780381755</v>
      </c>
      <c r="N350" s="458">
        <f>SUM(Model!N343:N349)</f>
        <v>9486.1663680433794</v>
      </c>
      <c r="Q350" s="705">
        <f>SUM(Model!I350:N350)</f>
        <v>68576.869480109002</v>
      </c>
      <c r="R350" s="703">
        <f t="shared" si="56"/>
        <v>68576.869480109002</v>
      </c>
      <c r="S350" s="809">
        <f>IF(ISBLANK(Model!I350),0,IF(Q350=R350,1,0))</f>
        <v>1</v>
      </c>
    </row>
    <row r="351" spans="2:19" ht="15" customHeight="1" outlineLevel="1">
      <c r="N351" s="37"/>
    </row>
    <row r="352" spans="2:19" ht="15" customHeight="1" outlineLevel="1"/>
    <row r="353" spans="1:19" ht="15" customHeight="1" outlineLevel="1">
      <c r="B353" s="457" t="s">
        <v>8</v>
      </c>
      <c r="C353" s="453"/>
      <c r="D353" s="452"/>
      <c r="E353" s="452"/>
      <c r="F353" s="451"/>
      <c r="G353" s="451"/>
      <c r="H353" s="451"/>
      <c r="I353" s="456">
        <f t="shared" ref="I353:N353" si="57">IF(ROUND(I339-I350,1)=0,0,1)</f>
        <v>0</v>
      </c>
      <c r="J353" s="455">
        <f t="shared" si="57"/>
        <v>0</v>
      </c>
      <c r="K353" s="455">
        <f t="shared" si="57"/>
        <v>0</v>
      </c>
      <c r="L353" s="455">
        <f t="shared" si="57"/>
        <v>0</v>
      </c>
      <c r="M353" s="455">
        <f t="shared" si="57"/>
        <v>0</v>
      </c>
      <c r="N353" s="454">
        <f t="shared" si="57"/>
        <v>0</v>
      </c>
      <c r="S353" s="716" t="str">
        <f>IF(SUM(S326:S350)=16,"COMPLETE","")</f>
        <v>COMPLETE</v>
      </c>
    </row>
    <row r="354" spans="1:19" ht="15" customHeight="1" outlineLevel="1">
      <c r="C354" s="453"/>
      <c r="D354" s="452"/>
      <c r="E354" s="452"/>
      <c r="F354" s="451"/>
      <c r="G354" s="451"/>
      <c r="H354" s="451"/>
      <c r="I354" s="451"/>
      <c r="J354" s="451"/>
      <c r="K354" s="451"/>
      <c r="L354" s="451"/>
      <c r="M354" s="451"/>
      <c r="N354" s="451"/>
    </row>
    <row r="355" spans="1:19" ht="15" customHeight="1" outlineLevel="1">
      <c r="C355" s="453"/>
      <c r="D355" s="452"/>
      <c r="E355" s="452"/>
      <c r="F355" s="451"/>
      <c r="G355" s="451"/>
      <c r="H355" s="451"/>
    </row>
    <row r="356" spans="1:19" s="131" customFormat="1" ht="15" customHeight="1" outlineLevel="1">
      <c r="C356" s="140"/>
      <c r="D356" s="132"/>
      <c r="E356" s="132"/>
      <c r="F356" s="132"/>
      <c r="G356" s="132"/>
      <c r="H356" s="132"/>
      <c r="I356" s="136"/>
      <c r="J356" s="136"/>
      <c r="K356" s="136"/>
      <c r="L356" s="136"/>
      <c r="N356" s="38" t="s">
        <v>166</v>
      </c>
      <c r="O356" s="98"/>
    </row>
    <row r="357" spans="1:19" s="131" customFormat="1" ht="15" customHeight="1" outlineLevel="1">
      <c r="C357" s="140"/>
      <c r="D357" s="132"/>
      <c r="E357" s="132"/>
      <c r="F357" s="132"/>
      <c r="G357" s="132"/>
      <c r="H357" s="132"/>
      <c r="I357" s="136"/>
      <c r="J357" s="136"/>
      <c r="K357" s="136"/>
      <c r="L357" s="136"/>
      <c r="N357" s="358" t="s">
        <v>165</v>
      </c>
      <c r="O357" s="98"/>
    </row>
    <row r="358" spans="1:19" ht="15" customHeight="1" outlineLevel="1"/>
    <row r="359" spans="1:19" s="102" customFormat="1" ht="15" customHeight="1" outlineLevel="1">
      <c r="B359" s="242"/>
      <c r="C359" s="450"/>
      <c r="D359" s="449"/>
      <c r="E359" s="449"/>
      <c r="F359" s="448"/>
      <c r="G359" s="448"/>
      <c r="H359" s="448"/>
      <c r="I359" s="448"/>
      <c r="J359" s="448"/>
      <c r="K359" s="448"/>
      <c r="L359" s="448"/>
      <c r="M359" s="448"/>
      <c r="N359" s="448"/>
      <c r="O359" s="98"/>
    </row>
    <row r="360" spans="1:19" s="131" customFormat="1" ht="15" customHeight="1">
      <c r="B360" s="122"/>
      <c r="C360" s="140"/>
      <c r="D360" s="132"/>
      <c r="E360" s="132"/>
      <c r="F360" s="132"/>
      <c r="G360" s="132"/>
      <c r="H360" s="132"/>
      <c r="I360" s="136"/>
      <c r="J360" s="136"/>
      <c r="K360" s="136"/>
      <c r="L360" s="136"/>
      <c r="M360" s="136"/>
      <c r="N360" s="136"/>
    </row>
    <row r="361" spans="1:19" s="131" customFormat="1" ht="15" customHeight="1">
      <c r="A361" s="131" t="s">
        <v>0</v>
      </c>
      <c r="B361" s="144" t="s">
        <v>164</v>
      </c>
      <c r="C361" s="143"/>
      <c r="D361" s="429"/>
      <c r="E361" s="429"/>
      <c r="F361" s="141"/>
      <c r="G361" s="141"/>
      <c r="H361" s="141"/>
      <c r="I361" s="428"/>
      <c r="J361" s="427"/>
      <c r="K361" s="427"/>
      <c r="L361" s="427"/>
      <c r="M361" s="427"/>
      <c r="N361" s="447"/>
    </row>
    <row r="362" spans="1:19" s="131" customFormat="1" ht="15" customHeight="1" outlineLevel="1">
      <c r="B362" s="304"/>
      <c r="C362" s="140"/>
      <c r="D362" s="139"/>
      <c r="E362" s="139"/>
      <c r="F362" s="138"/>
      <c r="G362" s="138"/>
      <c r="H362" s="138"/>
      <c r="I362" s="138"/>
      <c r="J362" s="138"/>
      <c r="K362" s="138"/>
      <c r="L362" s="138"/>
      <c r="M362" s="138"/>
      <c r="N362" s="138"/>
      <c r="O362" s="401"/>
    </row>
    <row r="363" spans="1:19" s="131" customFormat="1" ht="15" customHeight="1" outlineLevel="1">
      <c r="B363" s="122" t="s">
        <v>40</v>
      </c>
      <c r="C363" s="140"/>
      <c r="D363" s="139"/>
      <c r="E363" s="139"/>
    </row>
    <row r="364" spans="1:19" s="131" customFormat="1" ht="15" customHeight="1" outlineLevel="1">
      <c r="B364" s="122" t="str">
        <f>$B$6</f>
        <v>Model Running: Base Case Drivers</v>
      </c>
      <c r="E364" s="132"/>
      <c r="F364" s="138"/>
      <c r="G364" s="138"/>
      <c r="H364" s="426" t="s">
        <v>61</v>
      </c>
      <c r="I364" s="425" t="s">
        <v>147</v>
      </c>
      <c r="J364" s="424"/>
      <c r="K364" s="424"/>
      <c r="L364" s="424"/>
      <c r="M364" s="424"/>
      <c r="N364" s="423" t="s">
        <v>131</v>
      </c>
      <c r="O364" s="410"/>
    </row>
    <row r="365" spans="1:19" s="131" customFormat="1" ht="15" customHeight="1" outlineLevel="1" thickBot="1">
      <c r="E365" s="132"/>
      <c r="H365" s="422" t="s">
        <v>68</v>
      </c>
      <c r="I365" s="422" t="s">
        <v>68</v>
      </c>
      <c r="J365" s="421" t="s">
        <v>68</v>
      </c>
      <c r="K365" s="421" t="s">
        <v>68</v>
      </c>
      <c r="L365" s="421" t="s">
        <v>68</v>
      </c>
      <c r="M365" s="421" t="s">
        <v>68</v>
      </c>
      <c r="N365" s="420" t="s">
        <v>68</v>
      </c>
      <c r="O365" s="410"/>
      <c r="Q365" s="662" t="s">
        <v>277</v>
      </c>
      <c r="R365" s="663" t="s">
        <v>278</v>
      </c>
      <c r="S365" s="664" t="s">
        <v>279</v>
      </c>
    </row>
    <row r="366" spans="1:19" s="131" customFormat="1" ht="15" customHeight="1" outlineLevel="1">
      <c r="B366" s="419" t="s">
        <v>163</v>
      </c>
      <c r="C366" s="446">
        <f>'Outputs-R'!O12</f>
        <v>0.02</v>
      </c>
      <c r="E366" s="132"/>
      <c r="F366" s="414" t="s">
        <v>159</v>
      </c>
      <c r="H366" s="413">
        <f>Inputs!F94</f>
        <v>45016</v>
      </c>
      <c r="I366" s="413">
        <f>Inputs!F96</f>
        <v>45291</v>
      </c>
      <c r="J366" s="412">
        <f>EDATE(I366,12)</f>
        <v>45657</v>
      </c>
      <c r="K366" s="412">
        <f t="shared" ref="K366:N367" si="58">EDATE(J366,12)</f>
        <v>46022</v>
      </c>
      <c r="L366" s="412">
        <f t="shared" si="58"/>
        <v>46387</v>
      </c>
      <c r="M366" s="412">
        <f t="shared" si="58"/>
        <v>46752</v>
      </c>
      <c r="N366" s="417">
        <f t="shared" si="58"/>
        <v>47118</v>
      </c>
      <c r="O366" s="410"/>
      <c r="Q366" s="704">
        <f>SUM(Model!J366:N366)</f>
        <v>231936</v>
      </c>
      <c r="R366" s="702">
        <f>SUM(J366:N366)</f>
        <v>231936</v>
      </c>
      <c r="S366" s="808">
        <f>IF(ISBLANK(Model!J366),0,IF(Q366=R366,1,0))</f>
        <v>1</v>
      </c>
    </row>
    <row r="367" spans="1:19" s="131" customFormat="1" ht="15" customHeight="1" outlineLevel="1" thickBot="1">
      <c r="B367" s="416" t="s">
        <v>23</v>
      </c>
      <c r="C367" s="415">
        <f>Outputs!O13</f>
        <v>9.7429919540151538E-2</v>
      </c>
      <c r="D367" s="139"/>
      <c r="E367" s="139"/>
      <c r="F367" s="414" t="s">
        <v>158</v>
      </c>
      <c r="H367" s="413">
        <f>H366</f>
        <v>45016</v>
      </c>
      <c r="I367" s="413">
        <f>Inputs!F95</f>
        <v>45107</v>
      </c>
      <c r="J367" s="412">
        <f>EDATE(I367,12)</f>
        <v>45473</v>
      </c>
      <c r="K367" s="412">
        <f t="shared" si="58"/>
        <v>45838</v>
      </c>
      <c r="L367" s="412">
        <f t="shared" si="58"/>
        <v>46203</v>
      </c>
      <c r="M367" s="412">
        <f t="shared" si="58"/>
        <v>46568</v>
      </c>
      <c r="N367" s="411">
        <f t="shared" si="58"/>
        <v>46934</v>
      </c>
      <c r="O367" s="410"/>
      <c r="Q367" s="705">
        <f>SUM(Model!J367:N367)</f>
        <v>231016</v>
      </c>
      <c r="R367" s="703">
        <f>SUM(J367:N367)</f>
        <v>231016</v>
      </c>
      <c r="S367" s="809">
        <f>IF(ISBLANK(Model!J367),0,IF(Q367=R367,1,0))</f>
        <v>1</v>
      </c>
    </row>
    <row r="368" spans="1:19" s="131" customFormat="1" ht="15" customHeight="1" outlineLevel="1">
      <c r="B368" s="304"/>
      <c r="C368" s="140"/>
      <c r="D368" s="139"/>
      <c r="E368" s="139"/>
      <c r="F368" s="138"/>
      <c r="G368" s="138"/>
      <c r="H368" s="409"/>
      <c r="I368" s="409"/>
      <c r="J368" s="409"/>
      <c r="K368" s="409"/>
      <c r="L368" s="409"/>
      <c r="M368" s="409"/>
      <c r="N368" s="409"/>
      <c r="O368" s="401"/>
      <c r="S368" s="817"/>
    </row>
    <row r="369" spans="2:19" s="131" customFormat="1" ht="15" customHeight="1" outlineLevel="1">
      <c r="B369" s="274" t="s">
        <v>157</v>
      </c>
      <c r="D369" s="132"/>
      <c r="E369" s="132"/>
      <c r="F369" s="252"/>
      <c r="G369" s="252"/>
      <c r="H369" s="445">
        <v>0</v>
      </c>
      <c r="I369" s="444">
        <f>Model!I$350</f>
        <v>14549.119019497273</v>
      </c>
      <c r="J369" s="444">
        <f>Model!J$350</f>
        <v>13958.672655205934</v>
      </c>
      <c r="K369" s="444">
        <f>Model!K$350</f>
        <v>10523.496573841043</v>
      </c>
      <c r="L369" s="444">
        <f>Model!L$350</f>
        <v>10254.62458548319</v>
      </c>
      <c r="M369" s="444">
        <f>Model!M$350</f>
        <v>9804.7902780381755</v>
      </c>
      <c r="N369" s="443">
        <f>Model!N$350</f>
        <v>9486.1663680433794</v>
      </c>
      <c r="O369" s="401"/>
      <c r="Q369" s="708">
        <f>SUM(Model!I369:N369)</f>
        <v>68576.869480109002</v>
      </c>
      <c r="R369" s="707">
        <f t="shared" ref="R369" si="59">SUM(I369:N369)</f>
        <v>68576.869480109002</v>
      </c>
      <c r="S369" s="818">
        <f>IF(ISBLANK(Model!I369),0,IF(Q369=R369,1,0))</f>
        <v>1</v>
      </c>
    </row>
    <row r="370" spans="2:19" s="131" customFormat="1" ht="15" customHeight="1" outlineLevel="1">
      <c r="O370" s="377"/>
    </row>
    <row r="371" spans="2:19" s="131" customFormat="1" ht="15" customHeight="1" outlineLevel="1">
      <c r="B371" s="122"/>
      <c r="D371" s="34"/>
      <c r="E371" s="132"/>
      <c r="F371" s="34"/>
      <c r="G371" s="132"/>
      <c r="H371" s="132"/>
      <c r="I371" s="136"/>
      <c r="J371" s="136"/>
      <c r="K371" s="136"/>
      <c r="L371" s="136"/>
      <c r="M371" s="136"/>
    </row>
    <row r="372" spans="2:19" s="131" customFormat="1" ht="15" customHeight="1" outlineLevel="1" thickBot="1">
      <c r="B372" s="370" t="s">
        <v>155</v>
      </c>
      <c r="D372" s="34"/>
      <c r="E372" s="132"/>
      <c r="F372" s="34"/>
      <c r="G372" s="132"/>
      <c r="H372" s="132"/>
      <c r="I372" s="136"/>
      <c r="J372" s="136"/>
      <c r="K372" s="136"/>
      <c r="L372" s="136"/>
      <c r="M372" s="136"/>
      <c r="Q372" s="662" t="s">
        <v>277</v>
      </c>
      <c r="R372" s="663" t="s">
        <v>278</v>
      </c>
      <c r="S372" s="664" t="s">
        <v>279</v>
      </c>
    </row>
    <row r="373" spans="2:19" s="131" customFormat="1" ht="15" customHeight="1" outlineLevel="1">
      <c r="B373" s="229" t="s">
        <v>147</v>
      </c>
      <c r="D373" s="400"/>
      <c r="E373" s="132"/>
      <c r="F373" s="34"/>
      <c r="G373" s="252"/>
      <c r="H373" s="387">
        <v>0</v>
      </c>
      <c r="I373" s="395">
        <f>Model!I369</f>
        <v>14549.119019497273</v>
      </c>
      <c r="J373" s="395">
        <f>Model!J369</f>
        <v>13958.672655205934</v>
      </c>
      <c r="K373" s="395">
        <f>Model!K369</f>
        <v>10523.496573841043</v>
      </c>
      <c r="L373" s="395">
        <f>Model!L369</f>
        <v>10254.62458548319</v>
      </c>
      <c r="M373" s="395">
        <f>Model!M369</f>
        <v>9804.7902780381755</v>
      </c>
      <c r="N373" s="384"/>
      <c r="O373" s="377"/>
      <c r="Q373" s="704">
        <f>SUM(Model!I373:M373)</f>
        <v>59090.703112065625</v>
      </c>
      <c r="R373" s="702">
        <f>SUM(I373:M373)</f>
        <v>59090.703112065625</v>
      </c>
      <c r="S373" s="808">
        <f>IF(ISBLANK(Model!I373),0,IF(Q373=R373,1,0))</f>
        <v>1</v>
      </c>
    </row>
    <row r="374" spans="2:19" s="131" customFormat="1" ht="15" customHeight="1" outlineLevel="1">
      <c r="B374" s="229" t="s">
        <v>146</v>
      </c>
      <c r="D374" s="132"/>
      <c r="E374" s="132"/>
      <c r="F374" s="34"/>
      <c r="G374" s="252"/>
      <c r="H374" s="394">
        <v>0</v>
      </c>
      <c r="I374" s="394">
        <v>0</v>
      </c>
      <c r="J374" s="394">
        <v>0</v>
      </c>
      <c r="K374" s="394">
        <v>0</v>
      </c>
      <c r="L374" s="394">
        <v>0</v>
      </c>
      <c r="M374" s="397">
        <f>Model!N369/(C367-C366)</f>
        <v>122512.930716973</v>
      </c>
      <c r="N374" s="384"/>
      <c r="O374" s="377"/>
      <c r="Q374" s="704">
        <f>Model!M374</f>
        <v>122512.930716973</v>
      </c>
      <c r="R374" s="702">
        <f>M374</f>
        <v>122512.930716973</v>
      </c>
      <c r="S374" s="808">
        <f>IF(ISBLANK(Model!M374),0,IF(Q374=R374,1,0))</f>
        <v>1</v>
      </c>
    </row>
    <row r="375" spans="2:19" s="131" customFormat="1" ht="15" customHeight="1" outlineLevel="1">
      <c r="B375" s="229" t="s">
        <v>145</v>
      </c>
      <c r="D375" s="375"/>
      <c r="E375" s="375"/>
      <c r="F375" s="252"/>
      <c r="G375" s="252"/>
      <c r="H375" s="385">
        <f t="shared" ref="H375" si="60">SUM(H373:H374)</f>
        <v>0</v>
      </c>
      <c r="I375" s="395">
        <f>SUM(Model!I373:I374)</f>
        <v>14549.119019497273</v>
      </c>
      <c r="J375" s="395">
        <f>SUM(Model!J373:J374)</f>
        <v>13958.672655205934</v>
      </c>
      <c r="K375" s="395">
        <f>SUM(Model!K373:K374)</f>
        <v>10523.496573841043</v>
      </c>
      <c r="L375" s="395">
        <f>SUM(Model!L373:L374)</f>
        <v>10254.62458548319</v>
      </c>
      <c r="M375" s="395">
        <f>SUM(Model!M373:M374)</f>
        <v>132317.72099501119</v>
      </c>
      <c r="N375" s="252"/>
      <c r="O375" s="377"/>
      <c r="Q375" s="705">
        <f>SUM(Model!I375:M375)</f>
        <v>181603.63382903865</v>
      </c>
      <c r="R375" s="703">
        <f t="shared" ref="R375" si="61">SUM(I375:M375)</f>
        <v>181603.63382903865</v>
      </c>
      <c r="S375" s="809">
        <f>IF(ISBLANK(Model!I375),0,IF(Q375=R375,1,0))</f>
        <v>1</v>
      </c>
    </row>
    <row r="376" spans="2:19" s="131" customFormat="1" ht="15" customHeight="1" outlineLevel="1">
      <c r="B376" s="370"/>
      <c r="D376" s="132"/>
      <c r="E376" s="132"/>
      <c r="F376" s="388"/>
      <c r="G376" s="388"/>
      <c r="H376" s="388"/>
      <c r="I376" s="388"/>
      <c r="J376" s="388"/>
      <c r="K376" s="388"/>
      <c r="L376" s="388"/>
      <c r="M376" s="34"/>
      <c r="N376" s="34"/>
      <c r="O376" s="377"/>
    </row>
    <row r="377" spans="2:19" s="131" customFormat="1" ht="15" customHeight="1" outlineLevel="1" thickBot="1">
      <c r="B377" s="370" t="s">
        <v>151</v>
      </c>
      <c r="D377" s="132"/>
      <c r="E377" s="132"/>
      <c r="F377" s="34"/>
      <c r="G377" s="132"/>
      <c r="H377" s="132"/>
      <c r="I377" s="136"/>
      <c r="J377" s="136"/>
      <c r="K377" s="136"/>
      <c r="L377" s="136"/>
      <c r="M377" s="136"/>
      <c r="N377" s="252"/>
      <c r="O377" s="377"/>
      <c r="Q377" s="662" t="s">
        <v>277</v>
      </c>
      <c r="R377" s="663" t="s">
        <v>278</v>
      </c>
      <c r="S377" s="664" t="s">
        <v>279</v>
      </c>
    </row>
    <row r="378" spans="2:19" s="131" customFormat="1" ht="15" customHeight="1" outlineLevel="1">
      <c r="B378" s="376" t="s">
        <v>150</v>
      </c>
      <c r="D378" s="132"/>
      <c r="E378" s="132"/>
      <c r="F378" s="388"/>
      <c r="G378" s="388"/>
      <c r="H378" s="387">
        <v>0</v>
      </c>
      <c r="I378" s="442">
        <f>YEARFRAC(Model!I366,Model!H366)</f>
        <v>0.75</v>
      </c>
      <c r="J378" s="442">
        <f>YEARFRAC(Model!J366,Model!I366)</f>
        <v>1</v>
      </c>
      <c r="K378" s="442">
        <f>YEARFRAC(Model!K366,Model!J366)</f>
        <v>1</v>
      </c>
      <c r="L378" s="442">
        <f>YEARFRAC(Model!L366,Model!K366)</f>
        <v>1</v>
      </c>
      <c r="M378" s="442">
        <f>YEARFRAC(Model!M366,Model!L366)</f>
        <v>1</v>
      </c>
      <c r="N378" s="252"/>
      <c r="O378" s="377"/>
      <c r="Q378" s="697">
        <f>SUM(Model!I378:M378)</f>
        <v>4.75</v>
      </c>
      <c r="R378" s="709">
        <f>SUM(I378:M378)</f>
        <v>4.75</v>
      </c>
      <c r="S378" s="808">
        <f>IF(ISBLANK(Model!I378),0,IF(Q378=R378,1,0))</f>
        <v>1</v>
      </c>
    </row>
    <row r="379" spans="2:19" s="131" customFormat="1" ht="6" customHeight="1" outlineLevel="1">
      <c r="B379" s="376"/>
      <c r="D379" s="132"/>
      <c r="E379" s="132"/>
      <c r="F379" s="388"/>
      <c r="G379" s="388"/>
      <c r="H379" s="387"/>
      <c r="I379" s="386"/>
      <c r="J379" s="386"/>
      <c r="K379" s="386"/>
      <c r="L379" s="386"/>
      <c r="M379" s="386"/>
      <c r="N379" s="252"/>
      <c r="O379" s="377"/>
      <c r="Q379" s="710"/>
      <c r="R379" s="711"/>
      <c r="S379" s="819"/>
    </row>
    <row r="380" spans="2:19" s="131" customFormat="1" ht="15" customHeight="1" outlineLevel="1">
      <c r="B380" s="229" t="s">
        <v>147</v>
      </c>
      <c r="D380" s="400"/>
      <c r="E380" s="132"/>
      <c r="F380" s="34"/>
      <c r="G380" s="252"/>
      <c r="H380" s="387">
        <v>0</v>
      </c>
      <c r="I380" s="395">
        <f>Model!I373*Model!I$378</f>
        <v>10911.839264622955</v>
      </c>
      <c r="J380" s="395">
        <f>Model!J373*Model!J$378</f>
        <v>13958.672655205934</v>
      </c>
      <c r="K380" s="395">
        <f>Model!K373*Model!K$378</f>
        <v>10523.496573841043</v>
      </c>
      <c r="L380" s="395">
        <f>Model!L373*Model!L$378</f>
        <v>10254.62458548319</v>
      </c>
      <c r="M380" s="395">
        <f>Model!M373*Model!M$378</f>
        <v>9804.7902780381755</v>
      </c>
      <c r="N380" s="252"/>
      <c r="O380" s="377"/>
      <c r="Q380" s="704">
        <f>SUM(Model!I380:M380)</f>
        <v>55453.423357191299</v>
      </c>
      <c r="R380" s="702">
        <f>SUM(I380:M380)</f>
        <v>55453.423357191299</v>
      </c>
      <c r="S380" s="808">
        <f>IF(ISBLANK(Model!I380),0,IF(Q380=R380,1,0))</f>
        <v>1</v>
      </c>
    </row>
    <row r="381" spans="2:19" s="131" customFormat="1" ht="15" customHeight="1" outlineLevel="1">
      <c r="B381" s="229" t="s">
        <v>146</v>
      </c>
      <c r="D381" s="132"/>
      <c r="E381" s="132"/>
      <c r="F381" s="34"/>
      <c r="G381" s="252"/>
      <c r="H381" s="394">
        <v>0</v>
      </c>
      <c r="I381" s="397">
        <f>Model!I374*Model!I$378</f>
        <v>0</v>
      </c>
      <c r="J381" s="397">
        <f>Model!J374*Model!J$378</f>
        <v>0</v>
      </c>
      <c r="K381" s="397">
        <f>Model!K374*Model!K$378</f>
        <v>0</v>
      </c>
      <c r="L381" s="397">
        <f>Model!L374*Model!L$378</f>
        <v>0</v>
      </c>
      <c r="M381" s="397">
        <f>Model!M374*Model!M$378</f>
        <v>122512.930716973</v>
      </c>
      <c r="N381" s="252"/>
      <c r="O381" s="377"/>
      <c r="Q381" s="704">
        <f>SUM(Model!I381:M381)</f>
        <v>122512.930716973</v>
      </c>
      <c r="R381" s="702">
        <f t="shared" ref="R381:R382" si="62">SUM(I381:M381)</f>
        <v>122512.930716973</v>
      </c>
      <c r="S381" s="808">
        <f>IF(ISBLANK(Model!I381),0,IF(Q381=R381,1,0))</f>
        <v>1</v>
      </c>
    </row>
    <row r="382" spans="2:19" s="131" customFormat="1" ht="15" customHeight="1" outlineLevel="1">
      <c r="B382" s="229" t="s">
        <v>145</v>
      </c>
      <c r="D382" s="375"/>
      <c r="E382" s="375"/>
      <c r="F382" s="252"/>
      <c r="G382" s="252"/>
      <c r="H382" s="385">
        <f t="shared" ref="H382" si="63">SUM(H380:H381)</f>
        <v>0</v>
      </c>
      <c r="I382" s="395">
        <f>SUM(Model!I380:I381)</f>
        <v>10911.839264622955</v>
      </c>
      <c r="J382" s="395">
        <f>SUM(Model!J380:J381)</f>
        <v>13958.672655205934</v>
      </c>
      <c r="K382" s="395">
        <f>SUM(Model!K380:K381)</f>
        <v>10523.496573841043</v>
      </c>
      <c r="L382" s="395">
        <f>SUM(Model!L380:L381)</f>
        <v>10254.62458548319</v>
      </c>
      <c r="M382" s="395">
        <f>SUM(Model!M380:M381)</f>
        <v>132317.72099501119</v>
      </c>
      <c r="N382" s="252"/>
      <c r="O382" s="377"/>
      <c r="Q382" s="705">
        <f>SUM(Model!I382:M382)</f>
        <v>177966.35407416429</v>
      </c>
      <c r="R382" s="703">
        <f t="shared" si="62"/>
        <v>177966.35407416429</v>
      </c>
      <c r="S382" s="809">
        <f>IF(ISBLANK(Model!I382),0,IF(Q382=R382,1,0))</f>
        <v>1</v>
      </c>
    </row>
    <row r="383" spans="2:19" s="131" customFormat="1" ht="15" customHeight="1" outlineLevel="1">
      <c r="B383" s="376"/>
      <c r="D383" s="132"/>
      <c r="E383" s="132"/>
      <c r="F383" s="388"/>
      <c r="G383" s="388"/>
      <c r="H383" s="387"/>
      <c r="I383" s="386"/>
      <c r="J383" s="386"/>
      <c r="K383" s="386"/>
      <c r="L383" s="386"/>
      <c r="M383" s="386"/>
      <c r="N383" s="252"/>
      <c r="O383" s="377"/>
    </row>
    <row r="384" spans="2:19" s="131" customFormat="1" ht="15" customHeight="1" outlineLevel="1" thickBot="1">
      <c r="B384" s="370" t="s">
        <v>149</v>
      </c>
      <c r="D384" s="132"/>
      <c r="E384" s="132"/>
      <c r="F384" s="34"/>
      <c r="G384" s="132"/>
      <c r="H384" s="132"/>
      <c r="I384" s="136"/>
      <c r="J384" s="136"/>
      <c r="K384" s="136"/>
      <c r="L384" s="136"/>
      <c r="M384" s="136"/>
      <c r="N384" s="252"/>
      <c r="O384" s="377"/>
      <c r="Q384" s="662" t="s">
        <v>277</v>
      </c>
      <c r="R384" s="663" t="s">
        <v>278</v>
      </c>
      <c r="S384" s="664" t="s">
        <v>279</v>
      </c>
    </row>
    <row r="385" spans="2:23" s="131" customFormat="1" ht="15" customHeight="1" outlineLevel="1">
      <c r="B385" s="376" t="s">
        <v>148</v>
      </c>
      <c r="C385" s="34"/>
      <c r="D385" s="132"/>
      <c r="E385" s="132"/>
      <c r="F385" s="252"/>
      <c r="G385" s="252"/>
      <c r="H385" s="257">
        <v>0</v>
      </c>
      <c r="I385" s="255">
        <f>H385+YEARFRAC(Model!H367,Model!I367)</f>
        <v>0.25</v>
      </c>
      <c r="J385" s="255">
        <f>I385+YEARFRAC(Model!I367,Model!J367)</f>
        <v>1.25</v>
      </c>
      <c r="K385" s="255">
        <f>J385+YEARFRAC(Model!J367,Model!K367)</f>
        <v>2.25</v>
      </c>
      <c r="L385" s="255">
        <f>K385+YEARFRAC(Model!K367,Model!L367)</f>
        <v>3.25</v>
      </c>
      <c r="M385" s="255">
        <f>L385+YEARFRAC(Model!L367,Model!M367)</f>
        <v>4.25</v>
      </c>
      <c r="N385" s="252"/>
      <c r="O385" s="377"/>
      <c r="Q385" s="691">
        <f>SUM(Model!I385:M385)</f>
        <v>11.25</v>
      </c>
      <c r="R385" s="690">
        <f>SUM(I385:M385)</f>
        <v>11.25</v>
      </c>
      <c r="S385" s="808">
        <f>IF(ISBLANK(Model!I385),0,IF(Q385=R385,1,0))</f>
        <v>1</v>
      </c>
    </row>
    <row r="386" spans="2:23" s="131" customFormat="1" ht="6" customHeight="1" outlineLevel="1">
      <c r="B386" s="376"/>
      <c r="C386" s="34"/>
      <c r="D386" s="132"/>
      <c r="E386" s="132"/>
      <c r="F386" s="252"/>
      <c r="G386" s="252"/>
      <c r="H386" s="257"/>
      <c r="I386" s="392"/>
      <c r="J386" s="392"/>
      <c r="K386" s="392"/>
      <c r="L386" s="392"/>
      <c r="M386" s="392"/>
      <c r="N386" s="252"/>
      <c r="O386" s="377"/>
      <c r="Q386" s="710"/>
      <c r="R386" s="711"/>
      <c r="S386" s="819"/>
    </row>
    <row r="387" spans="2:23" s="131" customFormat="1" ht="15" customHeight="1" outlineLevel="1">
      <c r="B387" s="229" t="s">
        <v>147</v>
      </c>
      <c r="D387" s="400"/>
      <c r="E387" s="132"/>
      <c r="F387" s="34"/>
      <c r="G387" s="252"/>
      <c r="H387" s="391">
        <v>0</v>
      </c>
      <c r="I387" s="395">
        <f>Model!I380/(1+$C$367)^Model!I$385</f>
        <v>10661.142810939264</v>
      </c>
      <c r="J387" s="395">
        <f>Model!J380/(1+$C$367)^Model!J$385</f>
        <v>12427.195408225001</v>
      </c>
      <c r="K387" s="395">
        <f>Model!K380/(1+$C$367)^Model!K$385</f>
        <v>8537.1374218976744</v>
      </c>
      <c r="L387" s="395">
        <f>Model!L380/(1+$C$367)^Model!L$385</f>
        <v>7580.4533206082488</v>
      </c>
      <c r="M387" s="395">
        <f>Model!M380/(1+$C$367)^Model!M$385</f>
        <v>6604.4540707862934</v>
      </c>
      <c r="N387" s="252"/>
      <c r="O387" s="377"/>
      <c r="Q387" s="704">
        <f>SUM(Model!I387:M387)</f>
        <v>45810.383032456477</v>
      </c>
      <c r="R387" s="702">
        <f>SUM(I387:M387)</f>
        <v>45810.383032456477</v>
      </c>
      <c r="S387" s="808">
        <f>IF(ISBLANK(Model!I387),0,IF(Q387=R387,1,0))</f>
        <v>1</v>
      </c>
    </row>
    <row r="388" spans="2:23" s="131" customFormat="1" ht="15" customHeight="1" outlineLevel="1">
      <c r="B388" s="229" t="s">
        <v>146</v>
      </c>
      <c r="D388" s="132"/>
      <c r="E388" s="132"/>
      <c r="F388" s="34"/>
      <c r="G388" s="252"/>
      <c r="H388" s="394">
        <v>0</v>
      </c>
      <c r="I388" s="397">
        <f>Model!I381/(1+$C$367)^Model!I$385</f>
        <v>0</v>
      </c>
      <c r="J388" s="397">
        <f>Model!J381/(1+$C$367)^Model!J$385</f>
        <v>0</v>
      </c>
      <c r="K388" s="397">
        <f>Model!K381/(1+$C$367)^Model!K$385</f>
        <v>0</v>
      </c>
      <c r="L388" s="397">
        <f>Model!L381/(1+$C$367)^Model!L$385</f>
        <v>0</v>
      </c>
      <c r="M388" s="397">
        <f>Model!M381/(1+$C$367)^Model!M$385</f>
        <v>82524.052126851733</v>
      </c>
      <c r="N388" s="252"/>
      <c r="O388" s="377"/>
      <c r="Q388" s="704">
        <f>SUM(Model!I388:M388)</f>
        <v>82524.052126851733</v>
      </c>
      <c r="R388" s="702">
        <f t="shared" ref="R388:R389" si="64">SUM(I388:M388)</f>
        <v>82524.052126851733</v>
      </c>
      <c r="S388" s="808">
        <f>IF(ISBLANK(Model!I388),0,IF(Q388=R388,1,0))</f>
        <v>1</v>
      </c>
    </row>
    <row r="389" spans="2:23" s="131" customFormat="1" ht="15" customHeight="1" outlineLevel="1">
      <c r="B389" s="229" t="s">
        <v>145</v>
      </c>
      <c r="D389" s="375"/>
      <c r="E389" s="375"/>
      <c r="F389" s="252"/>
      <c r="G389" s="252"/>
      <c r="H389" s="385">
        <f t="shared" ref="H389" si="65">SUM(H387:H388)</f>
        <v>0</v>
      </c>
      <c r="I389" s="395">
        <f>SUM(Model!I387:I388)</f>
        <v>10661.142810939264</v>
      </c>
      <c r="J389" s="395">
        <f>SUM(Model!J387:J388)</f>
        <v>12427.195408225001</v>
      </c>
      <c r="K389" s="395">
        <f>SUM(Model!K387:K388)</f>
        <v>8537.1374218976744</v>
      </c>
      <c r="L389" s="395">
        <f>SUM(Model!L387:L388)</f>
        <v>7580.4533206082488</v>
      </c>
      <c r="M389" s="395">
        <f>SUM(Model!M387:M388)</f>
        <v>89128.506197638024</v>
      </c>
      <c r="N389" s="252"/>
      <c r="O389" s="377"/>
      <c r="Q389" s="705">
        <f>SUM(Model!I389:M389)</f>
        <v>128334.43515930821</v>
      </c>
      <c r="R389" s="703">
        <f t="shared" si="64"/>
        <v>128334.43515930821</v>
      </c>
      <c r="S389" s="809">
        <f>IF(ISBLANK(Model!I389),0,IF(Q389=R389,1,0))</f>
        <v>1</v>
      </c>
    </row>
    <row r="390" spans="2:23" s="131" customFormat="1" ht="15" customHeight="1" outlineLevel="1">
      <c r="B390" s="376"/>
      <c r="D390" s="132"/>
      <c r="E390" s="132"/>
      <c r="F390" s="388"/>
      <c r="G390" s="388"/>
      <c r="H390" s="387"/>
      <c r="I390" s="386"/>
      <c r="J390" s="386"/>
      <c r="K390" s="386"/>
      <c r="L390" s="386"/>
      <c r="M390" s="386"/>
      <c r="N390" s="252"/>
      <c r="O390" s="377"/>
    </row>
    <row r="391" spans="2:23" ht="15" customHeight="1" outlineLevel="1">
      <c r="F391" s="37"/>
      <c r="G391" s="37"/>
      <c r="H391" s="37"/>
      <c r="I391" s="37"/>
      <c r="J391" s="37"/>
      <c r="K391" s="37"/>
      <c r="L391" s="37"/>
      <c r="M391" s="37"/>
    </row>
    <row r="392" spans="2:23" ht="15" customHeight="1" outlineLevel="1" thickBot="1">
      <c r="F392" s="114" t="s">
        <v>144</v>
      </c>
      <c r="G392" s="383"/>
      <c r="H392" s="37"/>
      <c r="I392" s="37"/>
      <c r="J392" s="114" t="s">
        <v>144</v>
      </c>
      <c r="K392" s="383"/>
      <c r="L392" s="37"/>
      <c r="M392" s="37"/>
      <c r="Q392" s="662" t="s">
        <v>277</v>
      </c>
      <c r="R392" s="663" t="s">
        <v>278</v>
      </c>
      <c r="S392" s="664" t="s">
        <v>279</v>
      </c>
      <c r="U392" s="662" t="s">
        <v>277</v>
      </c>
      <c r="V392" s="663" t="s">
        <v>278</v>
      </c>
      <c r="W392" s="664" t="s">
        <v>279</v>
      </c>
    </row>
    <row r="393" spans="2:23" ht="15" customHeight="1" outlineLevel="1">
      <c r="F393" s="380" t="s">
        <v>143</v>
      </c>
      <c r="G393" s="379"/>
      <c r="H393" s="381">
        <f>SUM(Model!I389:M389)</f>
        <v>128334.43515930821</v>
      </c>
      <c r="I393" s="37"/>
      <c r="J393" s="380" t="s">
        <v>142</v>
      </c>
      <c r="K393" s="379"/>
      <c r="L393" s="439">
        <f>Model!M393/Model!$M$395</f>
        <v>0.35696095888519447</v>
      </c>
      <c r="M393" s="381">
        <f>SUM(Model!I387:M387)</f>
        <v>45810.383032456477</v>
      </c>
      <c r="Q393" s="704">
        <f>Model!H393</f>
        <v>128334.43515930821</v>
      </c>
      <c r="R393" s="702">
        <f>H393</f>
        <v>128334.43515930821</v>
      </c>
      <c r="S393" s="808">
        <f>IF(ISBLANK(Model!H393),0,IF(Q393=R393,1,0))</f>
        <v>1</v>
      </c>
      <c r="U393" s="704">
        <f>SUM(Model!L393:M393)</f>
        <v>45810.739993415365</v>
      </c>
      <c r="V393" s="702">
        <f>IFERROR(SUM(L393:M393),0)</f>
        <v>45810.739993415365</v>
      </c>
      <c r="W393" s="808">
        <f>IF(ISBLANK(Model!M393),0,IF(U393=V393,1,0))</f>
        <v>1</v>
      </c>
    </row>
    <row r="394" spans="2:23" ht="15" customHeight="1" outlineLevel="1">
      <c r="F394" s="373" t="s">
        <v>162</v>
      </c>
      <c r="G394" s="372"/>
      <c r="H394" s="374">
        <f>XNPV(C367,Model!H382:M382,Model!H367:M367)</f>
        <v>128312.63634373384</v>
      </c>
      <c r="I394" s="37"/>
      <c r="J394" s="366" t="s">
        <v>140</v>
      </c>
      <c r="K394" s="37"/>
      <c r="L394" s="441">
        <f>Model!M394/Model!$M$395</f>
        <v>0.64303904111480548</v>
      </c>
      <c r="M394" s="440">
        <f>SUM(Model!I388:M388)</f>
        <v>82524.052126851733</v>
      </c>
      <c r="Q394" s="705">
        <f>Model!H394</f>
        <v>128312.63634373384</v>
      </c>
      <c r="R394" s="703">
        <f>IFERROR(H394,0)</f>
        <v>128312.63634373384</v>
      </c>
      <c r="S394" s="809">
        <f>IF(ISBLANK(Model!H394),0,IF(Q394=R394,1,0))</f>
        <v>1</v>
      </c>
      <c r="U394" s="704">
        <f>SUM(Model!L394:M394)</f>
        <v>82524.695165892845</v>
      </c>
      <c r="V394" s="702">
        <f t="shared" ref="V394:V395" si="66">IFERROR(SUM(L394:M394),0)</f>
        <v>82524.695165892845</v>
      </c>
      <c r="W394" s="808">
        <f>IF(ISBLANK(Model!M394),0,IF(U394=V394,1,0))</f>
        <v>1</v>
      </c>
    </row>
    <row r="395" spans="2:23" ht="15" customHeight="1" outlineLevel="1">
      <c r="I395" s="37"/>
      <c r="J395" s="366" t="s">
        <v>137</v>
      </c>
      <c r="K395" s="37"/>
      <c r="L395" s="439">
        <f>Model!M395/Model!$M$395</f>
        <v>1</v>
      </c>
      <c r="M395" s="381">
        <f>SUM(Model!M393:M394)</f>
        <v>128334.43515930821</v>
      </c>
      <c r="U395" s="705">
        <f>SUM(Model!L395:M395)</f>
        <v>128335.43515930821</v>
      </c>
      <c r="V395" s="703">
        <f t="shared" si="66"/>
        <v>128335.43515930821</v>
      </c>
      <c r="W395" s="809">
        <f>IF(ISBLANK(Model!M395),0,IF(U395=V395,1,0))</f>
        <v>1</v>
      </c>
    </row>
    <row r="396" spans="2:23" ht="15" customHeight="1" outlineLevel="1">
      <c r="F396" s="37"/>
      <c r="G396" s="37"/>
      <c r="H396" s="37"/>
      <c r="I396" s="37"/>
      <c r="J396" s="379"/>
      <c r="K396" s="379"/>
      <c r="L396" s="379"/>
      <c r="M396" s="379"/>
    </row>
    <row r="397" spans="2:23" ht="15" customHeight="1" outlineLevel="1">
      <c r="F397" s="37"/>
      <c r="G397" s="37"/>
      <c r="H397" s="37"/>
      <c r="I397" s="37"/>
      <c r="J397" s="37"/>
      <c r="K397" s="37"/>
      <c r="L397" s="37"/>
      <c r="M397" s="37"/>
    </row>
    <row r="398" spans="2:23" ht="15" customHeight="1" outlineLevel="1" thickBot="1">
      <c r="F398" s="114" t="s">
        <v>139</v>
      </c>
      <c r="G398" s="252"/>
      <c r="H398" s="37"/>
      <c r="I398" s="37"/>
      <c r="J398" s="114" t="s">
        <v>138</v>
      </c>
      <c r="K398" s="252"/>
      <c r="L398" s="37"/>
      <c r="M398" s="37"/>
      <c r="Q398" s="662" t="s">
        <v>277</v>
      </c>
      <c r="R398" s="663" t="s">
        <v>278</v>
      </c>
      <c r="S398" s="664" t="s">
        <v>279</v>
      </c>
      <c r="U398" s="662" t="s">
        <v>277</v>
      </c>
      <c r="V398" s="663" t="s">
        <v>278</v>
      </c>
      <c r="W398" s="664" t="s">
        <v>279</v>
      </c>
    </row>
    <row r="399" spans="2:23" ht="15" customHeight="1" outlineLevel="1">
      <c r="F399" s="380" t="s">
        <v>137</v>
      </c>
      <c r="G399" s="379"/>
      <c r="H399" s="436">
        <f>Model!H394</f>
        <v>128312.63634373384</v>
      </c>
      <c r="I399" s="435"/>
      <c r="J399" s="380" t="s">
        <v>26</v>
      </c>
      <c r="K399" s="379"/>
      <c r="L399" s="379"/>
      <c r="M399" s="381">
        <f>Model!H401</f>
        <v>109670.63634373384</v>
      </c>
      <c r="Q399" s="704">
        <f>Model!H399</f>
        <v>128312.63634373384</v>
      </c>
      <c r="R399" s="702">
        <f>H399</f>
        <v>128312.63634373384</v>
      </c>
      <c r="S399" s="808">
        <f>IF(ISBLANK(Model!H399),0,IF(Q399=R399,1,0))</f>
        <v>1</v>
      </c>
      <c r="U399" s="704">
        <f>Model!M399</f>
        <v>109670.63634373384</v>
      </c>
      <c r="V399" s="702">
        <f>M399</f>
        <v>109670.63634373384</v>
      </c>
      <c r="W399" s="808">
        <f>IF(ISBLANK(Model!M399),0,IF(U399=V399,1,0))</f>
        <v>1</v>
      </c>
    </row>
    <row r="400" spans="2:23" ht="15" customHeight="1" outlineLevel="1">
      <c r="F400" s="366" t="s">
        <v>136</v>
      </c>
      <c r="G400" s="37"/>
      <c r="H400" s="126">
        <f>-Inputs!L94</f>
        <v>-18642</v>
      </c>
      <c r="I400" s="435"/>
      <c r="J400" s="366" t="s">
        <v>32</v>
      </c>
      <c r="K400" s="37"/>
      <c r="L400" s="438" t="s">
        <v>31</v>
      </c>
      <c r="M400" s="437">
        <f>Inputs!F105</f>
        <v>34200</v>
      </c>
      <c r="Q400" s="684"/>
      <c r="R400" s="681"/>
      <c r="S400" s="816"/>
      <c r="U400" s="684"/>
      <c r="V400" s="681"/>
      <c r="W400" s="816"/>
    </row>
    <row r="401" spans="1:23" ht="15" customHeight="1" outlineLevel="1">
      <c r="F401" s="366" t="s">
        <v>26</v>
      </c>
      <c r="G401" s="37"/>
      <c r="H401" s="436">
        <f>SUM(Model!H399:H400)</f>
        <v>109670.63634373384</v>
      </c>
      <c r="I401" s="435"/>
      <c r="J401" s="366" t="s">
        <v>26</v>
      </c>
      <c r="K401" s="37"/>
      <c r="L401" s="434" t="s">
        <v>135</v>
      </c>
      <c r="M401" s="433">
        <f>Model!M399/Model!M400</f>
        <v>3.2067437527407558</v>
      </c>
      <c r="Q401" s="705">
        <f>Model!H401</f>
        <v>109670.63634373384</v>
      </c>
      <c r="R401" s="703">
        <f>H401</f>
        <v>109670.63634373384</v>
      </c>
      <c r="S401" s="809">
        <f>IF(Q401=R401,1,0)</f>
        <v>1</v>
      </c>
      <c r="U401" s="713">
        <f>Model!M401</f>
        <v>3.2067437527407558</v>
      </c>
      <c r="V401" s="712">
        <f>M401</f>
        <v>3.2067437527407558</v>
      </c>
      <c r="W401" s="809">
        <f>IF(ISBLANK(Model!M401),0,IF(U401=V401,1,0))</f>
        <v>1</v>
      </c>
    </row>
    <row r="402" spans="1:23" ht="15" customHeight="1" outlineLevel="1">
      <c r="C402" s="252"/>
      <c r="F402" s="379"/>
      <c r="G402" s="379"/>
      <c r="H402" s="379"/>
      <c r="I402" s="37"/>
      <c r="J402" s="379"/>
      <c r="K402" s="379"/>
      <c r="L402" s="379"/>
      <c r="M402" s="379"/>
    </row>
    <row r="403" spans="1:23" ht="15" customHeight="1" outlineLevel="1">
      <c r="C403" s="252"/>
      <c r="F403" s="37"/>
      <c r="G403" s="37"/>
      <c r="H403" s="37"/>
      <c r="I403" s="37"/>
      <c r="J403" s="37"/>
      <c r="K403" s="37"/>
      <c r="L403" s="37"/>
      <c r="M403" s="37"/>
    </row>
    <row r="404" spans="1:23" s="131" customFormat="1" ht="15" customHeight="1" outlineLevel="1">
      <c r="C404" s="140"/>
      <c r="D404" s="132"/>
      <c r="E404" s="132"/>
      <c r="F404" s="404"/>
      <c r="G404" s="404"/>
      <c r="H404" s="404"/>
      <c r="I404" s="432"/>
      <c r="J404" s="432"/>
      <c r="K404" s="432"/>
      <c r="L404" s="432"/>
      <c r="M404" s="431" t="s">
        <v>161</v>
      </c>
      <c r="O404" s="98"/>
      <c r="S404" s="716" t="str">
        <f>IF(SUM(S365:S401)+SUM(W392:W401)=23,"COMPLETE","")</f>
        <v>COMPLETE</v>
      </c>
    </row>
    <row r="405" spans="1:23" s="131" customFormat="1" ht="15" customHeight="1" outlineLevel="1">
      <c r="C405" s="140"/>
      <c r="D405" s="132"/>
      <c r="E405" s="132"/>
      <c r="F405" s="132"/>
      <c r="G405" s="132"/>
      <c r="H405" s="132"/>
      <c r="I405" s="136"/>
      <c r="J405" s="136"/>
      <c r="K405" s="136"/>
      <c r="L405" s="136"/>
      <c r="M405" s="430"/>
      <c r="O405" s="98"/>
    </row>
    <row r="406" spans="1:23" s="131" customFormat="1" ht="15" customHeight="1" outlineLevel="1">
      <c r="B406" s="357"/>
      <c r="C406" s="240"/>
      <c r="D406" s="356"/>
      <c r="E406" s="356"/>
      <c r="F406" s="356"/>
      <c r="G406" s="356"/>
      <c r="H406" s="356"/>
      <c r="I406" s="355"/>
      <c r="J406" s="355"/>
      <c r="K406" s="355"/>
      <c r="L406" s="355"/>
      <c r="M406" s="355"/>
      <c r="N406" s="355"/>
    </row>
    <row r="407" spans="1:23" s="131" customFormat="1" ht="15" customHeight="1">
      <c r="B407" s="122"/>
      <c r="C407" s="140"/>
      <c r="D407" s="132"/>
      <c r="E407" s="132"/>
      <c r="F407" s="132"/>
      <c r="G407" s="132"/>
      <c r="H407" s="132"/>
      <c r="I407" s="136"/>
      <c r="J407" s="136"/>
      <c r="K407" s="136"/>
      <c r="L407" s="136"/>
      <c r="M407" s="136"/>
      <c r="N407" s="136"/>
    </row>
    <row r="408" spans="1:23" s="131" customFormat="1" ht="15" customHeight="1">
      <c r="A408" s="131" t="s">
        <v>0</v>
      </c>
      <c r="B408" s="144" t="s">
        <v>160</v>
      </c>
      <c r="C408" s="143"/>
      <c r="D408" s="429"/>
      <c r="E408" s="429"/>
      <c r="F408" s="141"/>
      <c r="G408" s="141"/>
      <c r="H408" s="141"/>
      <c r="I408" s="428"/>
      <c r="J408" s="427"/>
      <c r="K408" s="427"/>
      <c r="L408" s="427"/>
      <c r="M408" s="427"/>
      <c r="N408" s="427"/>
    </row>
    <row r="409" spans="1:23" s="131" customFormat="1" ht="15" customHeight="1" outlineLevel="1">
      <c r="B409" s="304"/>
      <c r="C409" s="140"/>
      <c r="D409" s="139"/>
    </row>
    <row r="410" spans="1:23" s="131" customFormat="1" ht="15" customHeight="1" outlineLevel="1">
      <c r="B410" s="122" t="s">
        <v>40</v>
      </c>
      <c r="C410" s="140"/>
      <c r="D410" s="139"/>
      <c r="E410" s="139"/>
      <c r="F410" s="138"/>
      <c r="G410" s="138"/>
      <c r="H410" s="138"/>
      <c r="I410" s="138"/>
      <c r="J410" s="138"/>
      <c r="K410" s="138"/>
      <c r="L410" s="138"/>
      <c r="M410" s="138"/>
      <c r="N410" s="138"/>
      <c r="O410" s="401"/>
    </row>
    <row r="411" spans="1:23" s="131" customFormat="1" ht="15" customHeight="1" outlineLevel="1">
      <c r="B411" s="122" t="str">
        <f>$B$6</f>
        <v>Model Running: Base Case Drivers</v>
      </c>
      <c r="E411" s="139"/>
      <c r="F411" s="138"/>
      <c r="G411" s="138"/>
      <c r="H411" s="426" t="s">
        <v>61</v>
      </c>
      <c r="I411" s="425" t="s">
        <v>147</v>
      </c>
      <c r="J411" s="424"/>
      <c r="K411" s="424"/>
      <c r="L411" s="424"/>
      <c r="M411" s="424"/>
      <c r="N411" s="423" t="s">
        <v>131</v>
      </c>
      <c r="O411" s="410"/>
    </row>
    <row r="412" spans="1:23" s="131" customFormat="1" ht="15" customHeight="1" outlineLevel="1" thickBot="1">
      <c r="E412" s="132"/>
      <c r="H412" s="422" t="s">
        <v>68</v>
      </c>
      <c r="I412" s="422" t="s">
        <v>68</v>
      </c>
      <c r="J412" s="421" t="s">
        <v>68</v>
      </c>
      <c r="K412" s="421" t="s">
        <v>68</v>
      </c>
      <c r="L412" s="421" t="s">
        <v>68</v>
      </c>
      <c r="M412" s="421" t="s">
        <v>68</v>
      </c>
      <c r="N412" s="420" t="s">
        <v>68</v>
      </c>
      <c r="O412" s="410"/>
      <c r="Q412" s="662" t="s">
        <v>277</v>
      </c>
      <c r="R412" s="663" t="s">
        <v>278</v>
      </c>
      <c r="S412" s="664" t="s">
        <v>279</v>
      </c>
    </row>
    <row r="413" spans="1:23" s="131" customFormat="1" ht="15" customHeight="1" outlineLevel="1">
      <c r="B413" s="419" t="s">
        <v>24</v>
      </c>
      <c r="C413" s="418">
        <f>'Outputs-R'!O56</f>
        <v>7</v>
      </c>
      <c r="E413" s="132"/>
      <c r="F413" s="414" t="s">
        <v>159</v>
      </c>
      <c r="H413" s="413">
        <f>Inputs!F94</f>
        <v>45016</v>
      </c>
      <c r="I413" s="413">
        <f>Inputs!F96</f>
        <v>45291</v>
      </c>
      <c r="J413" s="412">
        <f>EDATE(I413,12)</f>
        <v>45657</v>
      </c>
      <c r="K413" s="412">
        <f t="shared" ref="K413:N414" si="67">EDATE(J413,12)</f>
        <v>46022</v>
      </c>
      <c r="L413" s="412">
        <f t="shared" si="67"/>
        <v>46387</v>
      </c>
      <c r="M413" s="412">
        <f t="shared" si="67"/>
        <v>46752</v>
      </c>
      <c r="N413" s="417">
        <f t="shared" si="67"/>
        <v>47118</v>
      </c>
      <c r="O413" s="410"/>
      <c r="Q413" s="704">
        <f>SUM(Model!J413:N413)</f>
        <v>231936</v>
      </c>
      <c r="R413" s="702">
        <f>SUM(J413:N413)</f>
        <v>231936</v>
      </c>
      <c r="S413" s="808">
        <f>IF(Q413=R413,1,0)</f>
        <v>1</v>
      </c>
    </row>
    <row r="414" spans="1:23" s="131" customFormat="1" ht="15" customHeight="1" outlineLevel="1" thickBot="1">
      <c r="B414" s="416" t="s">
        <v>23</v>
      </c>
      <c r="C414" s="415">
        <f>Outputs!O57</f>
        <v>9.7429919540151538E-2</v>
      </c>
      <c r="D414" s="139"/>
      <c r="E414" s="132"/>
      <c r="F414" s="414" t="s">
        <v>158</v>
      </c>
      <c r="H414" s="413">
        <f>H413</f>
        <v>45016</v>
      </c>
      <c r="I414" s="413">
        <f>Inputs!F95</f>
        <v>45107</v>
      </c>
      <c r="J414" s="412">
        <f>EDATE(I414,12)</f>
        <v>45473</v>
      </c>
      <c r="K414" s="412">
        <f t="shared" si="67"/>
        <v>45838</v>
      </c>
      <c r="L414" s="412">
        <f t="shared" si="67"/>
        <v>46203</v>
      </c>
      <c r="M414" s="412">
        <f t="shared" si="67"/>
        <v>46568</v>
      </c>
      <c r="N414" s="411">
        <f t="shared" si="67"/>
        <v>46934</v>
      </c>
      <c r="O414" s="410"/>
      <c r="Q414" s="705">
        <f>SUM(Model!J414:N414)</f>
        <v>231016</v>
      </c>
      <c r="R414" s="703">
        <f>SUM(J414:N414)</f>
        <v>231016</v>
      </c>
      <c r="S414" s="809">
        <f>IF(Q414=R414,1,0)</f>
        <v>1</v>
      </c>
    </row>
    <row r="415" spans="1:23" s="131" customFormat="1" ht="15" customHeight="1" outlineLevel="1">
      <c r="B415" s="304"/>
      <c r="C415" s="140"/>
      <c r="D415" s="139"/>
      <c r="E415" s="139"/>
      <c r="F415" s="138"/>
      <c r="G415" s="138"/>
      <c r="H415" s="409"/>
      <c r="I415" s="409"/>
      <c r="J415" s="409"/>
      <c r="K415" s="409"/>
      <c r="L415" s="409"/>
      <c r="M415" s="409"/>
      <c r="N415" s="409"/>
      <c r="O415" s="401"/>
      <c r="S415" s="817"/>
    </row>
    <row r="416" spans="1:23" s="131" customFormat="1" ht="15" customHeight="1" outlineLevel="1">
      <c r="B416" s="104" t="s">
        <v>157</v>
      </c>
      <c r="C416" s="405"/>
      <c r="D416" s="404"/>
      <c r="E416" s="404"/>
      <c r="F416" s="252"/>
      <c r="G416" s="252"/>
      <c r="H416" s="408"/>
      <c r="I416" s="407">
        <f t="shared" ref="I416:N416" si="68">I$350</f>
        <v>14549.119019497273</v>
      </c>
      <c r="J416" s="407">
        <f t="shared" si="68"/>
        <v>13958.672655205934</v>
      </c>
      <c r="K416" s="407">
        <f t="shared" si="68"/>
        <v>10523.496573841043</v>
      </c>
      <c r="L416" s="407">
        <f t="shared" si="68"/>
        <v>10254.62458548319</v>
      </c>
      <c r="M416" s="407">
        <f t="shared" si="68"/>
        <v>9804.7902780381755</v>
      </c>
      <c r="N416" s="406">
        <f t="shared" si="68"/>
        <v>9486.1663680433794</v>
      </c>
      <c r="O416" s="401"/>
      <c r="S416" s="817"/>
    </row>
    <row r="417" spans="2:23" s="131" customFormat="1" ht="15" customHeight="1" outlineLevel="1">
      <c r="B417" s="104" t="s">
        <v>156</v>
      </c>
      <c r="C417" s="405"/>
      <c r="D417" s="404"/>
      <c r="E417" s="404"/>
      <c r="F417" s="252"/>
      <c r="G417" s="252"/>
      <c r="H417" s="403"/>
      <c r="I417" s="389"/>
      <c r="J417" s="389"/>
      <c r="K417" s="389"/>
      <c r="L417" s="389"/>
      <c r="M417" s="390"/>
      <c r="N417" s="402">
        <f>Model!N$335</f>
        <v>18929.660046379347</v>
      </c>
      <c r="O417" s="401"/>
      <c r="Q417" s="708">
        <f>Model!N417</f>
        <v>18929.660046379347</v>
      </c>
      <c r="R417" s="707">
        <f>N417</f>
        <v>18929.660046379347</v>
      </c>
      <c r="S417" s="818">
        <f>IF(ISBLANK(Model!N417),0,IF(Q417=R417,1,0))</f>
        <v>1</v>
      </c>
    </row>
    <row r="418" spans="2:23" s="131" customFormat="1" ht="15" customHeight="1" outlineLevel="1"/>
    <row r="419" spans="2:23" s="131" customFormat="1" ht="15" customHeight="1" outlineLevel="1" thickBot="1">
      <c r="B419" s="370" t="s">
        <v>155</v>
      </c>
      <c r="E419" s="132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Q419" s="662" t="s">
        <v>277</v>
      </c>
      <c r="R419" s="663" t="s">
        <v>278</v>
      </c>
      <c r="S419" s="664" t="s">
        <v>279</v>
      </c>
    </row>
    <row r="420" spans="2:23" s="131" customFormat="1" ht="15" customHeight="1" outlineLevel="1">
      <c r="B420" s="376" t="s">
        <v>147</v>
      </c>
      <c r="D420" s="400"/>
      <c r="E420" s="132"/>
      <c r="F420" s="399" t="s">
        <v>154</v>
      </c>
      <c r="G420" s="252"/>
      <c r="H420" s="387">
        <v>0</v>
      </c>
      <c r="I420" s="395">
        <f>Model!I416</f>
        <v>14549.119019497273</v>
      </c>
      <c r="J420" s="395">
        <f>Model!J416</f>
        <v>13958.672655205934</v>
      </c>
      <c r="K420" s="395">
        <f>Model!K416</f>
        <v>10523.496573841043</v>
      </c>
      <c r="L420" s="395">
        <f>Model!L416</f>
        <v>10254.62458548319</v>
      </c>
      <c r="M420" s="395">
        <f>Model!M416</f>
        <v>9804.7902780381755</v>
      </c>
      <c r="N420" s="395">
        <f>Model!N416</f>
        <v>9486.1663680433794</v>
      </c>
      <c r="O420" s="377"/>
      <c r="Q420" s="704">
        <f>SUM(Model!I420:N420)</f>
        <v>68576.869480109002</v>
      </c>
      <c r="R420" s="702">
        <f>SUM(I420:N420)</f>
        <v>68576.869480109002</v>
      </c>
      <c r="S420" s="808">
        <f>IF(ISBLANK(Model!I420),0,IF(Q420=R420,1,0))</f>
        <v>1</v>
      </c>
    </row>
    <row r="421" spans="2:23" s="131" customFormat="1" ht="15" customHeight="1" outlineLevel="1" thickBot="1">
      <c r="B421" s="376" t="s">
        <v>153</v>
      </c>
      <c r="D421" s="132"/>
      <c r="E421" s="132"/>
      <c r="F421" s="398" t="s">
        <v>152</v>
      </c>
      <c r="G421" s="252"/>
      <c r="H421" s="394">
        <v>0</v>
      </c>
      <c r="I421" s="394">
        <v>0</v>
      </c>
      <c r="J421" s="394">
        <v>0</v>
      </c>
      <c r="K421" s="394">
        <v>0</v>
      </c>
      <c r="L421" s="394">
        <v>0</v>
      </c>
      <c r="M421" s="394">
        <v>0</v>
      </c>
      <c r="N421" s="397">
        <f>(Model!N417*C413)/(1+C414)^Model!F422</f>
        <v>126488.91185543586</v>
      </c>
      <c r="O421" s="377"/>
      <c r="Q421" s="704">
        <f>Model!N421</f>
        <v>126488.91185543586</v>
      </c>
      <c r="R421" s="702">
        <f>N421</f>
        <v>126488.91185543586</v>
      </c>
      <c r="S421" s="808">
        <f>IF(ISBLANK(Model!N421),0,IF(Q421=R421,1,0))</f>
        <v>1</v>
      </c>
      <c r="U421" s="669" t="s">
        <v>277</v>
      </c>
      <c r="V421" s="668" t="s">
        <v>278</v>
      </c>
      <c r="W421" s="671" t="s">
        <v>279</v>
      </c>
    </row>
    <row r="422" spans="2:23" s="131" customFormat="1" ht="15" customHeight="1" outlineLevel="1">
      <c r="B422" s="376" t="s">
        <v>145</v>
      </c>
      <c r="D422" s="375"/>
      <c r="E422" s="375"/>
      <c r="F422" s="396">
        <f>YEARFRAC(Model!N414,Model!N413)</f>
        <v>0.5</v>
      </c>
      <c r="G422" s="252"/>
      <c r="H422" s="385">
        <f t="shared" ref="H422" si="69">SUM(H420:H421)</f>
        <v>0</v>
      </c>
      <c r="I422" s="395">
        <f>SUM(Model!I420:I421)</f>
        <v>14549.119019497273</v>
      </c>
      <c r="J422" s="395">
        <f>SUM(Model!J420:J421)</f>
        <v>13958.672655205934</v>
      </c>
      <c r="K422" s="395">
        <f>SUM(Model!K420:K421)</f>
        <v>10523.496573841043</v>
      </c>
      <c r="L422" s="395">
        <f>SUM(Model!L420:L421)</f>
        <v>10254.62458548319</v>
      </c>
      <c r="M422" s="395">
        <f>SUM(Model!M420:M421)</f>
        <v>9804.7902780381755</v>
      </c>
      <c r="N422" s="395">
        <f>SUM(Model!N420:N421)</f>
        <v>135975.07822347924</v>
      </c>
      <c r="O422" s="377"/>
      <c r="Q422" s="705">
        <f>SUM(Model!I422:N422)</f>
        <v>195065.78133554486</v>
      </c>
      <c r="R422" s="703">
        <f>SUM(I422:N422)</f>
        <v>195065.78133554486</v>
      </c>
      <c r="S422" s="809">
        <f>IF(ISBLANK(Model!I422),0,IF(Q422=R422,1,0))</f>
        <v>1</v>
      </c>
      <c r="U422" s="715">
        <f>Model!F422</f>
        <v>0.5</v>
      </c>
      <c r="V422" s="714">
        <f>F422</f>
        <v>0.5</v>
      </c>
      <c r="W422" s="806">
        <f>IF(ISBLANK(Model!F422),0,IF(U422=V422,1,0))</f>
        <v>1</v>
      </c>
    </row>
    <row r="423" spans="2:23" s="131" customFormat="1" ht="15" customHeight="1" outlineLevel="1">
      <c r="B423" s="370"/>
      <c r="D423" s="132"/>
      <c r="E423" s="132"/>
      <c r="F423" s="388"/>
      <c r="G423" s="388"/>
      <c r="H423" s="388"/>
      <c r="I423" s="388"/>
      <c r="J423" s="388"/>
      <c r="K423" s="388"/>
      <c r="L423" s="388"/>
      <c r="M423" s="34"/>
      <c r="N423" s="34"/>
      <c r="O423" s="377"/>
    </row>
    <row r="424" spans="2:23" s="131" customFormat="1" ht="15" customHeight="1" outlineLevel="1">
      <c r="B424" s="370" t="s">
        <v>151</v>
      </c>
      <c r="D424" s="132"/>
      <c r="E424" s="132"/>
      <c r="F424" s="388"/>
      <c r="G424" s="388"/>
      <c r="H424" s="387"/>
      <c r="I424" s="386"/>
      <c r="J424" s="386"/>
      <c r="K424" s="386"/>
      <c r="L424" s="386"/>
      <c r="M424" s="386"/>
      <c r="N424" s="386"/>
      <c r="O424" s="377"/>
    </row>
    <row r="425" spans="2:23" s="131" customFormat="1" ht="15" customHeight="1" outlineLevel="1">
      <c r="B425" s="376" t="s">
        <v>150</v>
      </c>
      <c r="D425" s="132"/>
      <c r="E425" s="132"/>
      <c r="F425" s="388"/>
      <c r="G425" s="388"/>
      <c r="H425" s="387">
        <v>0</v>
      </c>
      <c r="I425" s="386">
        <f t="shared" ref="I425:N425" si="70">YEARFRAC(I413,H413)</f>
        <v>0.75</v>
      </c>
      <c r="J425" s="386">
        <f t="shared" si="70"/>
        <v>1</v>
      </c>
      <c r="K425" s="386">
        <f t="shared" si="70"/>
        <v>1</v>
      </c>
      <c r="L425" s="386">
        <f t="shared" si="70"/>
        <v>1</v>
      </c>
      <c r="M425" s="386">
        <f t="shared" si="70"/>
        <v>1</v>
      </c>
      <c r="N425" s="386">
        <f t="shared" si="70"/>
        <v>1</v>
      </c>
      <c r="O425" s="377"/>
    </row>
    <row r="426" spans="2:23" s="131" customFormat="1" ht="6" customHeight="1" outlineLevel="1">
      <c r="B426" s="376"/>
      <c r="D426" s="132"/>
      <c r="E426" s="132"/>
      <c r="F426" s="388"/>
      <c r="G426" s="388"/>
      <c r="H426" s="387"/>
      <c r="I426" s="386"/>
      <c r="J426" s="386"/>
      <c r="K426" s="386"/>
      <c r="L426" s="386"/>
      <c r="M426" s="386"/>
      <c r="N426" s="386"/>
      <c r="O426" s="377"/>
    </row>
    <row r="427" spans="2:23" s="131" customFormat="1" ht="15" customHeight="1" outlineLevel="1">
      <c r="B427" s="229" t="s">
        <v>147</v>
      </c>
      <c r="D427" s="132"/>
      <c r="E427" s="132"/>
      <c r="F427" s="388"/>
      <c r="G427" s="388"/>
      <c r="H427" s="387">
        <v>0</v>
      </c>
      <c r="I427" s="385">
        <f t="shared" ref="I427:N428" si="71">I420*I$425</f>
        <v>10911.839264622955</v>
      </c>
      <c r="J427" s="385">
        <f t="shared" si="71"/>
        <v>13958.672655205934</v>
      </c>
      <c r="K427" s="385">
        <f t="shared" si="71"/>
        <v>10523.496573841043</v>
      </c>
      <c r="L427" s="385">
        <f t="shared" si="71"/>
        <v>10254.62458548319</v>
      </c>
      <c r="M427" s="385">
        <f t="shared" si="71"/>
        <v>9804.7902780381755</v>
      </c>
      <c r="N427" s="385">
        <f t="shared" si="71"/>
        <v>9486.1663680433794</v>
      </c>
      <c r="O427" s="377"/>
    </row>
    <row r="428" spans="2:23" s="131" customFormat="1" ht="15" customHeight="1" outlineLevel="1">
      <c r="B428" s="229" t="s">
        <v>146</v>
      </c>
      <c r="D428" s="132"/>
      <c r="E428" s="132"/>
      <c r="F428" s="388"/>
      <c r="G428" s="388"/>
      <c r="H428" s="394">
        <v>0</v>
      </c>
      <c r="I428" s="393">
        <f t="shared" si="71"/>
        <v>0</v>
      </c>
      <c r="J428" s="393">
        <f t="shared" si="71"/>
        <v>0</v>
      </c>
      <c r="K428" s="393">
        <f t="shared" si="71"/>
        <v>0</v>
      </c>
      <c r="L428" s="393">
        <f t="shared" si="71"/>
        <v>0</v>
      </c>
      <c r="M428" s="393">
        <f t="shared" si="71"/>
        <v>0</v>
      </c>
      <c r="N428" s="393">
        <f t="shared" si="71"/>
        <v>126488.91185543586</v>
      </c>
      <c r="O428" s="377"/>
    </row>
    <row r="429" spans="2:23" s="131" customFormat="1" ht="15" customHeight="1" outlineLevel="1">
      <c r="B429" s="229" t="s">
        <v>145</v>
      </c>
      <c r="D429" s="132"/>
      <c r="E429" s="132"/>
      <c r="F429" s="388"/>
      <c r="G429" s="388"/>
      <c r="H429" s="385">
        <f t="shared" ref="H429:N429" si="72">SUM(H427:H428)</f>
        <v>0</v>
      </c>
      <c r="I429" s="385">
        <f t="shared" si="72"/>
        <v>10911.839264622955</v>
      </c>
      <c r="J429" s="385">
        <f t="shared" si="72"/>
        <v>13958.672655205934</v>
      </c>
      <c r="K429" s="385">
        <f t="shared" si="72"/>
        <v>10523.496573841043</v>
      </c>
      <c r="L429" s="385">
        <f t="shared" si="72"/>
        <v>10254.62458548319</v>
      </c>
      <c r="M429" s="385">
        <f t="shared" si="72"/>
        <v>9804.7902780381755</v>
      </c>
      <c r="N429" s="385">
        <f t="shared" si="72"/>
        <v>135975.07822347924</v>
      </c>
      <c r="O429" s="377"/>
    </row>
    <row r="430" spans="2:23" s="131" customFormat="1" ht="15" customHeight="1" outlineLevel="1">
      <c r="B430" s="376"/>
      <c r="D430" s="132"/>
      <c r="E430" s="132"/>
      <c r="F430" s="388"/>
      <c r="G430" s="388"/>
      <c r="H430" s="387"/>
      <c r="I430" s="386"/>
      <c r="J430" s="386"/>
      <c r="K430" s="386"/>
      <c r="L430" s="386"/>
      <c r="M430" s="386"/>
      <c r="N430" s="386"/>
      <c r="O430" s="377"/>
    </row>
    <row r="431" spans="2:23" s="131" customFormat="1" ht="15" customHeight="1" outlineLevel="1">
      <c r="B431" s="370" t="s">
        <v>149</v>
      </c>
      <c r="D431" s="132"/>
      <c r="E431" s="132"/>
      <c r="F431" s="388"/>
      <c r="G431" s="388"/>
      <c r="H431" s="387"/>
      <c r="I431" s="386"/>
      <c r="J431" s="386"/>
      <c r="K431" s="386"/>
      <c r="L431" s="386"/>
      <c r="M431" s="386"/>
      <c r="N431" s="386"/>
      <c r="O431" s="377"/>
    </row>
    <row r="432" spans="2:23" s="131" customFormat="1" ht="15" customHeight="1" outlineLevel="1">
      <c r="B432" s="376" t="s">
        <v>148</v>
      </c>
      <c r="D432" s="132"/>
      <c r="E432" s="132"/>
      <c r="F432" s="388"/>
      <c r="G432" s="388"/>
      <c r="H432" s="257">
        <v>0</v>
      </c>
      <c r="I432" s="392">
        <f t="shared" ref="I432:N432" si="73">H432+YEARFRAC(H414,I414)</f>
        <v>0.25</v>
      </c>
      <c r="J432" s="392">
        <f t="shared" si="73"/>
        <v>1.25</v>
      </c>
      <c r="K432" s="392">
        <f t="shared" si="73"/>
        <v>2.25</v>
      </c>
      <c r="L432" s="392">
        <f t="shared" si="73"/>
        <v>3.25</v>
      </c>
      <c r="M432" s="392">
        <f t="shared" si="73"/>
        <v>4.25</v>
      </c>
      <c r="N432" s="392">
        <f t="shared" si="73"/>
        <v>5.25</v>
      </c>
      <c r="O432" s="377"/>
    </row>
    <row r="433" spans="2:19" s="131" customFormat="1" ht="6" customHeight="1" outlineLevel="1">
      <c r="B433" s="376"/>
      <c r="D433" s="132"/>
      <c r="E433" s="132"/>
      <c r="F433" s="388"/>
      <c r="G433" s="388"/>
      <c r="H433" s="257"/>
      <c r="I433" s="392"/>
      <c r="J433" s="392"/>
      <c r="K433" s="392"/>
      <c r="L433" s="392"/>
      <c r="M433" s="392"/>
      <c r="N433" s="392"/>
      <c r="O433" s="377"/>
    </row>
    <row r="434" spans="2:19" s="131" customFormat="1" ht="15" customHeight="1" outlineLevel="1">
      <c r="B434" s="229" t="s">
        <v>147</v>
      </c>
      <c r="D434" s="132"/>
      <c r="E434" s="132"/>
      <c r="F434" s="388"/>
      <c r="G434" s="388"/>
      <c r="H434" s="391">
        <v>0</v>
      </c>
      <c r="I434" s="126">
        <f t="shared" ref="I434:N435" si="74">I427/(1+$C$414)^I$432</f>
        <v>10661.142810939264</v>
      </c>
      <c r="J434" s="126">
        <f t="shared" si="74"/>
        <v>12427.195408225001</v>
      </c>
      <c r="K434" s="126">
        <f t="shared" si="74"/>
        <v>8537.1374218976744</v>
      </c>
      <c r="L434" s="126">
        <f t="shared" si="74"/>
        <v>7580.4533206082488</v>
      </c>
      <c r="M434" s="126">
        <f t="shared" si="74"/>
        <v>6604.4540707862934</v>
      </c>
      <c r="N434" s="126">
        <f t="shared" si="74"/>
        <v>5822.5410138142461</v>
      </c>
      <c r="O434" s="377"/>
    </row>
    <row r="435" spans="2:19" s="131" customFormat="1" ht="15" customHeight="1" outlineLevel="1">
      <c r="B435" s="229" t="s">
        <v>146</v>
      </c>
      <c r="D435" s="132"/>
      <c r="E435" s="132"/>
      <c r="F435" s="388"/>
      <c r="G435" s="388"/>
      <c r="H435" s="390">
        <v>0</v>
      </c>
      <c r="I435" s="389">
        <f t="shared" si="74"/>
        <v>0</v>
      </c>
      <c r="J435" s="389">
        <f t="shared" si="74"/>
        <v>0</v>
      </c>
      <c r="K435" s="389">
        <f t="shared" si="74"/>
        <v>0</v>
      </c>
      <c r="L435" s="389">
        <f t="shared" si="74"/>
        <v>0</v>
      </c>
      <c r="M435" s="389">
        <f t="shared" si="74"/>
        <v>0</v>
      </c>
      <c r="N435" s="389">
        <f t="shared" si="74"/>
        <v>77637.988677075919</v>
      </c>
      <c r="O435" s="377"/>
    </row>
    <row r="436" spans="2:19" s="131" customFormat="1" ht="15" customHeight="1" outlineLevel="1">
      <c r="B436" s="229" t="s">
        <v>145</v>
      </c>
      <c r="D436" s="132"/>
      <c r="E436" s="132"/>
      <c r="F436" s="388"/>
      <c r="G436" s="388"/>
      <c r="H436" s="385">
        <f t="shared" ref="H436:N436" si="75">SUM(H434:H435)</f>
        <v>0</v>
      </c>
      <c r="I436" s="385">
        <f t="shared" si="75"/>
        <v>10661.142810939264</v>
      </c>
      <c r="J436" s="385">
        <f t="shared" si="75"/>
        <v>12427.195408225001</v>
      </c>
      <c r="K436" s="385">
        <f t="shared" si="75"/>
        <v>8537.1374218976744</v>
      </c>
      <c r="L436" s="385">
        <f t="shared" si="75"/>
        <v>7580.4533206082488</v>
      </c>
      <c r="M436" s="385">
        <f t="shared" si="75"/>
        <v>6604.4540707862934</v>
      </c>
      <c r="N436" s="385">
        <f t="shared" si="75"/>
        <v>83460.529690890166</v>
      </c>
      <c r="O436" s="377"/>
    </row>
    <row r="437" spans="2:19" s="131" customFormat="1" ht="15" customHeight="1" outlineLevel="1">
      <c r="B437" s="229"/>
      <c r="D437" s="132"/>
      <c r="E437" s="132"/>
      <c r="F437" s="388"/>
      <c r="G437" s="388"/>
      <c r="H437" s="387"/>
      <c r="I437" s="386"/>
      <c r="J437" s="386"/>
      <c r="K437" s="386"/>
      <c r="L437" s="386"/>
      <c r="M437" s="386"/>
      <c r="N437" s="386"/>
      <c r="O437" s="377"/>
    </row>
    <row r="438" spans="2:19" s="131" customFormat="1" ht="15" customHeight="1" outlineLevel="1">
      <c r="B438" s="376"/>
      <c r="D438" s="375"/>
      <c r="E438" s="375"/>
      <c r="F438" s="252"/>
      <c r="G438" s="252"/>
      <c r="H438" s="385"/>
      <c r="I438" s="385"/>
      <c r="J438" s="385"/>
      <c r="K438" s="385"/>
      <c r="L438" s="385"/>
      <c r="M438" s="385"/>
      <c r="N438" s="385"/>
      <c r="O438" s="377"/>
    </row>
    <row r="439" spans="2:19" s="131" customFormat="1" ht="15" customHeight="1" outlineLevel="1" thickBot="1">
      <c r="B439" s="370"/>
      <c r="D439" s="132"/>
      <c r="E439" s="132"/>
      <c r="F439" s="370" t="s">
        <v>144</v>
      </c>
      <c r="G439" s="127"/>
      <c r="H439" s="384"/>
      <c r="I439" s="252"/>
      <c r="J439" s="114" t="s">
        <v>144</v>
      </c>
      <c r="K439" s="383"/>
      <c r="L439" s="37"/>
      <c r="M439" s="37"/>
      <c r="N439" s="252"/>
      <c r="O439" s="377"/>
      <c r="Q439" s="662" t="s">
        <v>277</v>
      </c>
      <c r="R439" s="663" t="s">
        <v>278</v>
      </c>
      <c r="S439" s="664" t="s">
        <v>279</v>
      </c>
    </row>
    <row r="440" spans="2:19" s="131" customFormat="1" ht="15" customHeight="1" outlineLevel="1">
      <c r="B440" s="376"/>
      <c r="D440" s="132"/>
      <c r="E440" s="132"/>
      <c r="F440" s="369" t="s">
        <v>143</v>
      </c>
      <c r="G440" s="382"/>
      <c r="H440" s="381">
        <f>SUM(Model!I436:N436)</f>
        <v>129270.91272334664</v>
      </c>
      <c r="I440" s="126"/>
      <c r="J440" s="380" t="s">
        <v>142</v>
      </c>
      <c r="K440" s="379"/>
      <c r="L440" s="378">
        <f>M440/$M$442</f>
        <v>0.39941641130646782</v>
      </c>
      <c r="M440" s="367">
        <f>SUM(I434:N434)</f>
        <v>51632.924046270724</v>
      </c>
      <c r="N440" s="126"/>
      <c r="O440" s="377"/>
      <c r="Q440" s="704">
        <f>Model!H440</f>
        <v>129270.91272334664</v>
      </c>
      <c r="R440" s="702">
        <f>H440</f>
        <v>129270.91272334664</v>
      </c>
      <c r="S440" s="808">
        <f>IF(ISBLANK(Model!H440),0,IF(Q440=R440,1,0))</f>
        <v>1</v>
      </c>
    </row>
    <row r="441" spans="2:19" ht="15" customHeight="1" outlineLevel="1">
      <c r="B441" s="376"/>
      <c r="D441" s="375"/>
      <c r="E441" s="375"/>
      <c r="F441" s="361" t="s">
        <v>141</v>
      </c>
      <c r="G441" s="35"/>
      <c r="H441" s="374">
        <f>XNPV(C414,Model!H429:N429,Model!H414:N414)</f>
        <v>129227.68313446036</v>
      </c>
      <c r="I441" s="126"/>
      <c r="J441" s="366" t="s">
        <v>140</v>
      </c>
      <c r="K441" s="37"/>
      <c r="L441" s="371">
        <f>M441/$M$442</f>
        <v>0.60058358869353223</v>
      </c>
      <c r="M441" s="362">
        <f>SUM(I435:N435)</f>
        <v>77637.988677075919</v>
      </c>
      <c r="N441" s="126"/>
      <c r="Q441" s="705">
        <f>Model!H441</f>
        <v>129227.68313446036</v>
      </c>
      <c r="R441" s="703">
        <f>IFERROR(H441,0)</f>
        <v>129227.68313446036</v>
      </c>
      <c r="S441" s="809">
        <f>IF(ISBLANK(Model!H441),0,IF(Q441=R441,1,0))</f>
        <v>1</v>
      </c>
    </row>
    <row r="442" spans="2:19" ht="15" customHeight="1" outlineLevel="1">
      <c r="J442" s="373" t="s">
        <v>137</v>
      </c>
      <c r="K442" s="372"/>
      <c r="L442" s="371">
        <f>M442/$M$442</f>
        <v>1</v>
      </c>
      <c r="M442" s="362">
        <f>SUM(M440:M441)</f>
        <v>129270.91272334664</v>
      </c>
    </row>
    <row r="443" spans="2:19" ht="15" customHeight="1" outlineLevel="1"/>
    <row r="444" spans="2:19" ht="15" customHeight="1" outlineLevel="1"/>
    <row r="445" spans="2:19" ht="15" customHeight="1" outlineLevel="1">
      <c r="F445" s="370" t="s">
        <v>139</v>
      </c>
      <c r="G445" s="252"/>
      <c r="J445" s="370" t="s">
        <v>138</v>
      </c>
      <c r="K445" s="252"/>
    </row>
    <row r="446" spans="2:19" ht="15" customHeight="1" outlineLevel="1">
      <c r="F446" s="369" t="s">
        <v>137</v>
      </c>
      <c r="G446" s="368"/>
      <c r="H446" s="367">
        <f>H441</f>
        <v>129227.68313446036</v>
      </c>
      <c r="J446" s="369" t="s">
        <v>26</v>
      </c>
      <c r="K446" s="368"/>
      <c r="L446" s="368"/>
      <c r="M446" s="367">
        <f>H448</f>
        <v>110585.68313446036</v>
      </c>
    </row>
    <row r="447" spans="2:19" ht="15" customHeight="1" outlineLevel="1">
      <c r="F447" s="366" t="s">
        <v>136</v>
      </c>
      <c r="H447" s="363">
        <f>-Inputs!L94</f>
        <v>-18642</v>
      </c>
      <c r="J447" s="365" t="s">
        <v>32</v>
      </c>
      <c r="L447" s="364" t="s">
        <v>31</v>
      </c>
      <c r="M447" s="363">
        <f>Inputs!F105</f>
        <v>34200</v>
      </c>
    </row>
    <row r="448" spans="2:19" ht="15" customHeight="1" outlineLevel="1">
      <c r="F448" s="361" t="s">
        <v>26</v>
      </c>
      <c r="G448" s="35"/>
      <c r="H448" s="362">
        <f>SUM(H446:H447)</f>
        <v>110585.68313446036</v>
      </c>
      <c r="J448" s="361" t="s">
        <v>26</v>
      </c>
      <c r="K448" s="35"/>
      <c r="L448" s="360" t="s">
        <v>135</v>
      </c>
      <c r="M448" s="359">
        <f>M446/M447</f>
        <v>3.2334995068555661</v>
      </c>
      <c r="S448" s="716" t="str">
        <f>IF(SUM(S412:S441)+SUM(W421:W422)=9,"COMPLETE","")</f>
        <v>COMPLETE</v>
      </c>
    </row>
    <row r="449" spans="2:15" ht="15" customHeight="1" outlineLevel="1">
      <c r="C449" s="252"/>
    </row>
    <row r="450" spans="2:15" ht="15" customHeight="1" outlineLevel="1">
      <c r="B450" s="131"/>
      <c r="C450" s="140"/>
      <c r="D450" s="132"/>
      <c r="E450" s="132"/>
      <c r="F450" s="132"/>
      <c r="G450" s="132"/>
      <c r="H450" s="132"/>
      <c r="I450" s="136"/>
      <c r="J450" s="136"/>
      <c r="K450" s="136"/>
      <c r="L450" s="136"/>
      <c r="M450" s="38" t="s">
        <v>134</v>
      </c>
      <c r="N450" s="131"/>
      <c r="O450" s="98"/>
    </row>
    <row r="451" spans="2:15" ht="15" customHeight="1" outlineLevel="1">
      <c r="B451" s="131"/>
      <c r="C451" s="140"/>
      <c r="D451" s="132"/>
      <c r="E451" s="132"/>
      <c r="F451" s="132"/>
      <c r="G451" s="132"/>
      <c r="H451" s="132"/>
      <c r="I451" s="136"/>
      <c r="J451" s="136"/>
      <c r="K451" s="136"/>
      <c r="L451" s="136"/>
      <c r="M451" s="358" t="s">
        <v>133</v>
      </c>
      <c r="N451" s="131"/>
      <c r="O451" s="98"/>
    </row>
    <row r="452" spans="2:15" s="131" customFormat="1" ht="15" customHeight="1" outlineLevel="1">
      <c r="C452" s="140"/>
      <c r="D452" s="132"/>
      <c r="E452" s="132"/>
      <c r="F452" s="132"/>
      <c r="G452" s="132"/>
      <c r="H452" s="132"/>
      <c r="I452" s="136"/>
      <c r="J452" s="136"/>
      <c r="K452" s="136"/>
      <c r="L452" s="136"/>
      <c r="O452" s="98"/>
    </row>
    <row r="453" spans="2:15" s="131" customFormat="1" ht="15" customHeight="1" outlineLevel="1">
      <c r="B453" s="357"/>
      <c r="C453" s="240"/>
      <c r="D453" s="356"/>
      <c r="E453" s="356"/>
      <c r="F453" s="356"/>
      <c r="G453" s="356"/>
      <c r="H453" s="356"/>
      <c r="I453" s="355"/>
      <c r="J453" s="355"/>
      <c r="K453" s="355"/>
      <c r="L453" s="355"/>
      <c r="M453" s="355"/>
      <c r="N453" s="355" t="s">
        <v>0</v>
      </c>
    </row>
  </sheetData>
  <conditionalFormatting sqref="D246">
    <cfRule type="expression" dxfId="3" priority="3">
      <formula>$D$246=1</formula>
    </cfRule>
  </conditionalFormatting>
  <conditionalFormatting sqref="D288">
    <cfRule type="expression" dxfId="2" priority="2">
      <formula>$D$288=1</formula>
    </cfRule>
  </conditionalFormatting>
  <conditionalFormatting sqref="I43:N43">
    <cfRule type="expression" dxfId="1" priority="4">
      <formula>I$43=1</formula>
    </cfRule>
  </conditionalFormatting>
  <conditionalFormatting sqref="I353:N353">
    <cfRule type="expression" dxfId="0" priority="1">
      <formula>I353=1</formula>
    </cfRule>
  </conditionalFormatting>
  <printOptions horizontalCentered="1"/>
  <pageMargins left="0.11811023622047245" right="0.11811023622047245" top="0.11811023622047245" bottom="0.11811023622047245" header="0.11811023622047245" footer="0.11811023622047245"/>
  <pageSetup scale="88" orientation="landscape" r:id="rId1"/>
  <headerFooter>
    <oddFooter>&amp;L&amp;"Open Sans,Bold"&amp;10&amp;K002060DCF Valuation Modeling&amp;C&amp;"Open Sans,Bold"&amp;10&amp;K002060Page &amp;P of &amp;N&amp;R&amp;G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PresentationFormat/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Cover</vt:lpstr>
      <vt:lpstr>Inputs</vt:lpstr>
      <vt:lpstr>Model</vt:lpstr>
      <vt:lpstr>Outputs</vt:lpstr>
      <vt:lpstr>Cover!Print_Area</vt:lpstr>
      <vt:lpstr>Inputs!Print_Area</vt:lpstr>
      <vt:lpstr>'Inputs-R'!Print_Area</vt:lpstr>
      <vt:lpstr>Model!Print_Area</vt:lpstr>
      <vt:lpstr>'Model-R'!Print_Area</vt:lpstr>
      <vt:lpstr>Outputs!Print_Area</vt:lpstr>
      <vt:lpstr>'Outputs-R'!Print_Area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Shravani Goud Dindu</cp:lastModifiedBy>
  <cp:revision/>
  <dcterms:created xsi:type="dcterms:W3CDTF">1899-12-30T05:00:00Z</dcterms:created>
  <dcterms:modified xsi:type="dcterms:W3CDTF">2026-02-16T21:55:22Z</dcterms:modified>
  <cp:category/>
  <cp:contentStatus/>
  <dc:language/>
  <cp:version/>
</cp:coreProperties>
</file>